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Items!$A$1:$Q$3721</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<sst xmlns="http://schemas.openxmlformats.org/spreadsheetml/2006/main" count="36270" uniqueCount="16864">
  <si>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</si>
  <si>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</si>
  <si>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</si>
  <si>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</si>
  <si>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</si>
  <si>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</si>
  <si>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</si>
  <si>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</si>
  <si>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</si>
  <si>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</si>
  <si>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</si>
  <si>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</si>
  <si>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</si>
  <si>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</si>
  <si>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</si>
  <si>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</si>
  <si>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</si>
  <si>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</si>
  <si>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</si>
  <si>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</si>
  <si>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</si>
  <si>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</si>
  <si>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</si>
  <si>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</si>
  <si>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</si>
  <si>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</si>
  <si>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</si>
  <si>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</si>
  <si>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</si>
  <si>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</si>
  <si>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</si>
  <si>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</si>
  <si>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</si>
  <si>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</si>
  <si>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</si>
  <si>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</si>
  <si>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</si>
  <si>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</si>
  <si>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</si>
  <si>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</si>
  <si>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</si>
  <si>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</si>
  <si>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</si>
  <si>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</si>
  <si>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</si>
  <si>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</si>
  <si>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</si>
  <si>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</si>
  <si>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</si>
  <si>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</si>
  <si>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</si>
  <si>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</si>
  <si>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</si>
  <si>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</si>
  <si>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</si>
  <si>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</si>
  <si>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</si>
  <si>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</si>
  <si>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</si>
  <si>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</si>
  <si>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</si>
  <si>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</si>
  <si>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</si>
  <si>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</si>
  <si>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</si>
  <si>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</si>
  <si>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</si>
  <si>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</si>
  <si>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</si>
  <si>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</si>
  <si>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</si>
  <si>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</si>
  <si>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</si>
  <si>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</si>
  <si>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</si>
  <si>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</si>
  <si>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</si>
  <si>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</si>
  <si>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</si>
  <si>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</si>
  <si>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</si>
  <si>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</si>
  <si>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</si>
  <si>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</si>
  <si>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</si>
  <si>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</si>
  <si>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</si>
  <si>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</si>
  <si>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</si>
  <si>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</si>
  <si>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</si>
  <si>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</si>
  <si>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</si>
  <si>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</si>
  <si>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</si>
  <si>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</si>
  <si>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</si>
  <si>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</si>
  <si>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</si>
  <si>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</si>
  <si>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</si>
  <si>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</si>
  <si>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</si>
  <si>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</si>
  <si>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</si>
  <si>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</si>
  <si>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</si>
  <si>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</si>
  <si>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</si>
  <si>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</si>
  <si>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</si>
  <si>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</si>
  <si>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</si>
  <si>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</si>
  <si>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</si>
  <si>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</si>
  <si>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</si>
  <si>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</si>
  <si>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</si>
  <si>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</si>
  <si>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</si>
  <si>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</si>
  <si>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</si>
  <si>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</si>
  <si>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</si>
  <si>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</si>
  <si>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</si>
  <si>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</si>
  <si>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</si>
  <si>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</si>
  <si>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</si>
  <si>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</si>
  <si>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</si>
  <si>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</si>
  <si>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</si>
  <si>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</si>
  <si>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</si>
  <si>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</si>
  <si>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</si>
  <si>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</si>
  <si>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</si>
  <si>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</si>
  <si>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</si>
  <si>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</si>
  <si>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</si>
  <si>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</si>
  <si>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</si>
  <si>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</si>
  <si>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</si>
  <si>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</si>
  <si>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</si>
  <si>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</si>
  <si>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</si>
  <si>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</si>
  <si>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</si>
  <si>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</si>
  <si>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</si>
  <si>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</si>
  <si>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</si>
  <si>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</si>
  <si>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</si>
  <si>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</si>
  <si>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</si>
  <si>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</si>
  <si>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</si>
  <si>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</si>
  <si>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</si>
  <si>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</si>
  <si>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</si>
  <si>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</si>
  <si>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</si>
  <si>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</si>
  <si>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</si>
  <si>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</si>
  <si>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</si>
  <si>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</si>
  <si>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</si>
  <si>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</si>
  <si>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</si>
  <si>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</si>
  <si>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</si>
  <si>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</si>
  <si>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</si>
  <si>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</si>
  <si>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</si>
  <si>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</si>
  <si>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</si>
  <si>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</si>
  <si>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</si>
  <si>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</si>
  <si>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</si>
  <si>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</si>
  <si>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</si>
  <si>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</si>
  <si>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</si>
  <si>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</si>
  <si>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</si>
  <si>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</si>
  <si>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</si>
  <si>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</si>
  <si>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</si>
  <si>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</si>
  <si>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</si>
  <si>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</si>
  <si>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</si>
  <si>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</si>
  <si>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</si>
  <si>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</si>
  <si>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</si>
  <si>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</si>
  <si>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</si>
  <si>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</si>
  <si>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</si>
  <si>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</si>
  <si>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</si>
  <si>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</si>
  <si>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</si>
  <si>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</si>
  <si>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</si>
  <si>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</si>
  <si>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</si>
  <si>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</si>
  <si>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</si>
  <si>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</si>
  <si>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</si>
  <si>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</si>
  <si>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</si>
  <si>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</si>
  <si>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</si>
  <si>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</si>
  <si>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</si>
  <si>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</si>
  <si>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</si>
  <si>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</si>
  <si>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</si>
  <si>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</si>
  <si>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</si>
  <si>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</si>
  <si>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</si>
  <si>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</si>
  <si>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</si>
  <si>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</si>
  <si>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</si>
  <si>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</si>
  <si>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</si>
  <si>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</si>
  <si>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</si>
  <si>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</si>
  <si>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</si>
  <si>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</si>
  <si>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</si>
  <si>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</si>
  <si>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</si>
  <si>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</si>
  <si>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</si>
  <si>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</si>
  <si>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</si>
  <si>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</si>
  <si>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</si>
  <si>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</si>
  <si>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</si>
  <si>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</si>
  <si>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</si>
  <si>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</si>
  <si>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</si>
  <si>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</si>
  <si>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</si>
  <si>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</si>
  <si>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</si>
  <si>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</si>
  <si>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</si>
  <si>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</si>
  <si>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</si>
  <si>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</si>
  <si>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</si>
  <si>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</si>
  <si>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</si>
  <si>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</si>
  <si>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</si>
  <si>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</si>
  <si>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</si>
  <si>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</si>
  <si>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</si>
  <si>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</si>
  <si>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</si>
  <si>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</si>
  <si>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</si>
  <si>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</si>
  <si>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</si>
  <si>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</si>
  <si>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</si>
  <si>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</si>
  <si>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</si>
  <si>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</si>
  <si>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</si>
  <si>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</si>
  <si>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</si>
  <si>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</si>
  <si>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</si>
  <si>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</si>
  <si>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</si>
  <si>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</si>
  <si>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</si>
  <si>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</si>
  <si>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</si>
  <si>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</si>
  <si>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</si>
  <si>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</si>
  <si>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</si>
  <si>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</si>
  <si>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</si>
  <si>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</si>
  <si>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</si>
  <si>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</si>
  <si>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</si>
  <si>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</si>
  <si>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</si>
  <si>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</si>
  <si>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</si>
  <si>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</si>
  <si>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</si>
  <si>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</si>
  <si>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</si>
  <si>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</si>
  <si>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</si>
  <si>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</si>
  <si>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</si>
  <si>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</si>
  <si>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</si>
  <si>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</si>
  <si>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</si>
  <si>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</si>
  <si>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</si>
  <si>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</si>
  <si>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</si>
  <si>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</si>
  <si>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</si>
  <si>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</si>
  <si>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</si>
  <si>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</si>
  <si>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</si>
  <si>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</si>
  <si>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</si>
  <si>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</si>
  <si>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</si>
  <si>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</si>
  <si>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</si>
  <si>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</si>
  <si>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</si>
  <si>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</si>
  <si>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</si>
  <si>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</si>
  <si>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</si>
  <si>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</si>
  <si>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</si>
  <si>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</si>
  <si>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</si>
  <si>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</si>
  <si>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</si>
  <si>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</si>
  <si>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</si>
  <si>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</si>
  <si>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</si>
  <si>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</si>
  <si>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</si>
  <si>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</si>
  <si>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</si>
  <si>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</si>
  <si>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</si>
  <si>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</si>
  <si>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</si>
  <si>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</si>
  <si>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</si>
  <si>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</si>
  <si>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</si>
  <si>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</si>
  <si>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</si>
  <si>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</si>
  <si>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</si>
  <si>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</si>
  <si>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</si>
  <si>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</si>
  <si>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</si>
  <si>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</si>
  <si>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</si>
  <si>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</si>
  <si>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</si>
  <si>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</si>
  <si>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</si>
  <si>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</si>
  <si>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</si>
  <si>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</si>
  <si>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</si>
  <si>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</si>
  <si>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</si>
  <si>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</si>
  <si>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</si>
  <si>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</si>
  <si>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</si>
  <si>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</si>
  <si>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</si>
  <si>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</si>
  <si>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</si>
  <si>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</si>
  <si>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</si>
  <si>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</si>
  <si>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</si>
  <si>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</si>
  <si>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</si>
  <si>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</si>
  <si>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</si>
  <si>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</si>
  <si>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</si>
  <si>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</si>
  <si>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</si>
  <si>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</si>
  <si>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</si>
  <si>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</si>
  <si>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</si>
  <si>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</si>
  <si>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</si>
  <si>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</si>
  <si>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</si>
  <si>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</si>
  <si>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</si>
  <si>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</si>
  <si>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</si>
  <si>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</si>
  <si>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</si>
  <si>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</si>
  <si>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</si>
  <si>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</si>
  <si>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</si>
  <si>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</si>
  <si>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</si>
  <si>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</si>
  <si>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</si>
  <si>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</si>
  <si>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</si>
  <si>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</si>
  <si>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</si>
  <si>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</si>
  <si>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</si>
  <si>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</si>
  <si>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</si>
  <si>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</si>
  <si>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</si>
  <si>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</si>
  <si>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</si>
  <si>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</si>
  <si>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</si>
  <si>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</si>
  <si>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</si>
  <si>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</si>
  <si>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</si>
  <si>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</si>
  <si>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</si>
  <si>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</si>
  <si>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</si>
  <si>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</si>
  <si>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</si>
  <si>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</si>
  <si>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</si>
  <si>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</si>
  <si>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</si>
  <si>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</si>
  <si>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</si>
  <si>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</si>
  <si>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</si>
  <si>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</si>
  <si>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</si>
  <si>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</si>
  <si>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</si>
  <si>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</si>
  <si>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</si>
  <si>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</si>
  <si>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</si>
  <si>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</si>
  <si>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</si>
  <si>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</si>
  <si>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</si>
  <si>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</si>
  <si>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</si>
  <si>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</si>
  <si>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</si>
  <si>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</si>
  <si>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</si>
  <si>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</si>
  <si>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</si>
  <si>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</si>
  <si>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</si>
  <si>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</si>
  <si>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</si>
  <si>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</si>
  <si>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</si>
  <si>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</si>
  <si>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</si>
  <si>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</si>
  <si>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</si>
  <si>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</si>
  <si>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</si>
  <si>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</si>
  <si>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</si>
  <si>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</si>
  <si>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</si>
  <si>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</si>
  <si>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</si>
  <si>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</si>
  <si>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</si>
  <si>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</si>
  <si>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</si>
  <si>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</si>
  <si>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</si>
  <si>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</si>
  <si>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</si>
  <si>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</si>
  <si>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</si>
  <si>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</si>
  <si>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</si>
  <si>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</si>
  <si>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</si>
  <si>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</si>
  <si>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</si>
  <si>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</si>
  <si>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</si>
  <si>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</si>
  <si>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</si>
  <si>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</si>
  <si>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</si>
  <si>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</si>
  <si>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</si>
  <si>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</si>
  <si>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</si>
  <si>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</si>
  <si>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</si>
  <si>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</si>
  <si>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</si>
  <si>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</si>
  <si>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</si>
  <si>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</si>
  <si>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</si>
  <si>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</si>
  <si>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</si>
  <si>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</si>
  <si>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</si>
  <si>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</si>
  <si>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</si>
  <si>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</si>
  <si>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</si>
  <si>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</si>
  <si>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</si>
  <si>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</si>
  <si>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</si>
  <si>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</si>
  <si>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</si>
  <si>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</si>
  <si>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</si>
  <si>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</si>
  <si>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</si>
  <si>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</si>
  <si>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</si>
  <si>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</si>
  <si>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</si>
  <si>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</si>
  <si>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</si>
  <si>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</si>
  <si>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</si>
  <si>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</si>
  <si>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</si>
  <si>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</si>
  <si>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</si>
  <si>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</si>
  <si>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</si>
  <si>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</si>
  <si>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</si>
  <si>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</si>
  <si>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</si>
  <si>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</si>
  <si>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</si>
  <si>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</si>
  <si>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</si>
  <si>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</si>
  <si>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</si>
  <si>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</si>
  <si>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</si>
  <si>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</si>
  <si>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</si>
  <si>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</si>
  <si>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</si>
  <si>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</si>
  <si>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</si>
  <si>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</si>
  <si>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</si>
  <si>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</si>
  <si>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</si>
  <si>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</si>
  <si>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</si>
  <si>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</si>
  <si>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</si>
  <si>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</si>
  <si>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</si>
  <si>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</si>
  <si>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</si>
  <si>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</si>
  <si>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</si>
  <si>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</si>
  <si>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</si>
  <si>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</si>
  <si>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</si>
  <si>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</si>
  <si>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</si>
  <si>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</si>
  <si>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</si>
  <si>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</si>
  <si>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</si>
  <si>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</si>
  <si>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</si>
  <si>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</si>
  <si>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</si>
  <si>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</si>
  <si>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</si>
  <si>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</si>
  <si>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</si>
  <si>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</si>
  <si>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</si>
  <si>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</si>
  <si>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</si>
  <si>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</si>
  <si>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</si>
  <si>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</si>
  <si>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</si>
  <si>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</si>
  <si>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</si>
  <si>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</si>
  <si>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</si>
  <si>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</si>
  <si>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</si>
  <si>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</si>
  <si>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</si>
  <si>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</si>
  <si>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</si>
  <si>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</si>
  <si>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</si>
  <si>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</si>
  <si>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</si>
  <si>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</si>
  <si>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</si>
  <si>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</si>
  <si>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</si>
  <si>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</si>
  <si>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</si>
  <si>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</si>
  <si>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</si>
  <si>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</si>
  <si>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</si>
  <si>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</si>
  <si>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</si>
  <si>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</si>
  <si>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</si>
  <si>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</si>
  <si>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</si>
  <si>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</si>
  <si>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</si>
  <si>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</si>
  <si>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</si>
  <si>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</si>
  <si>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</si>
  <si>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</si>
  <si>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</si>
  <si>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</si>
  <si>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</si>
  <si>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</si>
  <si>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</si>
  <si>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</si>
  <si>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</si>
  <si>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</si>
  <si>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</si>
  <si>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</si>
  <si>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</si>
  <si>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</si>
  <si>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</si>
  <si>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</si>
  <si>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</si>
  <si>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</si>
  <si>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</si>
  <si>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</si>
  <si>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</si>
  <si>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</si>
  <si>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</si>
  <si>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</si>
  <si>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</si>
  <si>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</si>
  <si>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</si>
  <si>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</si>
  <si>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</si>
  <si>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</si>
  <si>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</si>
  <si>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</si>
  <si>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</si>
  <si>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</si>
  <si>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</si>
  <si>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</si>
  <si>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</si>
  <si>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</si>
  <si>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</si>
  <si>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</si>
  <si>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</si>
  <si>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</si>
  <si>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</si>
  <si>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</si>
  <si>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</si>
  <si>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</si>
  <si>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</si>
  <si>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</si>
  <si>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</si>
  <si>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</si>
  <si>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</si>
  <si>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</si>
  <si>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</si>
  <si>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</si>
  <si>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</si>
  <si>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</si>
  <si>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</si>
  <si>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</si>
  <si>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</si>
  <si>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</si>
  <si>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</si>
  <si>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</si>
  <si>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</si>
  <si>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</si>
  <si>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</si>
  <si>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</si>
  <si>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</si>
  <si>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</si>
  <si>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</si>
  <si>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</si>
  <si>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</si>
  <si>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</si>
  <si>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</si>
  <si>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</si>
  <si>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</si>
  <si>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</si>
  <si>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</si>
  <si>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</si>
  <si>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</si>
  <si>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</si>
  <si>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</si>
  <si>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</si>
  <si>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</si>
  <si>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</si>
  <si>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</si>
  <si>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</si>
  <si>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</si>
  <si>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</si>
  <si>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</si>
  <si>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</si>
  <si>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</si>
  <si>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</si>
  <si>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</si>
  <si>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</si>
  <si>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</si>
  <si>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</si>
  <si>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</si>
  <si>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</si>
  <si>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</si>
  <si>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</si>
  <si>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</si>
  <si>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</si>
  <si>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</si>
  <si>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</si>
  <si>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</si>
  <si>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</si>
  <si>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</si>
  <si>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</si>
  <si>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</si>
  <si>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</si>
  <si>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</si>
  <si>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</si>
  <si>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</si>
  <si>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</si>
  <si>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</si>
  <si>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</si>
  <si>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</si>
  <si>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</si>
  <si>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</si>
  <si>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</si>
  <si>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</si>
  <si>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</si>
  <si>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</si>
  <si>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</si>
  <si>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</si>
  <si>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</si>
  <si>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</si>
  <si>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</si>
  <si>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</si>
  <si>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</si>
  <si>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</si>
  <si>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</si>
  <si>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</si>
  <si>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</si>
  <si>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</si>
  <si>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</si>
  <si>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</si>
  <si>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</si>
  <si>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</si>
  <si>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</si>
  <si>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</si>
  <si>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</si>
  <si>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</si>
  <si>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</si>
  <si>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</si>
  <si>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</si>
  <si>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</si>
  <si>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</si>
  <si>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</si>
  <si>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</si>
  <si>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</si>
  <si>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</si>
  <si>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</si>
  <si>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</si>
  <si>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</si>
  <si>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</si>
  <si>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</si>
  <si>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</si>
  <si>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</si>
  <si>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</si>
  <si>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</si>
  <si>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</si>
  <si>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</si>
  <si>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</si>
  <si>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</si>
  <si>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</si>
  <si>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</si>
  <si>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</si>
  <si>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</si>
  <si>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</si>
  <si>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</si>
  <si>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</si>
  <si>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</si>
  <si>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</si>
  <si>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</si>
  <si>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</si>
  <si>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</si>
  <si>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</si>
  <si>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</si>
  <si>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</si>
  <si>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</si>
  <si>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</si>
  <si>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</si>
  <si>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</si>
  <si>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</si>
  <si>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</si>
  <si>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</si>
  <si>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</si>
  <si>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</si>
  <si>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</si>
  <si>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</si>
  <si>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</si>
  <si>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</si>
  <si>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</si>
  <si>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</si>
  <si>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</si>
  <si>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</si>
  <si>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</si>
  <si>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</si>
  <si>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</si>
  <si>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</si>
  <si>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</si>
  <si>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</si>
  <si>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</si>
  <si>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</si>
  <si>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</si>
  <si>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</si>
  <si>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</si>
  <si>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</si>
  <si>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</si>
  <si>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</si>
  <si>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</si>
  <si>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</si>
  <si>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</si>
  <si>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</si>
  <si>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</si>
  <si>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</si>
  <si>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</si>
  <si>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</si>
  <si>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</si>
  <si>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</si>
  <si>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</si>
  <si>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</si>
  <si>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</si>
  <si>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</si>
  <si>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</si>
  <si>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</si>
  <si>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</si>
  <si>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</si>
  <si>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</si>
  <si>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</si>
  <si>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</si>
  <si>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</si>
  <si>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</si>
  <si>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</si>
  <si>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</si>
  <si>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</si>
  <si>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</si>
  <si>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</si>
  <si>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</si>
  <si>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</si>
  <si>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</si>
  <si>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</si>
  <si>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</si>
  <si>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</si>
  <si>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</si>
  <si>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</si>
  <si>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</si>
  <si>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</si>
  <si>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</si>
  <si>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</si>
  <si>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</si>
  <si>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</si>
  <si>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</si>
  <si>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</si>
  <si>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</si>
  <si>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</si>
  <si>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</si>
  <si>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</si>
  <si>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</si>
  <si>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</si>
  <si>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</si>
  <si>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</si>
  <si>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</si>
  <si>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</si>
  <si>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</si>
  <si>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</si>
  <si>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</si>
  <si>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</si>
  <si>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</si>
  <si>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</si>
  <si>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</si>
  <si>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</si>
  <si>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</si>
  <si>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</si>
  <si>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</si>
  <si>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</si>
  <si>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</si>
  <si>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</si>
  <si>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</si>
  <si>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</si>
  <si>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</si>
  <si>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</si>
  <si>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</si>
  <si>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</si>
  <si>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</si>
  <si>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</si>
  <si>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</si>
  <si>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</si>
  <si>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</si>
  <si>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</si>
  <si>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</si>
  <si>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</si>
  <si>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</si>
  <si>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</si>
  <si>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</si>
  <si>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</si>
  <si>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</si>
  <si>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</si>
  <si>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</si>
  <si>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</si>
  <si>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</si>
  <si>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</si>
  <si>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</si>
  <si>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</si>
  <si>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</si>
  <si>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</si>
  <si>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</si>
  <si>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</si>
  <si>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</si>
  <si>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</si>
  <si>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</si>
  <si>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</si>
  <si>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</si>
  <si>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</si>
  <si>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</si>
  <si>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</si>
  <si>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</si>
  <si>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</si>
  <si>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</si>
  <si>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</si>
  <si>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</si>
  <si>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</si>
  <si>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</si>
  <si>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</si>
  <si>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</si>
  <si>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</si>
  <si>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</si>
  <si>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</si>
  <si>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</si>
  <si>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</si>
  <si>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</si>
  <si>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</si>
  <si>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</si>
  <si>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</si>
  <si>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</si>
  <si>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</si>
  <si>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</si>
  <si>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</si>
  <si>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</si>
  <si>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</si>
  <si>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</si>
  <si>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</si>
  <si>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</si>
  <si>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</si>
  <si>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</si>
  <si>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</si>
  <si>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</si>
  <si>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</si>
  <si>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</si>
  <si>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</si>
  <si>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</si>
  <si>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</si>
  <si>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</si>
  <si>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</si>
  <si>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</si>
  <si>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</si>
  <si>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</si>
  <si>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</si>
  <si>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</si>
  <si>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</si>
  <si>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</si>
  <si>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</si>
  <si>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</si>
  <si>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</si>
  <si>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</si>
  <si>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</si>
  <si>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</si>
  <si>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</si>
  <si>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</si>
  <si>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</si>
  <si>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</si>
  <si>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</si>
  <si>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</si>
  <si>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</si>
  <si>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</si>
  <si>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</si>
  <si>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</si>
  <si>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</si>
  <si>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</si>
  <si>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</si>
  <si>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</si>
  <si>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</si>
  <si>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</si>
  <si>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</si>
  <si>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</si>
  <si>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</si>
  <si>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</si>
  <si>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</si>
  <si>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</si>
  <si>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</si>
  <si>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</si>
  <si>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</si>
  <si>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</si>
  <si>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</si>
  <si>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</si>
  <si>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</si>
  <si>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</si>
  <si>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</si>
  <si>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</si>
  <si>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</si>
  <si>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</si>
  <si>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</si>
  <si>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</si>
  <si>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</si>
  <si>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</si>
  <si>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</si>
  <si>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</si>
  <si>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</si>
  <si>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</si>
  <si>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</si>
  <si>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</si>
  <si>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</si>
  <si>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</si>
  <si>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</si>
  <si>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</si>
  <si>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</si>
  <si>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</si>
  <si>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</si>
  <si>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</si>
  <si>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</si>
  <si>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</si>
  <si>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</si>
  <si>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</si>
  <si>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</si>
  <si>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</si>
  <si>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</si>
  <si>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</si>
  <si>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</si>
  <si>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</si>
  <si>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</si>
  <si>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</si>
  <si>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</si>
  <si>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</si>
  <si>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</si>
  <si>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</si>
  <si>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</si>
  <si>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</si>
  <si>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</si>
  <si>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</si>
  <si>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</si>
  <si>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</si>
  <si>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</si>
  <si>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</si>
  <si>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</si>
  <si>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</si>
  <si>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</si>
  <si>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</si>
  <si>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</si>
  <si>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</si>
  <si>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</si>
  <si>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</si>
  <si>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</si>
  <si>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</si>
  <si>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</si>
  <si>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</si>
  <si>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</si>
  <si>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</si>
  <si>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</si>
  <si>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</si>
  <si>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</si>
  <si>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</si>
  <si>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</si>
  <si>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</si>
  <si>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</si>
  <si>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</si>
  <si>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</si>
  <si>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</si>
  <si>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</si>
  <si>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</si>
  <si>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</si>
  <si>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</si>
  <si>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</si>
  <si>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</si>
  <si>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</si>
  <si>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</si>
  <si>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</si>
  <si>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</si>
  <si>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</si>
  <si>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</si>
  <si>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</si>
  <si>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</si>
  <si>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</si>
  <si>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</si>
  <si>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</si>
  <si>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</si>
  <si>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</si>
  <si>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</si>
  <si>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</si>
  <si>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</si>
  <si>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</si>
  <si>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</si>
  <si>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</si>
  <si>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</si>
  <si>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</si>
  <si>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</si>
  <si>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</si>
  <si>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</si>
  <si>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</si>
  <si>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</si>
  <si>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</si>
  <si>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</si>
  <si>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</si>
  <si>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</si>
  <si>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</si>
  <si>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</si>
  <si>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</si>
  <si>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</si>
  <si>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</si>
  <si>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</si>
  <si>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</si>
  <si>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</si>
  <si>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</si>
  <si>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</si>
  <si>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</si>
  <si>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</si>
  <si>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</si>
  <si>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</si>
  <si>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</si>
  <si>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</si>
  <si>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</si>
  <si>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</si>
  <si>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</si>
  <si>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</si>
  <si>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</si>
  <si>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</si>
  <si>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</si>
  <si>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</si>
  <si>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</si>
  <si>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</si>
  <si>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</si>
  <si>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</si>
  <si>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</si>
  <si>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</si>
  <si>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</si>
  <si>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</si>
  <si>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</si>
  <si>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</si>
  <si>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</si>
  <si>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</si>
  <si>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</si>
  <si>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</si>
  <si>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</si>
  <si>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</si>
  <si>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</si>
  <si>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</si>
  <si>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</si>
  <si>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</si>
  <si>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</si>
  <si>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</si>
  <si>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</si>
  <si>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</si>
  <si>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</si>
  <si>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</si>
  <si>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</si>
  <si>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</si>
  <si>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</si>
  <si>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</si>
  <si>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</si>
  <si>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</si>
  <si>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</si>
  <si>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</si>
  <si>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</si>
  <si>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</si>
  <si>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</si>
  <si>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</si>
  <si>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</si>
  <si>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</si>
  <si>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</si>
  <si>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</si>
  <si>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</si>
  <si>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</si>
  <si>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</si>
  <si>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</si>
  <si>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</si>
  <si>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</si>
  <si>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</si>
  <si>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</si>
  <si>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</si>
  <si>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</si>
  <si>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</si>
  <si>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</si>
  <si>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</si>
  <si>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</si>
  <si>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</si>
  <si>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</si>
  <si>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</si>
  <si>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</si>
  <si>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</si>
  <si>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</si>
  <si>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</si>
  <si>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</si>
  <si>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</si>
  <si>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</si>
  <si>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</si>
  <si>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</si>
  <si>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</si>
  <si>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</si>
  <si>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</si>
  <si>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</si>
  <si>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</si>
  <si>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</si>
  <si>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</si>
  <si>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</si>
  <si>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</si>
  <si>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</si>
  <si>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</si>
  <si>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</si>
  <si>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</si>
  <si>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</si>
  <si>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</si>
  <si>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</si>
  <si>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</si>
  <si>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</si>
  <si>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</si>
  <si>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</si>
  <si>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</si>
  <si>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</si>
  <si>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</si>
  <si>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</si>
  <si>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</si>
  <si>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</si>
  <si>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</si>
  <si>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</si>
  <si>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</si>
  <si>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</si>
  <si>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</si>
  <si>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</si>
  <si>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</si>
  <si>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</si>
  <si>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</si>
  <si>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</si>
  <si>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</si>
  <si>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</si>
  <si>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</si>
  <si>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</si>
  <si>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</si>
  <si>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</si>
  <si>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</si>
  <si>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</si>
  <si>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</si>
  <si>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</si>
  <si>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</si>
  <si>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</si>
  <si>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</si>
  <si>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</si>
  <si>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</si>
  <si>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</si>
  <si>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</si>
  <si>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</si>
  <si>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</si>
  <si>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</si>
  <si>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</si>
  <si>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</si>
  <si>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</si>
  <si>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</si>
  <si>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</si>
  <si>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</si>
  <si>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</si>
  <si>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</si>
  <si>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</si>
  <si>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</si>
  <si>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</si>
  <si>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</si>
  <si>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</si>
  <si>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</si>
  <si>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</si>
  <si>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</si>
  <si>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</si>
  <si>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</si>
  <si>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</si>
  <si>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</si>
  <si>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</si>
  <si>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</si>
  <si>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</si>
  <si>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</si>
  <si>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</si>
  <si>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</si>
  <si>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</si>
  <si>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</si>
  <si>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</si>
  <si>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</si>
  <si>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</si>
  <si>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</si>
  <si>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</si>
  <si>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</si>
  <si>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</si>
  <si>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</si>
  <si>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</si>
  <si>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</si>
  <si>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</si>
  <si>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</si>
  <si>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</si>
  <si>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</si>
  <si>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</si>
  <si>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</si>
  <si>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</si>
  <si>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</si>
  <si>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</si>
  <si>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</si>
  <si>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</si>
  <si>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</si>
  <si>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</si>
  <si>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</si>
  <si>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</si>
  <si>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</si>
  <si>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</si>
  <si>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</si>
  <si>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</si>
  <si>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</si>
  <si>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</si>
  <si>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</si>
  <si>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</si>
  <si>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</si>
  <si>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</si>
  <si>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</si>
  <si>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</si>
  <si>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</si>
  <si>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</si>
  <si>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</si>
  <si>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</si>
  <si>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</si>
  <si>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</si>
  <si>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</si>
  <si>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</si>
  <si>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</si>
  <si>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</si>
  <si>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</si>
  <si>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</si>
  <si>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</si>
  <si>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</si>
  <si>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</si>
  <si>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</si>
  <si>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</si>
  <si>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</si>
  <si>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</si>
  <si>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</si>
  <si>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</si>
  <si>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</si>
  <si>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</si>
  <si>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</si>
  <si>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</si>
  <si>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</si>
  <si>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</si>
  <si>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</si>
  <si>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</si>
  <si>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</si>
  <si>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</si>
  <si>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</si>
  <si>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</si>
  <si>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</si>
  <si>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</si>
  <si>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</si>
  <si>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</si>
  <si>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</si>
  <si>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</si>
  <si>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</si>
  <si>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</si>
  <si>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</si>
  <si>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</si>
  <si>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</si>
  <si>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</si>
  <si>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</si>
  <si>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</si>
  <si>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</si>
  <si>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</si>
  <si>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</si>
  <si>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</si>
  <si>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</si>
  <si>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</si>
  <si>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</si>
  <si>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</si>
  <si>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</si>
  <si>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</si>
  <si>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</si>
  <si>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</si>
  <si>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</si>
  <si>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</si>
  <si>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</si>
  <si>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</si>
  <si>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</si>
  <si>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</si>
  <si>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</si>
  <si>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</si>
  <si>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</si>
  <si>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</si>
  <si>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</si>
  <si>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</si>
  <si>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</si>
  <si>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</si>
  <si>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</si>
  <si>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</si>
  <si>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</si>
  <si>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</si>
  <si>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</si>
  <si>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</si>
  <si>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</si>
  <si>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</si>
  <si>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</si>
  <si>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</si>
  <si>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</si>
  <si>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</si>
  <si>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</si>
  <si>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</si>
  <si>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</si>
  <si>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</si>
  <si>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</si>
  <si>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</si>
  <si>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</si>
  <si>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</si>
  <si>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</si>
  <si>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</si>
  <si>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</si>
  <si>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</si>
  <si>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</si>
  <si>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</si>
  <si>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</si>
  <si>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</si>
  <si>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</si>
  <si>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</si>
  <si>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</si>
  <si>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</si>
  <si>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</si>
  <si>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</si>
  <si>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</si>
  <si>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</si>
  <si>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</si>
  <si>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</si>
  <si>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</si>
  <si>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</si>
  <si>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</si>
  <si>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</si>
  <si>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</si>
  <si>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</si>
  <si>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</si>
  <si>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</si>
  <si>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</si>
  <si>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</si>
  <si>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</si>
  <si>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</si>
  <si>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</si>
  <si>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</si>
  <si>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</si>
  <si>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</si>
  <si>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</si>
  <si>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</si>
  <si>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</si>
  <si>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</si>
  <si>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</si>
  <si>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</si>
  <si>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</si>
  <si>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</si>
  <si>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</si>
  <si>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</si>
  <si>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</si>
  <si>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</si>
  <si>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</si>
  <si>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</si>
  <si>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</si>
  <si>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</si>
  <si>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</si>
  <si>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</si>
  <si>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</si>
  <si>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</si>
  <si>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</si>
  <si>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</si>
  <si>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</si>
  <si>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</si>
  <si>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</si>
  <si>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</si>
  <si>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</si>
  <si>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</si>
  <si>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</si>
  <si>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</si>
  <si>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</si>
  <si>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</si>
  <si>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</si>
  <si>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</si>
  <si>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</si>
  <si>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</si>
  <si>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</si>
  <si>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</si>
  <si>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</si>
  <si>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</si>
  <si>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</si>
  <si>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</si>
  <si>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</si>
  <si>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</si>
  <si>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</si>
  <si>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</si>
  <si>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</si>
  <si>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</si>
  <si>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</si>
  <si>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</si>
  <si>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</si>
  <si>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</si>
  <si>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</si>
  <si>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</si>
  <si>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</si>
  <si>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</si>
  <si>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</si>
  <si>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</si>
  <si>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</si>
  <si>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</si>
  <si>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</si>
  <si>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</si>
  <si>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</si>
  <si>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</si>
  <si>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</si>
  <si>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</si>
  <si>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</si>
  <si>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</si>
  <si>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</si>
  <si>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</si>
  <si>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</si>
  <si>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</si>
  <si>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</si>
  <si>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</si>
  <si>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</si>
  <si>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</si>
  <si>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</si>
  <si>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</si>
  <si>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</si>
  <si>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</si>
  <si>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</si>
  <si>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</si>
  <si>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</si>
  <si>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</si>
  <si>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</si>
  <si>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</si>
  <si>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</si>
  <si>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</si>
  <si>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</si>
  <si>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</si>
  <si>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</si>
  <si>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</si>
  <si>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</si>
  <si>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</si>
  <si>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</si>
  <si>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</si>
  <si>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</si>
  <si>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</si>
  <si>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</si>
  <si>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</si>
  <si>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</si>
  <si>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</si>
  <si>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</si>
  <si>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</si>
  <si>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</si>
  <si>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</si>
  <si>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</si>
  <si>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</si>
  <si>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</si>
  <si>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</si>
  <si>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</si>
  <si>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</si>
  <si>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</si>
  <si>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</si>
  <si>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</si>
  <si>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</si>
  <si>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</si>
  <si>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</si>
  <si>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</si>
  <si>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</si>
  <si>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</si>
  <si>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</si>
  <si>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</si>
  <si>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</si>
  <si>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</si>
  <si>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</si>
  <si>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</si>
  <si>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</si>
  <si>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</si>
  <si>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</si>
  <si>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</si>
  <si>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</si>
  <si>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</si>
  <si>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</si>
  <si>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</si>
  <si>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</si>
  <si>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</si>
  <si>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</si>
  <si>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</si>
  <si>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</si>
  <si>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</si>
  <si>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</si>
  <si>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</si>
  <si>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</si>
  <si>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</si>
  <si>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</si>
  <si>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</si>
  <si>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</si>
  <si>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</si>
  <si>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</si>
  <si>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</si>
  <si>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</si>
  <si>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</si>
  <si>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</si>
  <si>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</si>
  <si>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</si>
  <si>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</si>
  <si>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</si>
  <si>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</si>
  <si>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</si>
  <si>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</si>
  <si>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</si>
  <si>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</si>
  <si>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</si>
  <si>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</si>
  <si>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</si>
  <si>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</si>
  <si>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</si>
  <si>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</si>
  <si>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</si>
  <si>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</si>
  <si>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</si>
  <si>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</si>
  <si>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</si>
  <si>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</si>
  <si>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</si>
  <si>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</si>
  <si>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</si>
  <si>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</si>
  <si>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</si>
  <si>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</si>
  <si>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</si>
  <si>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</si>
  <si>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</si>
  <si>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</si>
  <si>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</si>
  <si>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</si>
  <si>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</si>
  <si>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</si>
  <si>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</si>
  <si>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</si>
  <si>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</si>
  <si>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</si>
  <si>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</si>
  <si>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</si>
  <si>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</si>
  <si>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</si>
  <si>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</si>
  <si>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</si>
  <si>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</si>
  <si>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</si>
  <si>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</si>
  <si>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</si>
  <si>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</si>
  <si>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</si>
  <si>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</si>
  <si>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</si>
  <si>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</si>
  <si>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</si>
  <si>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</si>
  <si>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</si>
  <si>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</si>
  <si>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</si>
  <si>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</si>
  <si>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</si>
  <si>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</si>
  <si>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</si>
  <si>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</si>
  <si>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</si>
  <si>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</si>
  <si>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</si>
  <si>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</si>
  <si>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</si>
  <si>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</si>
  <si>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</si>
  <si>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</si>
  <si>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</si>
  <si>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</si>
  <si>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</si>
  <si>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</si>
  <si>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</si>
  <si>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</si>
  <si>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</si>
  <si>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</si>
  <si>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</si>
  <si>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</si>
  <si>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</si>
  <si>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</si>
  <si>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</si>
  <si>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</si>
  <si>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</si>
  <si>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</si>
  <si>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</si>
  <si>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</si>
  <si>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</si>
  <si>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</si>
  <si>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</si>
  <si>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</si>
  <si>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</si>
  <si>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</si>
  <si>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</si>
  <si>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</si>
  <si>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</si>
  <si>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</si>
  <si>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</si>
  <si>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</si>
  <si>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</si>
  <si>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</si>
  <si>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</si>
  <si>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</si>
  <si>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</si>
  <si>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</si>
  <si>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</si>
  <si>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</si>
  <si>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</si>
  <si>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</si>
  <si>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</si>
  <si>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</si>
  <si>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</si>
  <si>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</si>
  <si>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</si>
  <si>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</si>
  <si>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</si>
  <si>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</si>
  <si>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</si>
  <si>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</si>
  <si>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</si>
  <si>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</si>
  <si>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</si>
  <si>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</si>
  <si>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</si>
  <si>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</si>
  <si>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</si>
  <si>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</si>
  <si>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</si>
  <si>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</si>
  <si>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</si>
  <si>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</si>
  <si>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</si>
  <si>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</si>
  <si>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</si>
  <si>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</si>
  <si>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</si>
  <si>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</si>
  <si>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</si>
  <si>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</si>
  <si>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</si>
  <si>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</si>
  <si>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</si>
  <si>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</si>
  <si>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</si>
  <si>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</si>
  <si>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</si>
  <si>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</si>
  <si>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</si>
  <si>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</si>
  <si>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</si>
  <si>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</si>
  <si>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</si>
  <si>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</si>
  <si>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</si>
  <si>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</si>
  <si>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</si>
  <si>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</si>
  <si>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</si>
  <si>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</si>
  <si>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</si>
  <si>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</si>
  <si>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</si>
  <si>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</si>
  <si>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</si>
  <si>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</si>
  <si>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</si>
  <si>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</si>
  <si>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</si>
  <si>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</si>
  <si>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</si>
  <si>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</si>
  <si>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</si>
  <si>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</si>
  <si>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</si>
  <si>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</si>
  <si>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</si>
  <si>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</si>
  <si>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</si>
  <si>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</si>
  <si>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</si>
  <si>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</si>
  <si>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</si>
  <si>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</si>
  <si>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</si>
  <si>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</si>
  <si>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</si>
  <si>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</si>
  <si>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</si>
  <si>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</si>
  <si>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</si>
  <si>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</si>
  <si>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</si>
  <si>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</si>
  <si>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</si>
  <si>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</si>
  <si>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</si>
  <si>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</si>
  <si>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</si>
  <si>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</si>
  <si>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</si>
  <si>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</si>
  <si>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</si>
  <si>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</si>
  <si>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</si>
  <si>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</si>
  <si>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</si>
  <si>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</si>
  <si>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</si>
  <si>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</si>
  <si>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</si>
  <si>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</si>
  <si>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</si>
  <si>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</si>
  <si>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</si>
  <si>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</si>
  <si>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</si>
  <si>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</si>
  <si>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</si>
  <si>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</si>
  <si>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</si>
  <si>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</si>
  <si>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</si>
  <si>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</si>
  <si>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</si>
  <si>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</si>
  <si>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</si>
  <si>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</si>
  <si>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</si>
  <si>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</si>
  <si>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</si>
  <si>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</si>
  <si>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</si>
  <si>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</si>
  <si>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</si>
  <si>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</si>
  <si>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</si>
  <si>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</si>
  <si>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</si>
  <si>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</si>
  <si>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</si>
  <si>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</si>
  <si>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</si>
  <si>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</si>
  <si>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</si>
  <si>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</si>
  <si>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</si>
  <si>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</si>
  <si>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</si>
  <si>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</si>
  <si>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</si>
  <si>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</si>
  <si>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</si>
  <si>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</si>
  <si>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</si>
  <si>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</si>
  <si>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</si>
  <si>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</si>
  <si>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</si>
  <si>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</si>
  <si>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</si>
  <si>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</si>
  <si>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</si>
  <si>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</si>
  <si>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</si>
  <si>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</si>
  <si>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</si>
  <si>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</si>
  <si>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</si>
  <si>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</si>
  <si>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</si>
  <si>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</si>
  <si>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</si>
  <si>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</si>
  <si>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</si>
  <si>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</si>
  <si>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</si>
  <si>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</si>
  <si>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</si>
  <si>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</si>
  <si>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</si>
  <si>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</si>
  <si>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</si>
  <si>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</si>
  <si>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</si>
  <si>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</si>
  <si>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</si>
  <si>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</si>
  <si>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</si>
  <si>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</si>
  <si>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</si>
  <si>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</si>
  <si>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</si>
  <si>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</si>
  <si>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</si>
  <si>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</si>
  <si>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</si>
  <si>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</si>
  <si>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</si>
  <si>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</si>
  <si>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</si>
  <si>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</si>
  <si>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</si>
  <si>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</si>
  <si>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</si>
  <si>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</si>
  <si>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</si>
  <si>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</si>
  <si>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</si>
  <si>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</si>
  <si>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</si>
  <si>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</si>
  <si>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</si>
  <si>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</si>
  <si>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</si>
  <si>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</si>
  <si>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</si>
  <si>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</si>
  <si>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</si>
  <si>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</si>
  <si>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</si>
  <si>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</si>
  <si>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</si>
  <si>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</si>
  <si>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</si>
  <si>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</si>
  <si>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</si>
  <si>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</si>
  <si>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</si>
  <si>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</si>
  <si>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</si>
  <si>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</si>
  <si>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</si>
  <si>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</si>
  <si>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</si>
  <si>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</si>
  <si>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</si>
  <si>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</si>
  <si>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</si>
  <si>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</si>
  <si>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</si>
  <si>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</si>
  <si>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</si>
  <si>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</si>
  <si>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</si>
  <si>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</si>
  <si>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</si>
  <si>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</si>
  <si>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</si>
  <si>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</si>
  <si>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</si>
  <si>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</si>
  <si>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</si>
  <si>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</si>
  <si>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</si>
  <si>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</si>
  <si>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</si>
  <si>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</si>
  <si>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</si>
  <si>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</si>
  <si>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</si>
  <si>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</si>
  <si>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</si>
  <si>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</si>
  <si>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</si>
  <si>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</si>
  <si>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</si>
  <si>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</si>
  <si>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</si>
  <si>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</si>
  <si>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</si>
  <si>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</si>
  <si>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</si>
  <si>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</si>
  <si>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</si>
  <si>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</si>
  <si>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</si>
  <si>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</si>
  <si>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</si>
  <si>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</si>
  <si>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</si>
  <si>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</si>
  <si>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</si>
  <si>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</si>
  <si>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</si>
  <si>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</si>
  <si>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</si>
  <si>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</si>
  <si>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</si>
  <si>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</si>
  <si>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</si>
  <si>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</si>
  <si>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</si>
  <si>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</si>
  <si>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</si>
  <si>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</si>
  <si>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</si>
  <si>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</si>
  <si>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</si>
  <si>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</si>
  <si>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</si>
  <si>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</si>
  <si>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</si>
  <si>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</si>
  <si>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</si>
  <si>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</si>
  <si>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</si>
  <si>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</si>
  <si>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</si>
  <si>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</si>
  <si>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</si>
  <si>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</si>
  <si>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</si>
  <si>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</si>
  <si>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</si>
  <si>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</si>
  <si>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</si>
  <si>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</si>
  <si>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</si>
  <si>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</si>
  <si>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</si>
  <si>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</si>
  <si>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</si>
  <si>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</si>
  <si>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</si>
  <si>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</si>
  <si>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</si>
  <si>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</si>
  <si>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</si>
  <si>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</si>
  <si>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</si>
  <si>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</si>
  <si>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</si>
  <si>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</si>
  <si>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</si>
  <si>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</si>
  <si>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</si>
  <si>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</si>
  <si>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</si>
  <si>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</si>
  <si>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</si>
  <si>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</si>
  <si>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</si>
  <si>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</si>
  <si>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</si>
  <si>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</si>
  <si>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</si>
  <si>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</si>
  <si>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</si>
  <si>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</si>
  <si>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</si>
  <si>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</si>
  <si>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</si>
  <si>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</si>
  <si>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</si>
  <si>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</si>
  <si>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</si>
  <si>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</si>
  <si>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</si>
  <si>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</si>
  <si>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</si>
  <si>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</si>
  <si>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</si>
  <si>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</si>
  <si>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</si>
  <si>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</si>
  <si>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</si>
  <si>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</si>
  <si>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</si>
  <si>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</si>
  <si>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</si>
  <si>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</si>
  <si>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</si>
  <si>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</si>
  <si>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</si>
  <si>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</si>
  <si>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</si>
  <si>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</si>
  <si>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</si>
  <si>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</si>
  <si>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</si>
  <si>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</si>
  <si>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</si>
  <si>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</si>
  <si>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</si>
  <si>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</si>
  <si>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</si>
  <si>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</si>
  <si>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</si>
  <si>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</si>
  <si>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</si>
  <si>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</si>
  <si>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</si>
  <si>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</si>
  <si>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</si>
  <si>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</si>
  <si>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</si>
  <si>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</si>
  <si>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</si>
  <si>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</si>
  <si>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</si>
  <si>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</si>
  <si>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</si>
  <si>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</si>
  <si>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</si>
  <si>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</si>
  <si>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</si>
  <si>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</si>
  <si>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</si>
  <si>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</si>
  <si>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</si>
  <si>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</si>
  <si>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</si>
  <si>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</si>
  <si>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</si>
  <si>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</si>
  <si>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</si>
  <si>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</si>
  <si>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</si>
  <si>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</si>
  <si>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</si>
  <si>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</si>
  <si>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</si>
  <si>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</si>
  <si>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</si>
  <si>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</si>
  <si>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</si>
  <si>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</si>
  <si>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</si>
  <si>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</si>
  <si>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</si>
  <si>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</si>
  <si>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</si>
  <si>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</si>
  <si>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</si>
  <si>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</si>
  <si>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</si>
  <si>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</si>
  <si>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</si>
  <si>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</si>
  <si>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</si>
  <si>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</si>
  <si>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</si>
  <si>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</si>
  <si>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</si>
  <si>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</si>
  <si>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</si>
  <si>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</si>
  <si>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</si>
  <si>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</si>
  <si>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</si>
  <si>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</si>
  <si>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</si>
  <si>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</si>
  <si>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</si>
  <si>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</si>
  <si>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</si>
  <si>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</si>
  <si>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</si>
  <si>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</si>
  <si>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</si>
  <si>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</si>
  <si>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</si>
  <si>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</si>
  <si>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</si>
  <si>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</si>
  <si>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</si>
  <si>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</si>
  <si>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</si>
  <si>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</si>
  <si>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</si>
  <si>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</si>
  <si>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</si>
  <si>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</si>
  <si>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</si>
  <si>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</si>
  <si>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</si>
  <si>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</si>
  <si>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</si>
  <si>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</si>
  <si>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</si>
  <si>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</si>
  <si>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</si>
  <si>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</si>
  <si>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</si>
  <si>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</si>
  <si>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</si>
  <si>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</si>
  <si>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</si>
  <si>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</si>
  <si>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</si>
  <si>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</si>
  <si>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</si>
  <si>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</si>
  <si>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</si>
  <si>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</si>
  <si>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</si>
  <si>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</si>
  <si>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</si>
  <si>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</si>
  <si>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</si>
  <si>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</si>
  <si>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</si>
  <si>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</si>
  <si>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</si>
  <si>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</si>
  <si>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</si>
  <si>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</si>
  <si>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</si>
  <si>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</si>
  <si>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</si>
  <si>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</si>
  <si>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</si>
  <si>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</si>
  <si>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</si>
  <si>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</si>
  <si>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</si>
  <si>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</si>
  <si>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</si>
  <si>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</si>
  <si>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</si>
  <si>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</si>
  <si>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</si>
  <si>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</si>
  <si>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</si>
  <si>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</si>
  <si>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</si>
  <si>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</si>
  <si>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</si>
  <si>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</si>
  <si>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</si>
  <si>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</si>
  <si>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</si>
  <si>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</si>
  <si>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</si>
  <si>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</si>
  <si>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</si>
  <si>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</si>
  <si>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</si>
  <si>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</si>
  <si>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</si>
  <si>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</si>
  <si>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</si>
  <si>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</si>
  <si>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</si>
  <si>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</si>
  <si>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</si>
  <si>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</si>
  <si>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</si>
  <si>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</si>
  <si>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</si>
  <si>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</si>
  <si>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</si>
  <si>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</si>
  <si>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</si>
  <si>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</si>
  <si>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</si>
  <si>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</si>
  <si>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</si>
  <si>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</si>
  <si>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</si>
  <si>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</si>
  <si>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</si>
  <si>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</si>
  <si>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</si>
  <si>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</si>
  <si>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</si>
  <si>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</si>
  <si>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</si>
  <si>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</si>
  <si>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</si>
  <si>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</si>
  <si>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</si>
  <si>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</si>
  <si>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</si>
  <si>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</si>
  <si>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</si>
  <si>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</si>
  <si>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</si>
  <si>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</si>
  <si>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</si>
  <si>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</si>
  <si>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</si>
  <si>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</si>
  <si>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</si>
  <si>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</si>
  <si>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</si>
  <si>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</si>
  <si>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</si>
  <si>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</si>
  <si>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</si>
  <si>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</si>
  <si>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</si>
  <si>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</si>
  <si>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</si>
  <si>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</si>
  <si>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</si>
  <si>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</si>
  <si>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</si>
  <si>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</si>
  <si>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</si>
  <si>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</si>
  <si>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</si>
  <si>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</si>
  <si>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</si>
  <si>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</si>
  <si>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</si>
  <si>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</si>
  <si>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</si>
  <si>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</si>
  <si>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</si>
  <si>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</si>
  <si>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</si>
  <si>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</si>
  <si>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</si>
  <si>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</si>
  <si>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</si>
  <si>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</si>
  <si>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</si>
  <si>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</si>
  <si>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</si>
  <si>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</si>
  <si>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</si>
  <si>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</si>
  <si>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</si>
  <si>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</si>
  <si>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</si>
  <si>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</si>
  <si>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</si>
  <si>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</si>
  <si>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</si>
  <si>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</si>
  <si>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</si>
  <si>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</si>
  <si>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</si>
  <si>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</si>
  <si>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</si>
  <si>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</si>
  <si>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</si>
  <si>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</si>
  <si>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</si>
  <si>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</si>
  <si>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</si>
  <si>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</si>
  <si>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</si>
  <si>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</si>
  <si>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</si>
  <si>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</si>
  <si>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</si>
  <si>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</si>
  <si>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</si>
  <si>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</si>
  <si>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</si>
  <si>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</si>
  <si>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</si>
  <si>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</si>
  <si>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</si>
  <si>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</si>
  <si>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</si>
  <si>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</si>
  <si>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</si>
  <si>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</si>
  <si>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</si>
  <si>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</si>
  <si>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</si>
  <si>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</si>
  <si>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</si>
  <si>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</si>
  <si>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</si>
  <si>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</si>
  <si>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</si>
  <si>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</si>
  <si>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</si>
  <si>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</si>
  <si>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</si>
  <si>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</si>
  <si>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</si>
  <si>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</si>
  <si>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</si>
  <si>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</si>
  <si>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</si>
  <si>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</si>
  <si>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</si>
  <si>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</si>
  <si>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</si>
  <si>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</si>
  <si>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</si>
  <si>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</si>
  <si>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</si>
  <si>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</si>
  <si>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</si>
  <si>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</si>
  <si>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</si>
  <si>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</si>
  <si>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</si>
  <si>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</si>
  <si>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</si>
  <si>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</si>
  <si>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</si>
  <si>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</si>
  <si>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</si>
  <si>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</si>
  <si>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</si>
  <si>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</si>
  <si>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</si>
  <si>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</si>
  <si>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</si>
  <si>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</si>
  <si>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</si>
  <si>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</si>
  <si>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</si>
  <si>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</si>
  <si>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</si>
  <si>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</si>
  <si>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</si>
  <si>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</si>
  <si>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</si>
  <si>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</si>
  <si>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</si>
  <si>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</si>
  <si>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</si>
  <si>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</si>
  <si>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</si>
  <si>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</si>
  <si>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</si>
  <si>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</si>
  <si>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</si>
  <si>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</si>
  <si>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</si>
  <si>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</si>
  <si>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</si>
  <si>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</si>
  <si>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</si>
  <si>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</si>
  <si>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</si>
  <si>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</si>
  <si>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</si>
  <si>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</si>
  <si>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</si>
  <si>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</si>
  <si>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</si>
  <si>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</si>
  <si>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</si>
  <si>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</si>
  <si>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</si>
  <si>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</si>
  <si>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</si>
  <si>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</si>
  <si>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</si>
  <si>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</si>
  <si>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</si>
  <si>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</si>
  <si>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</si>
  <si>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</si>
  <si>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</si>
  <si>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</si>
  <si>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</si>
  <si>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</si>
  <si>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</si>
  <si>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</si>
  <si>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</si>
  <si>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</si>
  <si>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</si>
  <si>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</si>
  <si>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</si>
  <si>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</si>
  <si>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</si>
  <si>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</si>
  <si>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</si>
  <si>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</si>
  <si>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</si>
  <si>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</si>
  <si>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</si>
  <si>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</si>
  <si>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</si>
  <si>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</si>
  <si>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</si>
  <si>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</si>
  <si>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</si>
  <si>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</si>
  <si>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</si>
  <si>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</si>
  <si>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</si>
  <si>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</si>
  <si>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</si>
  <si>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</si>
  <si>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</si>
  <si>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</si>
  <si>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</si>
  <si>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</si>
  <si>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</si>
  <si>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</si>
  <si>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</si>
  <si>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</si>
  <si>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</si>
  <si>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</si>
  <si>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</si>
  <si>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</si>
  <si>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</si>
  <si>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</si>
  <si>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</si>
  <si>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</si>
  <si>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</si>
  <si>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</si>
  <si>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</si>
  <si>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</si>
  <si>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</si>
  <si>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</si>
  <si>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</si>
  <si>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</si>
  <si>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</si>
  <si>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</si>
  <si>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</si>
  <si>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</si>
  <si>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</si>
  <si>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</si>
  <si>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</si>
  <si>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</si>
  <si>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</si>
  <si>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</si>
  <si>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</si>
  <si>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</si>
  <si>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</si>
  <si>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</si>
  <si>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</si>
  <si>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</si>
  <si>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</si>
  <si>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</si>
  <si>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</si>
  <si>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</si>
  <si>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</si>
  <si>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</si>
  <si>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</si>
  <si>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</si>
  <si>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</si>
  <si>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</si>
  <si>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</si>
  <si>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</si>
  <si>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</si>
  <si>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</si>
  <si>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</si>
  <si>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</si>
  <si>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</si>
  <si>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</si>
  <si>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</si>
  <si>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</si>
  <si>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</si>
  <si>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</si>
  <si>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</si>
  <si>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</si>
  <si>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</si>
  <si>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</si>
  <si>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</si>
  <si>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</si>
  <si>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</si>
  <si>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</si>
  <si>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</si>
  <si>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</si>
  <si>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</si>
  <si>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</si>
  <si>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</si>
  <si>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</si>
  <si>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</si>
  <si>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</si>
  <si>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</si>
  <si>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</si>
  <si>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</si>
  <si>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</si>
  <si>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</si>
  <si>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</si>
  <si>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</si>
  <si>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</si>
  <si>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</si>
  <si>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</si>
  <si>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</si>
  <si>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</si>
  <si>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</si>
  <si>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</si>
  <si>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</si>
  <si>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</si>
  <si>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</si>
  <si>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</si>
  <si>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</si>
  <si>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</si>
  <si>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</si>
  <si>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</si>
  <si>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</si>
  <si>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</si>
  <si>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</si>
  <si>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</si>
  <si>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</si>
  <si>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</si>
  <si>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</si>
  <si>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</si>
  <si>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</si>
  <si>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</si>
  <si>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</si>
  <si>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</si>
  <si>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</si>
  <si>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</si>
  <si>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</si>
  <si>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</si>
  <si>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</si>
  <si>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</si>
  <si>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</si>
  <si>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</si>
  <si>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</si>
  <si>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</si>
  <si>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</si>
  <si>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</si>
  <si>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</si>
  <si>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</si>
  <si>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</si>
  <si>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</si>
  <si>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</si>
  <si>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</si>
  <si>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</si>
  <si>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</si>
  <si>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</si>
  <si>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</si>
  <si>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</si>
  <si>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</si>
  <si>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</si>
  <si>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</si>
  <si>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</si>
  <si>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</si>
  <si>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</si>
  <si>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</si>
  <si>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</si>
  <si>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</si>
  <si>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</si>
  <si>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</si>
  <si>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</si>
  <si>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</si>
  <si>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</si>
  <si>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</si>
  <si>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</si>
  <si>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</si>
  <si>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</si>
  <si>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</si>
  <si>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</si>
  <si>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</si>
  <si>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</si>
  <si>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</si>
  <si>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</si>
  <si>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</si>
  <si>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</si>
  <si>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</si>
  <si>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</si>
  <si>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</si>
  <si>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</si>
  <si>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</si>
  <si>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</si>
  <si>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</si>
  <si>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</si>
  <si>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</si>
  <si>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</si>
  <si>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</si>
  <si>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</si>
  <si>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</si>
  <si>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</si>
  <si>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</si>
  <si>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</si>
  <si>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</si>
  <si>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</si>
  <si>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</si>
  <si>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</si>
  <si>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</si>
  <si>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</si>
  <si>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</si>
  <si>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</si>
  <si>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</si>
  <si>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</si>
  <si>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</si>
  <si>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</si>
  <si>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</si>
  <si>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</si>
  <si>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</si>
  <si>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</si>
  <si>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</si>
  <si>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</si>
  <si>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</si>
  <si>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</si>
  <si>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</si>
  <si>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</si>
  <si>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</si>
  <si>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</si>
  <si>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</si>
  <si>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</si>
  <si>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</si>
  <si>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</si>
  <si>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</si>
  <si>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</si>
  <si>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</si>
  <si>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</si>
  <si>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</si>
  <si>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</si>
  <si>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</si>
  <si>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</si>
  <si>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</si>
  <si>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</si>
  <si>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</si>
  <si>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</si>
  <si>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</si>
  <si>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</si>
  <si>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</si>
  <si>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</si>
  <si>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</si>
  <si>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</si>
  <si>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</si>
  <si>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</si>
  <si>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</si>
  <si>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</si>
  <si>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</si>
  <si>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</si>
  <si>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</si>
  <si>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</si>
  <si>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</si>
  <si>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</si>
  <si>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</si>
  <si>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</si>
  <si>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</si>
  <si>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</si>
  <si>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</si>
  <si>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</si>
  <si>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</si>
  <si>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</si>
  <si>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</si>
  <si>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</si>
  <si>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</si>
  <si>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</si>
  <si>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</si>
  <si>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</si>
  <si>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</si>
  <si>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</si>
  <si>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</si>
  <si>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</si>
  <si>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</si>
  <si>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</si>
  <si>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</si>
  <si>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</si>
  <si>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</si>
  <si>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</si>
  <si>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</si>
  <si>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</si>
  <si>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</si>
  <si>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</si>
  <si>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</si>
  <si>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</si>
  <si>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</si>
  <si>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</si>
  <si>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</si>
  <si>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</si>
  <si>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</si>
  <si>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</si>
  <si>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</si>
  <si>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</si>
  <si>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</si>
  <si>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</si>
  <si>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</si>
  <si>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</si>
  <si>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</si>
  <si>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</si>
  <si>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</si>
  <si>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</si>
  <si>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</si>
  <si>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</si>
  <si>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</si>
  <si>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</si>
  <si>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</si>
  <si>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</si>
  <si>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</si>
  <si>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</si>
  <si>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</si>
  <si>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</si>
  <si>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</si>
  <si>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</si>
  <si>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</si>
  <si>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</si>
  <si>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</si>
  <si>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</si>
  <si>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</si>
  <si>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</si>
  <si>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</si>
  <si>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</si>
  <si>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</si>
  <si>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</si>
  <si>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</si>
  <si>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</si>
  <si>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</si>
  <si>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</si>
  <si>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</si>
  <si>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</si>
  <si>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</si>
  <si>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</si>
  <si>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</si>
  <si>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</si>
  <si>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</si>
  <si>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</si>
  <si>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</si>
  <si>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</si>
  <si>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</si>
  <si>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</si>
  <si>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</si>
  <si>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</si>
  <si>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</si>
  <si>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</si>
  <si>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</si>
  <si>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</si>
  <si>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</si>
  <si>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</si>
  <si>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</si>
  <si>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</si>
  <si>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</si>
  <si>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</si>
  <si>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</si>
  <si>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</si>
  <si>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</si>
  <si>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</si>
  <si>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</si>
  <si>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</si>
  <si>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</si>
  <si>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</si>
  <si>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</si>
  <si>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</si>
  <si>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</si>
  <si>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</si>
  <si>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</si>
  <si>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</si>
  <si>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</si>
  <si>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</si>
  <si>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</si>
  <si>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</si>
  <si>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</si>
  <si>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</si>
  <si>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</si>
  <si>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</si>
  <si>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</si>
  <si>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</si>
  <si>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</si>
  <si>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</si>
  <si>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</si>
  <si>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</si>
  <si>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</si>
  <si>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</si>
  <si>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</si>
  <si>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</si>
  <si>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</si>
  <si>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</si>
  <si>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</si>
  <si>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</si>
  <si>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</si>
  <si>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</si>
  <si>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</si>
  <si>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</si>
  <si>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</si>
  <si>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</si>
  <si>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</si>
  <si>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</si>
  <si>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</si>
  <si>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</si>
  <si>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</si>
  <si>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</si>
  <si>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</si>
  <si>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</si>
  <si>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</si>
  <si>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</si>
  <si>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</si>
  <si>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</si>
  <si>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</si>
  <si>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</si>
  <si>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</si>
  <si>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</si>
  <si>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</si>
  <si>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</si>
  <si>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</si>
  <si>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</si>
  <si>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</si>
  <si>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</si>
  <si>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</si>
  <si>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</si>
  <si>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</si>
  <si>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</si>
  <si>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</si>
  <si>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</si>
  <si>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</si>
  <si>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</si>
  <si>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</si>
  <si>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</si>
  <si>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</si>
  <si>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</si>
  <si>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</si>
  <si>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</si>
  <si>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</si>
  <si>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</si>
  <si>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</si>
  <si>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</si>
  <si>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</si>
  <si>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</si>
  <si>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</si>
  <si>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</si>
  <si>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</si>
  <si>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</si>
  <si>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</si>
  <si>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</si>
  <si>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</si>
  <si>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</si>
  <si>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</si>
  <si>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</si>
  <si>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</si>
  <si>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</si>
  <si>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</si>
  <si>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</si>
  <si>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</si>
  <si>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</si>
  <si>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</si>
  <si>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</si>
  <si>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</si>
  <si>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</si>
  <si>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</si>
  <si>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</si>
  <si>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</si>
  <si>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</si>
  <si>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</si>
  <si>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</si>
  <si>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</si>
  <si>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</si>
  <si>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</si>
  <si>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</si>
  <si>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</si>
  <si>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</si>
  <si>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</si>
  <si>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</si>
  <si>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</si>
  <si>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</si>
  <si>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</si>
  <si>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</si>
  <si>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</si>
  <si>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</si>
  <si>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</si>
  <si>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</si>
  <si>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</si>
  <si>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</si>
  <si>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</si>
  <si>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</si>
  <si>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</si>
  <si>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</si>
  <si>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</si>
  <si>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</si>
  <si>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</si>
  <si>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</si>
  <si>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</si>
  <si>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</si>
  <si>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</si>
  <si>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</si>
  <si>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</si>
  <si>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</si>
  <si>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</si>
  <si>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</si>
  <si>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</si>
  <si>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</si>
  <si>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</si>
  <si>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</si>
  <si>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</si>
  <si>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</si>
  <si>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</si>
  <si>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</si>
  <si>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</si>
  <si>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</si>
  <si>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</si>
  <si>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</si>
  <si>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</si>
  <si>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</si>
  <si>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</si>
  <si>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</si>
  <si>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</si>
  <si>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</si>
  <si>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</si>
  <si>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</si>
  <si>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</si>
  <si>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</si>
  <si>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</si>
  <si>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</si>
  <si>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</si>
  <si>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</si>
  <si>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</si>
  <si>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</si>
  <si>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</si>
  <si>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</si>
  <si>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</si>
  <si>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</si>
  <si>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</si>
  <si>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</si>
  <si>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</si>
  <si>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</si>
  <si>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</si>
  <si>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</si>
  <si>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</si>
  <si>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</si>
  <si>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</si>
  <si>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</si>
  <si>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</si>
  <si>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</si>
  <si>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</si>
  <si>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</si>
  <si>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</si>
  <si>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</si>
  <si>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</si>
  <si>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</si>
  <si>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</si>
  <si>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</si>
  <si>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</si>
  <si>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</si>
  <si>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</si>
  <si>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</si>
  <si>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</si>
  <si>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</si>
  <si>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</si>
  <si>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</si>
  <si>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</si>
  <si>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</si>
  <si>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</si>
  <si>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</si>
  <si>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</si>
  <si>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</si>
  <si>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</si>
  <si>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</si>
  <si>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</si>
  <si>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</si>
  <si>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</si>
  <si>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</si>
  <si>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</si>
  <si>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</si>
  <si>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</si>
  <si>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</si>
  <si>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</si>
  <si>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</si>
  <si>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</si>
  <si>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</si>
  <si>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</si>
  <si>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</si>
  <si>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</si>
  <si>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</si>
  <si>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</si>
  <si>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</si>
  <si>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</si>
  <si>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</si>
  <si>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</si>
  <si>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</si>
  <si>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</si>
  <si>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</si>
  <si>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</si>
  <si>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</si>
  <si>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</si>
  <si>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</si>
  <si>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</si>
  <si>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</si>
  <si>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</si>
  <si>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</si>
  <si>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</si>
  <si>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</si>
  <si>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</si>
  <si>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</si>
  <si>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</si>
  <si>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</si>
  <si>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</si>
  <si>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</si>
  <si>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</si>
  <si>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</si>
  <si>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</si>
  <si>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</si>
  <si>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</si>
  <si>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</si>
  <si>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</si>
  <si>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</si>
  <si>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</si>
  <si>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</si>
  <si>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</si>
  <si>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</si>
  <si>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</si>
  <si>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</si>
  <si>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</si>
  <si>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</si>
  <si>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</si>
  <si>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</si>
  <si>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</si>
  <si>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</si>
  <si>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</si>
  <si>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</si>
  <si>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</si>
  <si>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</si>
  <si>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</si>
  <si>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</si>
  <si>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</si>
  <si>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</si>
  <si>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</si>
  <si>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</si>
  <si>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</si>
  <si>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</si>
  <si>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</si>
  <si>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</si>
  <si>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</si>
  <si>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</si>
  <si>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</si>
  <si>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</si>
  <si>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</si>
  <si>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</si>
  <si>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</si>
  <si>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</si>
  <si>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</si>
  <si>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</si>
  <si>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</si>
  <si>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</si>
  <si>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</si>
  <si>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</si>
  <si>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</si>
  <si>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</si>
  <si>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</si>
  <si>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</si>
  <si>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</si>
  <si>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</si>
  <si>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</si>
  <si>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</si>
  <si>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</si>
  <si>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</si>
  <si>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</si>
  <si>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</si>
  <si>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</si>
  <si>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</si>
  <si>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</si>
  <si>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</si>
  <si>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</si>
  <si>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</si>
  <si>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</si>
  <si>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</si>
  <si>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</si>
  <si>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</si>
  <si>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</si>
  <si>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</si>
  <si>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</si>
  <si>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</si>
  <si>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</si>
  <si>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</si>
  <si>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</si>
  <si>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</si>
  <si>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</si>
  <si>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</si>
  <si>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</si>
  <si>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</si>
  <si>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</si>
  <si>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</si>
  <si>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</si>
  <si>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</si>
  <si>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</si>
  <si>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</si>
  <si>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</si>
  <si>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</si>
  <si>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</si>
  <si>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</si>
  <si>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</si>
  <si>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</si>
  <si>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</si>
  <si>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</si>
  <si>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</si>
  <si>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</si>
  <si>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</si>
  <si>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</si>
  <si>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</si>
  <si>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</si>
  <si>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</si>
  <si>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</si>
  <si>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</si>
  <si>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</si>
  <si>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</si>
  <si>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</si>
  <si>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</si>
  <si>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</si>
  <si>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</si>
  <si>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</si>
  <si>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</si>
  <si>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</si>
  <si>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</si>
  <si>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</si>
  <si>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</si>
  <si>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</si>
  <si>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</si>
  <si>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</si>
  <si>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</si>
  <si>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</si>
  <si>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</si>
  <si>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</si>
  <si>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</si>
  <si>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</si>
  <si>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</si>
  <si>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</si>
  <si>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</si>
  <si>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</si>
  <si>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</si>
  <si>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</si>
  <si>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</si>
  <si>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</si>
  <si>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</si>
  <si>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</si>
  <si>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</si>
  <si>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</si>
  <si>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</si>
  <si>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</si>
  <si>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</si>
  <si>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</si>
  <si>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</si>
  <si>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</si>
  <si>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</si>
  <si>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</si>
  <si>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</si>
  <si>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</si>
  <si>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</si>
  <si>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</si>
  <si>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</si>
  <si>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</si>
  <si>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</si>
  <si>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</si>
  <si>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</si>
  <si>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</si>
  <si>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</si>
  <si>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</si>
  <si>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</si>
  <si>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</si>
  <si>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</si>
  <si>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</si>
  <si>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</si>
  <si>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</si>
  <si>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</si>
  <si>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</si>
  <si>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</si>
  <si>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</si>
  <si>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</si>
  <si>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</si>
  <si>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</si>
  <si>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</si>
  <si>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</si>
  <si>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</si>
  <si>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</si>
  <si>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</si>
  <si>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</si>
  <si>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</si>
  <si>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</si>
  <si>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</si>
  <si>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</si>
  <si>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</si>
  <si>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</si>
  <si>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</si>
  <si>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</si>
  <si>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</si>
  <si>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</si>
  <si>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</si>
  <si>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</si>
  <si>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</si>
  <si>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</si>
  <si>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</si>
  <si>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</si>
  <si>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</si>
  <si>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</si>
  <si>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</si>
  <si>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</si>
  <si>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</si>
  <si>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</si>
  <si>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</si>
  <si>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</si>
  <si>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</si>
  <si>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</si>
  <si>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</si>
  <si>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</si>
  <si>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</si>
  <si>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</si>
  <si>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</si>
  <si>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</si>
  <si>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</si>
  <si>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</si>
  <si>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</si>
  <si>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</si>
  <si>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</si>
  <si>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</si>
  <si>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</si>
  <si>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</si>
  <si>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</si>
  <si>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</si>
  <si>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</si>
  <si>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</si>
  <si>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</si>
  <si>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</si>
  <si>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</si>
  <si>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</si>
  <si>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</si>
  <si>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</si>
  <si>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</si>
  <si>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</si>
  <si>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</si>
  <si>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</si>
  <si>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</si>
  <si>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</si>
  <si>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</si>
  <si>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</si>
  <si>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</si>
  <si>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</si>
  <si>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</si>
  <si>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</si>
  <si>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</si>
  <si>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</si>
  <si>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</si>
  <si>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</si>
  <si>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</si>
  <si>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</si>
  <si>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</si>
  <si>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</si>
  <si>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</si>
  <si>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</si>
  <si>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</si>
  <si>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</si>
  <si>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</si>
  <si>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</si>
  <si>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</si>
  <si>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</si>
  <si>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</si>
  <si>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</si>
  <si>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</si>
  <si>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</si>
  <si>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</si>
  <si>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</si>
  <si>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</si>
  <si>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</si>
  <si>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</si>
  <si>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</si>
  <si>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</si>
  <si>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</si>
  <si>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</si>
  <si>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</si>
  <si>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</si>
  <si>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</si>
  <si>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</si>
  <si>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</si>
  <si>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</si>
  <si>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</si>
  <si>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</si>
  <si>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</si>
  <si>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</si>
  <si>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</si>
  <si>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</si>
  <si>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</si>
  <si>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</si>
  <si>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</si>
  <si>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</si>
  <si>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</si>
  <si>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</si>
  <si>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</si>
  <si>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</si>
  <si>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</si>
  <si>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</si>
  <si>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</si>
  <si>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</si>
  <si>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</si>
  <si>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</si>
  <si>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</si>
  <si>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</si>
  <si>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</si>
  <si>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</si>
  <si>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</si>
  <si>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</si>
  <si>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</si>
  <si>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</si>
  <si>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</si>
  <si>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</si>
  <si>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</si>
  <si>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</si>
  <si>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</si>
  <si>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</si>
  <si>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</si>
  <si>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</si>
  <si>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</si>
  <si>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</si>
  <si>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</si>
  <si>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</si>
  <si>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</si>
  <si>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</si>
  <si>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</si>
  <si>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</si>
  <si>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</si>
  <si>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</si>
  <si>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</si>
  <si>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</si>
  <si>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</si>
  <si>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</si>
  <si>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</si>
  <si>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</si>
  <si>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</si>
  <si>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</si>
  <si>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</si>
  <si>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</si>
  <si>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</si>
  <si>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</si>
  <si>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</si>
  <si>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</si>
  <si>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</si>
  <si>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</si>
  <si>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</si>
  <si>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</si>
  <si>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</si>
  <si>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</si>
  <si>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</si>
  <si>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</si>
  <si>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</si>
  <si>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</si>
  <si>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</si>
  <si>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</si>
  <si>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</si>
  <si>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</si>
  <si>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</si>
  <si>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</si>
  <si>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</si>
  <si>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</si>
  <si>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</si>
  <si>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</si>
  <si>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</si>
  <si>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</si>
  <si>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</si>
  <si>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</si>
  <si>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</si>
  <si>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</si>
  <si>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</si>
  <si>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</si>
  <si>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</si>
  <si>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</si>
  <si>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</si>
  <si>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</si>
  <si>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</si>
  <si>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</si>
  <si>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</si>
  <si>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</si>
  <si>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</si>
  <si>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</si>
  <si>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</si>
  <si>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</si>
  <si>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</si>
  <si>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</si>
  <si>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</si>
  <si>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</si>
  <si>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</si>
  <si>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</si>
  <si>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</si>
  <si>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</si>
  <si>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</si>
  <si>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</si>
  <si>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</si>
  <si>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</si>
  <si>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</si>
  <si>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</si>
  <si>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</si>
  <si>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</si>
  <si>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</si>
  <si>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</si>
  <si>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</si>
  <si>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</si>
  <si>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</si>
  <si>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</si>
  <si>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</si>
  <si>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</si>
  <si>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</si>
  <si>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</si>
  <si>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</si>
  <si>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</si>
  <si>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</si>
  <si>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</si>
  <si>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</si>
  <si>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</si>
  <si>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</si>
  <si>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</si>
  <si>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</si>
  <si>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</si>
  <si>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</si>
  <si>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</si>
  <si>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</si>
  <si>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</si>
  <si>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</si>
  <si>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</si>
  <si>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</si>
  <si>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</si>
  <si>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</si>
  <si>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</si>
  <si>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</si>
  <si>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</si>
  <si>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</si>
  <si>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</si>
  <si>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</si>
  <si>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</si>
  <si>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</si>
  <si>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</si>
  <si>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</si>
  <si>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</si>
  <si>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</si>
  <si>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</si>
  <si>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</si>
  <si>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</si>
  <si>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</si>
  <si>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</si>
  <si>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</si>
  <si>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</si>
  <si>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</si>
  <si>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</si>
  <si>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</si>
  <si>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</si>
  <si>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</si>
  <si>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</si>
  <si>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</si>
  <si>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</si>
  <si>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</si>
  <si>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</si>
  <si>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</si>
  <si>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</si>
  <si>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</si>
  <si>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</si>
  <si>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</si>
  <si>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</si>
  <si>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</si>
  <si>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</si>
  <si>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</si>
  <si>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</si>
  <si>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</si>
  <si>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</si>
  <si>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</si>
  <si>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</si>
  <si>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</si>
  <si>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</si>
  <si>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</si>
  <si>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</si>
  <si>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</si>
  <si>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</si>
  <si>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</si>
  <si>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</si>
  <si>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</si>
  <si>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</si>
  <si>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</si>
  <si>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</si>
  <si>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</si>
  <si>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</si>
  <si>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</si>
  <si>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</si>
  <si>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</si>
  <si>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</si>
  <si>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</si>
  <si>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</si>
  <si>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</si>
  <si>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</si>
  <si>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</si>
  <si>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</si>
  <si>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</si>
  <si>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</si>
  <si>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</si>
  <si>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</si>
  <si>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</si>
  <si>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</si>
  <si>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</si>
  <si>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</si>
  <si>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</si>
  <si>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</si>
  <si>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</si>
  <si>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</si>
  <si>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</si>
  <si>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</si>
  <si>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</si>
  <si>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</si>
  <si>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</si>
  <si>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</si>
  <si>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</si>
  <si>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</si>
  <si>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</si>
  <si>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</si>
  <si>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</si>
  <si>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</si>
  <si>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</si>
  <si>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</si>
  <si>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</si>
  <si>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</si>
  <si>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</si>
  <si>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</si>
  <si>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</si>
  <si>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</si>
  <si>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</si>
  <si>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</si>
  <si>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</si>
  <si>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</si>
  <si>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</si>
  <si>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</si>
  <si>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</si>
  <si>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</si>
  <si>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</si>
  <si>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</si>
  <si>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</si>
  <si>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</si>
  <si>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</si>
  <si>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</si>
  <si>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</si>
  <si>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</si>
  <si>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</si>
  <si>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</si>
  <si>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</si>
  <si>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</si>
  <si>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</si>
  <si>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</si>
  <si>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</si>
  <si>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</si>
  <si>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</si>
  <si>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</si>
  <si>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</si>
  <si>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</si>
  <si>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</si>
  <si>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</si>
  <si>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</si>
  <si>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</si>
  <si>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</si>
  <si>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</si>
  <si>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</si>
  <si>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</si>
  <si>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</si>
  <si>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</si>
  <si>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</si>
  <si>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</si>
  <si>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</si>
  <si>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</si>
  <si>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</si>
  <si>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</si>
  <si>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</si>
  <si>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</si>
  <si>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</si>
  <si>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</si>
  <si>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</si>
  <si>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</si>
  <si>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</si>
  <si>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</si>
  <si>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</si>
  <si>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</si>
  <si>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</si>
  <si>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</si>
  <si>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</si>
  <si>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</si>
  <si>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</si>
  <si>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</si>
  <si>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</si>
  <si>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</si>
  <si>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</si>
  <si>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</si>
  <si>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</si>
  <si>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</si>
  <si>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</si>
  <si>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</si>
  <si>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</si>
  <si>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</si>
  <si>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</si>
  <si>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</si>
  <si>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</si>
  <si>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</si>
  <si>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</si>
  <si>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</si>
  <si>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</si>
  <si>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</si>
  <si>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</si>
  <si>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</si>
  <si>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</si>
  <si>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</si>
  <si>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</si>
  <si>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</si>
  <si>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</si>
  <si>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</si>
  <si>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</si>
  <si>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</si>
  <si>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</si>
  <si>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</si>
  <si>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</si>
  <si>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</si>
  <si>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</si>
  <si>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</si>
  <si>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</si>
  <si>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</si>
  <si>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</si>
  <si>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</si>
  <si>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</si>
  <si>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</si>
  <si>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</si>
  <si>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</si>
  <si>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</si>
  <si>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</si>
  <si>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</si>
  <si>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</si>
  <si>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</si>
  <si>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</si>
  <si>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</si>
  <si>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</si>
  <si>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</si>
  <si>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</si>
  <si>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</si>
  <si>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</si>
  <si>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</si>
  <si>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</si>
  <si>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</si>
  <si>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</si>
  <si>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</si>
  <si>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</si>
  <si>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</si>
  <si>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</si>
  <si>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</si>
  <si>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</si>
  <si>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</si>
  <si>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</si>
  <si>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</si>
  <si>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</si>
  <si>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</si>
  <si>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</si>
  <si>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</si>
  <si>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</si>
  <si>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</si>
  <si>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</si>
  <si>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</si>
  <si>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</si>
  <si>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</si>
  <si>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</si>
  <si>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</si>
  <si>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</si>
  <si>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</si>
  <si>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</si>
  <si>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</si>
  <si>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</si>
  <si>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</si>
  <si>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</si>
  <si>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</si>
  <si>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</si>
  <si>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</si>
  <si>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</si>
  <si>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</si>
  <si>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</si>
  <si>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</si>
  <si>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</si>
  <si>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</si>
  <si>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</si>
  <si>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</si>
  <si>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</si>
  <si>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</si>
  <si>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</si>
  <si>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</si>
  <si>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</si>
  <si>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</si>
  <si>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</si>
  <si>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</si>
  <si>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</si>
  <si>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</si>
  <si>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</si>
  <si>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</si>
  <si>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</si>
  <si>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</si>
  <si>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</si>
  <si>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</si>
  <si>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</si>
  <si>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</si>
  <si>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</si>
  <si>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</si>
  <si>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</si>
  <si>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</si>
  <si>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</si>
  <si>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</si>
  <si>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</si>
  <si>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</si>
  <si>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</si>
  <si>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</si>
  <si>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</si>
  <si>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</si>
  <si>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</si>
  <si>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</si>
  <si>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</si>
  <si>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</si>
  <si>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</si>
  <si>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</si>
  <si>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</si>
  <si>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</si>
  <si>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</si>
  <si>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</si>
  <si>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</si>
  <si>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</si>
  <si>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</si>
  <si>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</si>
  <si>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</si>
  <si>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</si>
  <si>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</si>
  <si>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</si>
  <si>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</si>
  <si>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</si>
  <si>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</si>
  <si>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</si>
  <si>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</si>
  <si>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</si>
  <si>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</si>
  <si>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</si>
  <si>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</si>
  <si>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</si>
  <si>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</si>
  <si>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</si>
  <si>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</si>
  <si>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</si>
  <si>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</si>
  <si>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</si>
  <si>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</si>
  <si>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</si>
  <si>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</si>
  <si>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</si>
  <si>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</si>
  <si>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</si>
  <si>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</si>
  <si>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</si>
  <si>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</si>
  <si>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</si>
  <si>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</si>
  <si>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</si>
  <si>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</si>
  <si>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</si>
  <si>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</si>
  <si>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</si>
  <si>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</si>
  <si>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</si>
  <si>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</si>
  <si>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</si>
  <si>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</si>
  <si>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</si>
  <si>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</si>
  <si>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</si>
  <si>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</si>
  <si>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</si>
  <si>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</si>
  <si>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</si>
  <si>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</si>
  <si>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</si>
  <si>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</si>
  <si>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</si>
  <si>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</si>
  <si>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</si>
  <si>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</si>
  <si>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</si>
  <si>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</si>
  <si>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</si>
  <si>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</si>
  <si>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</si>
  <si>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</si>
  <si>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</si>
  <si>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</si>
  <si>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</si>
  <si>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</si>
  <si>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</si>
  <si>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</si>
  <si>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</si>
  <si>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</si>
  <si>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</si>
  <si>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</si>
  <si>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</si>
  <si>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</si>
  <si>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</si>
  <si>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</si>
  <si>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</si>
  <si>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</si>
  <si>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</si>
  <si>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</si>
  <si>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</si>
  <si>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</si>
  <si>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</si>
  <si>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</si>
  <si>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</si>
  <si>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</si>
  <si>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</si>
  <si>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</si>
  <si>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</si>
  <si>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</si>
  <si>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</si>
  <si>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</si>
  <si>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</si>
  <si>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</si>
  <si>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</si>
  <si>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</si>
  <si>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</si>
  <si>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</si>
  <si>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</si>
  <si>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</si>
  <si>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</si>
  <si>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</si>
  <si>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</si>
  <si>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</si>
  <si>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</si>
  <si>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</si>
  <si>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</si>
  <si>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</si>
  <si>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</si>
  <si>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</si>
  <si>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</si>
  <si>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</si>
  <si>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</si>
  <si>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</si>
  <si>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</si>
  <si>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</si>
  <si>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</si>
  <si>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</si>
  <si>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</si>
  <si>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</si>
  <si>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</si>
  <si>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</si>
  <si>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</si>
  <si>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</si>
  <si>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</si>
  <si>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</si>
  <si>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</si>
  <si>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</si>
  <si>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</si>
  <si>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</si>
  <si>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</si>
  <si>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</si>
  <si>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</si>
  <si>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</si>
  <si>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</si>
  <si>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</si>
  <si>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</si>
  <si>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</si>
  <si>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</si>
  <si>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</si>
  <si>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</si>
  <si>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</si>
  <si>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</si>
  <si>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</si>
  <si>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</si>
  <si>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</si>
  <si>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</si>
  <si>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</si>
  <si>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</si>
  <si>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</si>
  <si>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</si>
  <si>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</si>
  <si>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</si>
  <si>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</si>
  <si>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</si>
  <si>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</si>
  <si>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</si>
  <si>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</si>
  <si>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</si>
  <si>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</si>
  <si>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</si>
  <si>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</si>
  <si>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</si>
  <si>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</si>
  <si>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</si>
  <si>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</si>
  <si>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</si>
  <si>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</si>
  <si>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</si>
  <si>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</si>
  <si>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</si>
  <si>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</si>
  <si>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</si>
  <si>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</si>
  <si>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</si>
  <si>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</si>
  <si>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</si>
  <si>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</si>
  <si>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</si>
  <si>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</si>
  <si>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</si>
  <si>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</si>
  <si>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</si>
  <si>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</si>
  <si>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</si>
  <si>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</si>
  <si>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</si>
  <si>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</si>
  <si>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</si>
  <si>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</si>
  <si>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</si>
  <si>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</si>
  <si>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</si>
  <si>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</si>
  <si>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</si>
  <si>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</si>
  <si>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</si>
  <si>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</si>
  <si>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</si>
  <si>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</si>
  <si>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</si>
  <si>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</si>
  <si>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</si>
  <si>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</si>
  <si>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</si>
  <si>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</si>
  <si>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</si>
  <si>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</si>
  <si>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</si>
  <si>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</si>
  <si>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</si>
  <si>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</si>
  <si>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</si>
  <si>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</si>
  <si>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</si>
  <si>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</si>
  <si>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</si>
  <si>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</si>
  <si>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</si>
  <si>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</si>
  <si>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</si>
  <si>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</si>
  <si>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</si>
  <si>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</si>
  <si>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</si>
  <si>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</si>
  <si>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</si>
  <si>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</si>
  <si>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</si>
  <si>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</si>
  <si>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</si>
  <si>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</si>
  <si>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</si>
  <si>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</si>
  <si>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</si>
  <si>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</si>
  <si>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</si>
  <si>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</si>
  <si>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</si>
  <si>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</si>
  <si>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</si>
  <si>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</si>
  <si>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</si>
  <si>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</si>
  <si>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</si>
  <si>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</si>
  <si>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</si>
  <si>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</si>
  <si>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</si>
  <si>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</si>
  <si>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</si>
  <si>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</si>
  <si>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</si>
  <si>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</si>
  <si>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</si>
  <si>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</si>
  <si>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</si>
  <si>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</si>
  <si>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</si>
  <si>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</si>
  <si>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</si>
  <si>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</si>
  <si>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</si>
  <si>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</si>
  <si>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</si>
  <si>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</si>
  <si>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</si>
  <si>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</si>
  <si>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</si>
  <si>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</si>
  <si>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</si>
  <si>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</si>
  <si>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</si>
  <si>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</si>
  <si>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</si>
  <si>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</si>
  <si>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</si>
  <si>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</si>
  <si>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</si>
  <si>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</si>
  <si>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</si>
  <si>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</si>
  <si>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</si>
  <si>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</si>
  <si>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</si>
  <si>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</si>
  <si>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</si>
  <si>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</si>
  <si>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</si>
  <si>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</si>
  <si>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</si>
  <si>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</si>
  <si>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</si>
  <si>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</si>
  <si>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</si>
  <si>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</si>
  <si>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</si>
  <si>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</si>
  <si>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</si>
  <si>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</si>
  <si>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</si>
  <si>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</si>
  <si>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</si>
  <si>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</si>
  <si>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</si>
  <si>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</si>
  <si>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</si>
  <si>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</si>
  <si>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</si>
  <si>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</si>
  <si>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</si>
  <si>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</si>
  <si>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</si>
  <si>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</si>
  <si>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</si>
  <si>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</si>
  <si>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</si>
  <si>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</si>
  <si>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</si>
  <si>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</si>
  <si>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</si>
  <si>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</si>
  <si>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</si>
  <si>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</si>
  <si>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</si>
  <si>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</si>
  <si>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</si>
  <si>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</si>
  <si>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</si>
  <si>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</si>
  <si>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</si>
  <si>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</si>
  <si>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</si>
  <si>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</si>
  <si>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</si>
  <si>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</si>
  <si>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</si>
  <si>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</si>
  <si>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</si>
  <si>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</si>
  <si>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</si>
  <si>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</si>
  <si>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</si>
  <si>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</si>
  <si>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</si>
  <si>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</si>
  <si>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</si>
  <si>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</si>
  <si>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</si>
  <si>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</si>
  <si>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</si>
  <si>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</si>
  <si>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</si>
  <si>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</si>
  <si>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</si>
  <si>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</si>
  <si>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</si>
  <si>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</si>
  <si>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</si>
  <si>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</si>
  <si>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</si>
  <si>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</si>
  <si>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</si>
  <si>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</si>
  <si>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</si>
  <si>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</si>
  <si>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</si>
  <si>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</si>
  <si>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</si>
  <si>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</si>
  <si>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</si>
  <si>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</si>
  <si>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</si>
  <si>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</si>
  <si>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</si>
  <si>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</si>
  <si>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</si>
  <si>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</si>
  <si>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</si>
  <si>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</si>
  <si>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</si>
  <si>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</si>
  <si>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</si>
  <si>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</si>
  <si>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</si>
  <si>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</si>
  <si>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</si>
  <si>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</si>
  <si>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</si>
  <si>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</si>
  <si>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</si>
  <si>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</si>
  <si>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</si>
  <si>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</si>
  <si>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</si>
  <si>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</si>
  <si>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</si>
  <si>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</si>
  <si>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</si>
  <si>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</si>
  <si>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</si>
  <si>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</si>
  <si>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</si>
  <si>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</si>
  <si>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</si>
  <si>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</si>
  <si>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</si>
  <si>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</si>
  <si>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</si>
  <si>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</si>
  <si>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</si>
  <si>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</si>
  <si>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</si>
  <si>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</si>
  <si>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</si>
  <si>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</si>
  <si>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</si>
  <si>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</si>
  <si>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</si>
  <si>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</si>
  <si>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</si>
  <si>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</si>
  <si>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</si>
  <si>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</si>
  <si>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</si>
  <si>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</si>
  <si>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</si>
  <si>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</si>
  <si>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</si>
  <si>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</si>
  <si>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</si>
  <si>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</si>
  <si>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</si>
  <si>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</si>
  <si>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</si>
  <si>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</si>
  <si>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</si>
  <si>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</si>
  <si>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</si>
  <si>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</si>
  <si>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</si>
  <si>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</si>
  <si>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</si>
  <si>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</si>
  <si>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</si>
  <si>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</si>
  <si>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</si>
  <si>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</si>
  <si>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</si>
  <si>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</si>
  <si>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</si>
  <si>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</si>
  <si>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</si>
  <si>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</si>
  <si>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</si>
  <si>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</si>
  <si>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</si>
  <si>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</si>
  <si>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</si>
  <si>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</si>
  <si>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</si>
  <si>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</si>
  <si>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</si>
  <si>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</si>
  <si>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</si>
  <si>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</si>
  <si>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</si>
  <si>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</si>
  <si>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</si>
  <si>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</si>
  <si>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</si>
  <si>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</si>
  <si>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</si>
  <si>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</si>
  <si>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</si>
  <si>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</si>
  <si>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</si>
  <si>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</si>
  <si>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</si>
  <si>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</si>
  <si>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</si>
  <si>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</si>
  <si>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</si>
  <si>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</si>
  <si>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</si>
  <si>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</si>
  <si>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</si>
  <si>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</si>
  <si>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</si>
  <si>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</si>
  <si>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</si>
  <si>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</si>
  <si>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</si>
  <si>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</si>
  <si>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</si>
  <si>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</si>
  <si>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</si>
  <si>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</si>
  <si>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</si>
  <si>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</si>
  <si>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</si>
  <si>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</si>
  <si>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</si>
  <si>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</si>
  <si>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</si>
  <si>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</si>
  <si>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</si>
  <si>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</si>
  <si>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</si>
  <si>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</si>
  <si>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</si>
  <si>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</si>
  <si>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</si>
  <si>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</si>
  <si>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</si>
  <si>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</si>
  <si>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</si>
  <si>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</si>
  <si>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</si>
  <si>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</si>
  <si>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</si>
  <si>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</si>
  <si>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</si>
  <si>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</si>
  <si>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</si>
  <si>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</si>
  <si>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</si>
  <si>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</si>
  <si>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</si>
  <si>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</si>
  <si>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</si>
  <si>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</si>
  <si>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</si>
  <si>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</si>
  <si>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</si>
  <si>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</si>
  <si>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</si>
  <si>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</si>
  <si>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</si>
  <si>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</si>
  <si>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</si>
  <si>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</si>
  <si>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</si>
  <si>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</si>
  <si>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</si>
  <si>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</si>
  <si>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</si>
  <si>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</si>
  <si>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</si>
  <si>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</si>
  <si>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</si>
  <si>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</si>
  <si>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</si>
  <si>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</si>
  <si>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</si>
  <si>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</si>
  <si>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</si>
  <si>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</si>
  <si>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</si>
  <si>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</si>
  <si>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</si>
  <si>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</si>
  <si>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</si>
  <si>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</si>
  <si>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</si>
  <si>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</si>
  <si>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</si>
  <si>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</si>
  <si>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</si>
  <si>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</si>
  <si>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</si>
  <si>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</si>
  <si>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</si>
  <si>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</si>
  <si>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</si>
  <si>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</si>
  <si>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</si>
  <si>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</si>
  <si>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</si>
  <si>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</si>
  <si>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</si>
  <si>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</si>
  <si>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</si>
  <si>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</si>
  <si>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</si>
  <si>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</si>
  <si>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</si>
  <si>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</si>
  <si>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</si>
  <si>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</si>
  <si>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</si>
  <si>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</si>
  <si>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</si>
  <si>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</si>
  <si>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</si>
  <si>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</si>
  <si>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</si>
  <si>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</si>
  <si>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</si>
  <si>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</si>
  <si>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</si>
  <si>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</si>
  <si>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</si>
  <si>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</si>
  <si>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</si>
  <si>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</si>
  <si>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</si>
  <si>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</si>
  <si>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</si>
  <si>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</si>
  <si>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</si>
  <si>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</si>
  <si>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</si>
  <si>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</si>
  <si>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</si>
  <si>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</si>
  <si>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</si>
  <si>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</si>
  <si>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</si>
  <si>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</si>
  <si>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</si>
  <si>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</si>
  <si>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</si>
  <si>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</si>
  <si>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</si>
  <si>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</si>
  <si>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</si>
  <si>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</si>
  <si>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</si>
  <si>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</si>
  <si>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</si>
  <si>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</si>
  <si>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</si>
  <si>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</si>
  <si>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</si>
  <si>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</si>
  <si>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</si>
  <si>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</si>
  <si>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</si>
  <si>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</si>
  <si>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</si>
  <si>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</si>
  <si>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</si>
  <si>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</si>
  <si>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</si>
  <si>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</si>
  <si>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</si>
  <si>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</si>
  <si>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</si>
  <si>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</si>
  <si>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</si>
  <si>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</si>
  <si>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</si>
  <si>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</si>
  <si>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</si>
  <si>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</si>
  <si>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</si>
  <si>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</si>
  <si>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</si>
  <si>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</si>
  <si>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</si>
  <si>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</si>
  <si>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</si>
  <si>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</si>
  <si>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</si>
  <si>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</si>
  <si>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</si>
  <si>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</si>
  <si>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</si>
  <si>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</si>
  <si>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</si>
  <si>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</si>
  <si>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</si>
  <si>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</si>
  <si>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</si>
  <si>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</si>
  <si>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</si>
  <si>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</si>
  <si>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</si>
  <si>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</si>
  <si>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</si>
  <si>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</si>
  <si>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</si>
  <si>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</si>
  <si>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</si>
  <si>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</si>
  <si>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</si>
  <si>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</si>
  <si>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</si>
  <si>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</si>
  <si>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</si>
  <si>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</si>
  <si>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</si>
  <si>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</si>
  <si>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</si>
  <si>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</si>
  <si>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</si>
  <si>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</si>
  <si>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</si>
  <si>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</si>
  <si>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</si>
  <si>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</si>
  <si>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</si>
  <si>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</si>
  <si>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</si>
  <si>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</si>
  <si>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</si>
  <si>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</si>
  <si>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</si>
  <si>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</si>
  <si>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</si>
  <si>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</si>
  <si>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</si>
  <si>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</si>
  <si>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</si>
  <si>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</si>
  <si>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</si>
  <si>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</si>
  <si>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</si>
  <si>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</si>
  <si>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</si>
  <si>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</si>
  <si>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</si>
  <si>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</si>
  <si>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</si>
  <si>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</si>
  <si>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</si>
  <si>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</si>
  <si>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</si>
  <si>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</si>
  <si>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</si>
  <si>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</si>
  <si>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</si>
  <si>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</si>
  <si>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</si>
  <si>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</si>
  <si>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</si>
  <si>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</si>
  <si>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</si>
  <si>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</si>
  <si>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</si>
  <si>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</si>
  <si>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</si>
  <si>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</si>
  <si>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</si>
  <si>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</si>
  <si>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</si>
  <si>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</si>
  <si>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</si>
  <si>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</si>
  <si>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</si>
  <si>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</si>
  <si>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</si>
  <si>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</si>
  <si>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</si>
  <si>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</si>
  <si>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</si>
  <si>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</si>
  <si>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</si>
  <si>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</si>
  <si>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</si>
  <si>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</si>
  <si>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</si>
  <si>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</si>
  <si>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</si>
  <si>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</si>
  <si>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</si>
  <si>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</si>
  <si>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</si>
  <si>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</si>
  <si>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</si>
  <si>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</si>
  <si>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</si>
  <si>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</si>
  <si>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</si>
  <si>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</si>
  <si>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</si>
  <si>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</si>
  <si>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</si>
  <si>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</si>
  <si>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</si>
  <si>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</si>
  <si>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</si>
  <si>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</si>
  <si>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</si>
  <si>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</si>
  <si>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</si>
  <si>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</si>
  <si>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</si>
  <si>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</si>
  <si>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</si>
  <si>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</si>
  <si>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</si>
  <si>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</si>
  <si>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</si>
  <si>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</si>
  <si>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</si>
  <si>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</si>
  <si>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</si>
  <si>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</si>
  <si>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</si>
  <si>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</si>
  <si>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</si>
  <si>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</si>
  <si>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</si>
  <si>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</si>
  <si>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</si>
  <si>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</si>
  <si>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</si>
  <si>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</si>
  <si>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</si>
  <si>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</si>
  <si>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</si>
  <si>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</si>
  <si>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</si>
  <si>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</si>
  <si>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</si>
  <si>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</si>
  <si>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</si>
  <si>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</si>
  <si>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</si>
  <si>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</si>
  <si>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</si>
  <si>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</si>
  <si>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</si>
  <si>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</si>
  <si>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</si>
  <si>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</si>
  <si>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</si>
  <si>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</si>
  <si>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</si>
  <si>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</si>
  <si>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</si>
  <si>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</si>
  <si>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</si>
  <si>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</si>
  <si>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</si>
  <si>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</si>
  <si>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</si>
  <si>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</si>
  <si>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</si>
  <si>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</si>
  <si>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</si>
  <si>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</si>
  <si>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</si>
  <si>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</si>
  <si>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</si>
  <si>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</si>
  <si>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</si>
  <si>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</si>
  <si>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</si>
  <si>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</si>
  <si>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</si>
  <si>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</si>
  <si>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</si>
  <si>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</si>
  <si>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</si>
  <si>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</si>
  <si>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</si>
  <si>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</si>
  <si>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</si>
  <si>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</si>
  <si>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</si>
  <si>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</si>
  <si>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</si>
  <si>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</si>
  <si>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</si>
  <si>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</si>
  <si>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</si>
  <si>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</si>
  <si>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</si>
  <si>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</si>
  <si>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</si>
  <si>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</si>
  <si>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</si>
  <si>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</si>
  <si>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</si>
  <si>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</si>
  <si>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</si>
  <si>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</si>
  <si>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</si>
  <si>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</si>
  <si>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</si>
  <si>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</si>
  <si>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</si>
  <si>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</si>
  <si>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</si>
  <si>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</si>
  <si>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</si>
  <si>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</si>
  <si>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</si>
  <si>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</si>
  <si>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</si>
  <si>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</si>
  <si>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</si>
  <si>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</si>
  <si>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</si>
  <si>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</si>
  <si>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</si>
  <si>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</si>
  <si>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</si>
  <si>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</si>
  <si>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</si>
  <si>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</si>
  <si>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</si>
  <si>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</si>
  <si>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</si>
  <si>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</si>
  <si>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</si>
  <si>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</si>
  <si>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</si>
  <si>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</si>
  <si>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</si>
  <si>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</si>
  <si>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</si>
  <si>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</si>
  <si>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</si>
  <si>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</si>
  <si>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</si>
  <si>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</si>
  <si>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</si>
  <si>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</si>
  <si>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</si>
  <si>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</si>
  <si>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</si>
  <si>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</si>
  <si>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</si>
  <si>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</si>
  <si>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</si>
  <si>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</si>
  <si>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</si>
  <si>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</si>
  <si>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</si>
  <si>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</si>
  <si>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</si>
  <si>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</si>
  <si>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</si>
  <si>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</si>
  <si>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</si>
  <si>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</si>
  <si>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</si>
  <si>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</si>
  <si>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</si>
  <si>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</si>
  <si>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</si>
  <si>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</si>
  <si>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</si>
  <si>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</si>
  <si>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</si>
  <si>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</si>
  <si>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</si>
  <si>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</si>
  <si>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</si>
  <si>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</si>
  <si>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</si>
  <si>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</si>
  <si>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</si>
  <si>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</si>
  <si>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</si>
  <si>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</si>
  <si>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</si>
  <si>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</si>
  <si>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</si>
  <si>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</si>
  <si>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</si>
  <si>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</si>
  <si>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</si>
  <si>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</si>
  <si>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</si>
  <si>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</si>
  <si>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</si>
  <si>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</si>
  <si>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</si>
  <si>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</si>
  <si>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</si>
  <si>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</si>
  <si>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</si>
  <si>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</si>
  <si>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</si>
  <si>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</si>
  <si>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</si>
  <si>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</si>
  <si>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</si>
  <si>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</si>
  <si>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</si>
  <si>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</si>
  <si>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</si>
  <si>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</si>
  <si>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</si>
  <si>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</si>
  <si>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</si>
  <si>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</si>
  <si>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</si>
  <si>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</si>
  <si>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</si>
  <si>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</si>
  <si>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</si>
  <si>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</si>
  <si>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</si>
  <si>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</si>
  <si>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</si>
  <si>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</si>
  <si>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</si>
  <si>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</si>
  <si>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</si>
  <si>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</si>
  <si>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</si>
  <si>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</si>
  <si>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</si>
  <si>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</si>
  <si>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</si>
  <si>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</si>
  <si>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</si>
  <si>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</si>
  <si>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</si>
  <si>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</si>
  <si>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</si>
  <si>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</si>
  <si>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</si>
  <si>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</si>
  <si>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</si>
  <si>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</si>
  <si>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</si>
  <si>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</si>
  <si>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</si>
  <si>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</si>
  <si>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</si>
  <si>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</si>
  <si>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</si>
  <si>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</si>
  <si>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</si>
  <si>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</si>
  <si>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</si>
  <si>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</si>
  <si>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</si>
  <si>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</si>
  <si>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</si>
  <si>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</si>
  <si>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</si>
  <si>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</si>
  <si>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</si>
  <si>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</si>
  <si>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</si>
  <si>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</si>
  <si>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</si>
  <si>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</si>
  <si>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</si>
  <si>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</si>
  <si>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</si>
  <si>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</si>
  <si>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</si>
  <si>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</si>
  <si>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</si>
  <si>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</si>
  <si>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</si>
  <si>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</si>
  <si>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</si>
  <si>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</si>
  <si>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</si>
  <si>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</si>
  <si>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</si>
  <si>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</si>
  <si>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</si>
  <si>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</si>
  <si>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</si>
  <si>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</si>
  <si>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</si>
  <si>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</si>
  <si>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</si>
  <si>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</si>
  <si>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</si>
  <si>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</si>
  <si>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</si>
  <si>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</si>
  <si>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</si>
  <si>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</si>
  <si>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</si>
  <si>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</si>
  <si>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</si>
  <si>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</si>
  <si>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</si>
  <si>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</si>
  <si>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</si>
  <si>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</si>
  <si>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</si>
  <si>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</si>
  <si>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</si>
  <si>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</si>
  <si>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</si>
  <si>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</si>
  <si>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</si>
  <si>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</si>
  <si>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</si>
  <si>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</si>
  <si>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</si>
  <si>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</si>
  <si>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</si>
  <si>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</si>
  <si>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</si>
  <si>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</si>
  <si>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</si>
  <si>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</si>
  <si>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</si>
  <si>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</si>
  <si>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</si>
  <si>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</si>
  <si>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</si>
  <si>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</si>
  <si>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</si>
  <si>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</si>
  <si>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</si>
  <si>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</si>
  <si>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</si>
  <si>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</si>
  <si>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</si>
  <si>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</si>
  <si>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</si>
  <si>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</si>
  <si>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</si>
  <si>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</si>
  <si>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</si>
  <si>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</si>
  <si>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</si>
  <si>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</si>
  <si>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</si>
  <si>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</si>
  <si>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</si>
  <si>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</si>
  <si>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</si>
  <si>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</si>
  <si>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</si>
  <si>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</si>
  <si>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</si>
  <si>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</si>
  <si>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</si>
  <si>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</si>
  <si>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</si>
  <si>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</si>
  <si>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</si>
  <si>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</si>
  <si>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</si>
  <si>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</si>
  <si>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</si>
  <si>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</si>
  <si>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</si>
  <si>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</si>
  <si>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</si>
  <si>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</si>
  <si>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</si>
  <si>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</si>
  <si>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</si>
  <si>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</si>
  <si>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</si>
  <si>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</si>
  <si>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</si>
  <si>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</si>
  <si>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</si>
  <si>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</si>
  <si>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</si>
  <si>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</si>
  <si>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</si>
  <si>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</si>
  <si>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</si>
  <si>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</si>
  <si>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</si>
  <si>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</si>
  <si>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</si>
  <si>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</si>
  <si>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</si>
  <si>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</si>
  <si>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</si>
  <si>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</si>
  <si>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</si>
  <si>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</si>
  <si>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</si>
  <si>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</si>
  <si>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</si>
  <si>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</si>
  <si>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</si>
  <si>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</si>
  <si>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</si>
  <si>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</si>
  <si>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</si>
  <si>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</si>
  <si>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</si>
  <si>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</si>
  <si>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</si>
  <si>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</si>
  <si>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</si>
  <si>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</si>
  <si>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</si>
  <si>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</si>
  <si>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</si>
  <si>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</si>
  <si>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</si>
  <si>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</si>
  <si>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</si>
  <si>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</si>
  <si>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</si>
  <si>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</si>
  <si>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</si>
  <si>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</si>
  <si>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</si>
  <si>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</si>
  <si>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</si>
  <si>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</si>
  <si>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</si>
  <si>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</si>
  <si>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</si>
  <si>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</si>
  <si>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</si>
  <si>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</si>
  <si>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</si>
  <si>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</si>
  <si>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</si>
  <si>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</si>
  <si>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</si>
  <si>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</si>
  <si>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</si>
  <si>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</si>
  <si>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</si>
  <si>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</si>
  <si>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</si>
  <si>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</si>
  <si>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</si>
  <si>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</si>
  <si>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</si>
  <si>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</si>
  <si>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</si>
  <si>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</si>
  <si>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</si>
  <si>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</si>
  <si>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</si>
  <si>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</si>
  <si>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</si>
  <si>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</si>
  <si>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</si>
  <si>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</si>
  <si>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</si>
  <si>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</si>
  <si>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</si>
  <si>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</si>
  <si>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</si>
  <si>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</si>
  <si>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</si>
  <si>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</si>
  <si>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</si>
  <si>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</si>
  <si>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</si>
  <si>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</si>
  <si>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</si>
  <si>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</si>
  <si>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</si>
  <si>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</si>
  <si>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</si>
  <si>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</si>
  <si>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</si>
  <si>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</si>
  <si>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</si>
  <si>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</si>
  <si>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</si>
  <si>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</si>
  <si>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</si>
  <si>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</si>
  <si>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</si>
  <si>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</si>
  <si>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</si>
  <si>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</si>
  <si>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</si>
  <si>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</si>
  <si>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</si>
  <si>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</si>
  <si>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</si>
  <si>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</si>
  <si>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</si>
  <si>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</si>
  <si>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</si>
  <si>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</si>
  <si>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</si>
  <si>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</si>
  <si>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</si>
  <si>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</si>
  <si>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</si>
  <si>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</si>
  <si>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</si>
  <si>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</si>
  <si>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</si>
  <si>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</si>
  <si>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</si>
  <si>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</si>
  <si>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</si>
  <si>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</si>
  <si>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</si>
  <si>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</si>
  <si>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</si>
  <si>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</si>
  <si>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</si>
  <si>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</si>
  <si>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</si>
  <si>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</si>
  <si>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</si>
  <si>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</si>
  <si>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</si>
  <si>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</si>
  <si>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</si>
  <si>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</si>
  <si>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</si>
  <si>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</si>
  <si>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</si>
  <si>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</si>
  <si>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</si>
  <si>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</si>
  <si>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</si>
  <si>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</si>
  <si>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</si>
  <si>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</si>
  <si>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</si>
  <si>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</si>
  <si>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</si>
  <si>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</si>
  <si>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</si>
  <si>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</si>
  <si>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</si>
  <si>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</si>
  <si>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</si>
  <si>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</si>
  <si>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</si>
  <si>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</si>
  <si>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</si>
  <si>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</si>
  <si>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</si>
  <si>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</si>
  <si>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</si>
  <si>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</si>
  <si>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</si>
  <si>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</si>
  <si>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</si>
  <si>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</si>
  <si>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</si>
  <si>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</si>
  <si>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</si>
  <si>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</si>
  <si>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</si>
  <si>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</si>
  <si>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</si>
  <si>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</si>
  <si>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</si>
  <si>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</si>
  <si>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</si>
  <si>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</si>
  <si>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</si>
  <si>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</si>
  <si>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</si>
  <si>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</si>
  <si>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</si>
  <si>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</si>
  <si>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</si>
  <si>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</si>
  <si>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</si>
  <si>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</si>
  <si>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</si>
  <si>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</si>
  <si>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</si>
  <si>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</si>
  <si>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</si>
  <si>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</si>
  <si>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</si>
  <si>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</si>
  <si>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</si>
  <si>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</si>
  <si>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</si>
  <si>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</si>
  <si>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</si>
  <si>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</si>
  <si>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</si>
  <si>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</si>
  <si>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</si>
  <si>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</si>
  <si>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</si>
  <si>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</si>
  <si>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</si>
  <si>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</si>
  <si>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</si>
  <si>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</si>
  <si>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</si>
  <si>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</si>
  <si>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</si>
  <si>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</si>
  <si>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</si>
  <si>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</si>
  <si>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</si>
  <si>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</si>
  <si>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</si>
  <si>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</si>
  <si>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</si>
  <si>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</si>
  <si>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</si>
  <si>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</si>
  <si>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</si>
  <si>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</si>
  <si>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</si>
  <si>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</si>
  <si>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</si>
  <si>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</si>
  <si>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</si>
  <si>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</si>
  <si>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</si>
  <si>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</si>
  <si>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</si>
  <si>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</si>
  <si>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</si>
  <si>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</si>
  <si>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</si>
  <si>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</si>
  <si>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</si>
  <si>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</si>
  <si>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</si>
  <si>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</si>
  <si>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</si>
  <si>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</si>
  <si>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</si>
  <si>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</si>
  <si>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</si>
  <si>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</si>
  <si>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</si>
  <si>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</si>
  <si>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</si>
  <si>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</si>
  <si>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</si>
  <si>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</si>
  <si>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</si>
  <si>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</si>
  <si>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</si>
  <si>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</si>
  <si>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</si>
  <si>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</si>
  <si>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</si>
  <si>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</si>
  <si>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</si>
  <si>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</si>
  <si>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</si>
  <si>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</si>
  <si>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</si>
  <si>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</si>
  <si>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</si>
  <si>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</si>
  <si>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</si>
  <si>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</si>
  <si>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</si>
  <si>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</si>
  <si>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</si>
  <si>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</si>
  <si>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</si>
  <si>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</si>
  <si>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</si>
  <si>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</si>
  <si>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</si>
  <si>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</si>
  <si>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</si>
  <si>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</si>
  <si>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</si>
  <si>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</si>
  <si>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</si>
  <si>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</si>
  <si>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</si>
  <si>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</si>
  <si>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</si>
  <si>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</si>
  <si>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</si>
  <si>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</si>
  <si>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</si>
  <si>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</si>
  <si>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</si>
  <si>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</si>
  <si>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</si>
  <si>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</si>
  <si>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</si>
  <si>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</si>
  <si>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</si>
  <si>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</si>
  <si>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</si>
  <si>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</si>
  <si>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</si>
  <si>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</si>
  <si>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</si>
  <si>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</si>
  <si>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</si>
  <si>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</si>
  <si>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</si>
  <si>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</si>
  <si>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</si>
  <si>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</si>
  <si>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</si>
  <si>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</si>
  <si>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</si>
  <si>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</si>
  <si>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</si>
  <si>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</si>
  <si>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</si>
  <si>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</si>
  <si>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</si>
  <si>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</si>
  <si>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</si>
  <si>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</si>
  <si>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</si>
  <si>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</si>
  <si>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</si>
  <si>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</si>
  <si>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</si>
  <si>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</si>
  <si>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</si>
  <si>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</si>
  <si>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</si>
  <si>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</si>
  <si>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</si>
  <si>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</si>
  <si>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</si>
  <si>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</si>
  <si>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</si>
  <si>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</si>
  <si>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</si>
  <si>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</si>
  <si>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</si>
  <si>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</si>
  <si>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</si>
  <si>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</si>
  <si>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</si>
  <si>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</si>
  <si>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</si>
  <si>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</si>
  <si>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</si>
  <si>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</si>
  <si>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</si>
  <si>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</si>
  <si>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</si>
  <si>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</si>
  <si>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</si>
  <si>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</si>
  <si>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</si>
  <si>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</si>
  <si>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</si>
  <si>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</si>
  <si>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</si>
  <si>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</si>
  <si>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</si>
  <si>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</si>
  <si>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</si>
  <si>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</si>
  <si>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</si>
  <si>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</si>
  <si>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</si>
  <si>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</si>
  <si>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</si>
  <si>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</si>
  <si>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</si>
  <si>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</si>
  <si>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</si>
  <si>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</si>
  <si>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</si>
  <si>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</si>
  <si>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</si>
  <si>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</si>
  <si>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</si>
  <si>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</si>
  <si>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</si>
  <si>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</si>
  <si>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</si>
  <si>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</si>
  <si>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</si>
  <si>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</si>
  <si>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</si>
  <si>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</si>
  <si>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</si>
  <si>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</si>
  <si>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</si>
  <si>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</si>
  <si>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</si>
  <si>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</si>
  <si>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</si>
  <si>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</si>
  <si>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</si>
  <si>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</si>
  <si>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</si>
  <si>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</si>
  <si>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</si>
  <si>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</si>
  <si>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</si>
  <si>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</si>
  <si>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</si>
  <si>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</si>
  <si>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</si>
  <si>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</si>
  <si>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</si>
  <si>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</si>
  <si>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</si>
  <si>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</si>
  <si>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</si>
  <si>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</si>
  <si>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</si>
  <si>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</si>
  <si>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</si>
  <si>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</si>
  <si>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</si>
  <si>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</si>
  <si>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</si>
  <si>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</si>
  <si>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</si>
  <si>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</si>
  <si>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</si>
  <si>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</si>
  <si>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</si>
  <si>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</si>
  <si>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</si>
  <si>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</si>
  <si>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</si>
  <si>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</si>
  <si>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</si>
  <si>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</si>
  <si>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</si>
  <si>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</si>
  <si>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</si>
  <si>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</si>
  <si>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</si>
  <si>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</si>
  <si>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</si>
  <si>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</si>
  <si>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</si>
  <si>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</si>
  <si>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</si>
  <si>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</si>
  <si>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</si>
  <si>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</si>
  <si>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</si>
  <si>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</si>
  <si>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</si>
  <si>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</si>
  <si>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</si>
  <si>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</si>
  <si>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</si>
  <si>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</si>
  <si>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</si>
  <si>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</si>
  <si>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</si>
  <si>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</si>
  <si>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</si>
  <si>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</si>
  <si>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</si>
  <si>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</si>
  <si>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</si>
  <si>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</si>
  <si>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</si>
  <si>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</si>
  <si>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</si>
  <si>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</si>
  <si>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</si>
  <si>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</si>
  <si>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</si>
  <si>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</si>
  <si>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</si>
  <si>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</si>
  <si>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</si>
  <si>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</si>
  <si>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</si>
  <si>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</si>
  <si>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</si>
  <si>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</si>
  <si>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</si>
  <si>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</si>
  <si>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</si>
  <si>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</si>
  <si>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</si>
  <si>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</si>
  <si>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</si>
  <si>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</si>
  <si>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</si>
  <si>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</si>
  <si>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</si>
  <si>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</si>
  <si>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</si>
  <si>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</si>
  <si>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</si>
  <si>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</si>
  <si>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</si>
  <si>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</si>
  <si>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</si>
  <si>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</si>
  <si>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</si>
  <si>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</si>
  <si>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</si>
  <si>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</si>
  <si>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</si>
  <si>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</si>
  <si>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</si>
  <si>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</si>
  <si>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</si>
  <si>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</si>
  <si>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</si>
  <si>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</si>
  <si>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</si>
  <si>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</si>
  <si>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</si>
  <si>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</si>
  <si>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</si>
  <si>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</si>
  <si>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</si>
  <si>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</si>
  <si>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</si>
  <si>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</si>
  <si>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</si>
  <si>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</si>
  <si>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</si>
  <si>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</si>
  <si>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</si>
  <si>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</si>
  <si>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</si>
  <si>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</si>
  <si>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</si>
  <si>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</si>
  <si>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</si>
  <si>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</si>
  <si>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</si>
  <si>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</si>
  <si>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</si>
  <si>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</si>
  <si>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</si>
  <si>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</si>
  <si>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</si>
  <si>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</si>
  <si>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</si>
  <si>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</si>
  <si>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</si>
  <si>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</si>
  <si>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</si>
  <si>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</si>
  <si>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</si>
  <si>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</si>
  <si>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</si>
  <si>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</si>
  <si>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</si>
  <si>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</si>
  <si>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</si>
  <si>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</si>
  <si>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</si>
  <si>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</si>
  <si>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</si>
  <si>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</si>
  <si>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</si>
  <si>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</si>
  <si>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</si>
  <si>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</si>
  <si>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</si>
  <si>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</si>
  <si>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</si>
  <si>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</si>
  <si>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</si>
  <si>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</si>
  <si>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</si>
  <si>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</si>
  <si>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</si>
  <si>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</si>
  <si>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</si>
  <si>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</si>
  <si>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</si>
  <si>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</si>
  <si>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</si>
  <si>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</si>
  <si>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</si>
  <si>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</si>
  <si>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</si>
  <si>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</si>
  <si>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</si>
  <si>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</si>
  <si>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</si>
  <si>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</si>
  <si>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</si>
  <si>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</si>
  <si>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</si>
  <si>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</si>
  <si>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</si>
  <si>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</si>
  <si>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</si>
  <si>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</si>
  <si>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</si>
  <si>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</si>
  <si>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</si>
  <si>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</si>
  <si>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</si>
  <si>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</si>
  <si>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</si>
  <si>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</si>
  <si>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</si>
  <si>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</si>
  <si>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</si>
  <si>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</si>
  <si>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</si>
  <si>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</si>
  <si>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</si>
  <si>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</si>
  <si>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</si>
  <si>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</si>
  <si>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</si>
  <si>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</si>
  <si>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</si>
  <si>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</si>
  <si>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</si>
  <si>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</si>
  <si>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</si>
  <si>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</si>
  <si>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</si>
  <si>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</si>
  <si>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</si>
  <si>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</si>
  <si>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</si>
  <si>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</si>
  <si>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</si>
  <si>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</si>
  <si>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</si>
  <si>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</si>
  <si>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</si>
  <si>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</si>
  <si>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</si>
  <si>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</si>
  <si>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</si>
  <si>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</si>
  <si>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</si>
  <si>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</si>
  <si>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</si>
  <si>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</si>
  <si>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</si>
  <si>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</si>
  <si>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</si>
  <si>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</si>
  <si>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</si>
  <si>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</si>
  <si>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</si>
  <si>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</si>
  <si>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</si>
  <si>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</si>
  <si>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</si>
  <si>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</si>
  <si>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</si>
  <si>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</si>
  <si>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</si>
  <si>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</si>
  <si>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</si>
  <si>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</si>
  <si>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</si>
  <si>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</si>
  <si>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</si>
  <si>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</si>
  <si>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</si>
  <si>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</si>
  <si>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</si>
  <si>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</si>
  <si>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</si>
  <si>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</si>
  <si>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</si>
  <si>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</si>
  <si>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</si>
  <si>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</si>
  <si>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</si>
  <si>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</si>
  <si>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</si>
  <si>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</si>
  <si>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</si>
  <si>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</si>
  <si>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</si>
  <si>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</si>
  <si>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</si>
  <si>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</si>
  <si>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</si>
  <si>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</si>
  <si>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</si>
  <si>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</si>
  <si>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</si>
  <si>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</si>
  <si>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</si>
  <si>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</si>
  <si>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</si>
  <si>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</si>
  <si>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</si>
  <si>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</si>
  <si>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</si>
  <si>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</si>
  <si>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</si>
  <si>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</si>
  <si>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</si>
  <si>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</si>
  <si>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</si>
  <si>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</si>
  <si>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</si>
  <si>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</si>
  <si>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</si>
  <si>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</si>
  <si>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</si>
  <si>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</si>
  <si>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</si>
  <si>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</si>
  <si>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</si>
  <si>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</si>
  <si>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</si>
  <si>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</si>
  <si>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</si>
  <si>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</si>
  <si>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</si>
  <si>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</si>
  <si>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</si>
  <si>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</si>
  <si>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</si>
  <si>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</si>
  <si>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</si>
  <si>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</si>
  <si>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</si>
  <si>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</si>
  <si>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</si>
  <si>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</si>
  <si>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</si>
  <si>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</si>
  <si>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</si>
  <si>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</si>
  <si>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</si>
  <si>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</si>
  <si>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</si>
  <si>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</si>
  <si>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</si>
  <si>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</si>
  <si>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</si>
  <si>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</si>
  <si>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</si>
  <si>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</si>
  <si>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</si>
  <si>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</si>
  <si>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</si>
  <si>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</si>
  <si>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</si>
  <si>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</si>
  <si>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</si>
  <si>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</si>
  <si>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</si>
  <si>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</si>
  <si>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</si>
  <si>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</si>
  <si>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</si>
  <si>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</si>
  <si>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</si>
  <si>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</si>
  <si>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</si>
  <si>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</si>
  <si>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</si>
  <si>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</si>
  <si>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</si>
  <si>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</si>
  <si>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</si>
  <si>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</si>
  <si>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</si>
  <si>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</si>
  <si>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</si>
  <si>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</si>
  <si>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</si>
  <si>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</si>
  <si>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</si>
  <si>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</si>
  <si>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</si>
  <si>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</si>
  <si>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</si>
  <si>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</si>
  <si>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</si>
  <si>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</si>
  <si>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</si>
  <si>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</si>
  <si>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</si>
  <si>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</si>
  <si>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</si>
  <si>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</si>
  <si>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</si>
  <si>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</si>
  <si>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</si>
  <si>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</si>
  <si>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</si>
  <si>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</si>
  <si>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</si>
  <si>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</si>
  <si>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</si>
  <si>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</si>
  <si>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</si>
  <si>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</si>
  <si>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</si>
  <si>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</si>
  <si>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</si>
  <si>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</si>
  <si>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</si>
  <si>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</si>
  <si>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</si>
  <si>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</si>
  <si>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</si>
  <si>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</si>
  <si>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</si>
  <si>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</si>
  <si>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</si>
  <si>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</si>
  <si>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</si>
  <si>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</si>
  <si>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</si>
  <si>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</si>
  <si>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</si>
  <si>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</si>
  <si>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</si>
  <si>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</si>
  <si>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</si>
  <si>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</si>
  <si>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</si>
  <si>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</si>
  <si>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</si>
  <si>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</si>
  <si>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</si>
  <si>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</si>
  <si>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</si>
  <si>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</si>
  <si>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</si>
  <si>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</si>
  <si>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</si>
  <si>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</si>
  <si>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</si>
  <si>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</si>
  <si>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</si>
  <si>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</si>
  <si>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</si>
  <si>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</si>
  <si>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</si>
  <si>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</si>
  <si>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</si>
  <si>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</si>
  <si>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</si>
  <si>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</si>
  <si>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</si>
  <si>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</si>
  <si>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</si>
  <si>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</si>
  <si>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</si>
  <si>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</si>
  <si>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</si>
  <si>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</si>
  <si>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</si>
  <si>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</si>
  <si>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</si>
  <si>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</si>
  <si>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</si>
  <si>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</si>
  <si>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</si>
  <si>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</si>
  <si>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</si>
  <si>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</si>
  <si>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</si>
  <si>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</si>
  <si>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</si>
  <si>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</si>
  <si>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</si>
  <si>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</si>
  <si>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</si>
  <si>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</si>
  <si>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</si>
  <si>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</si>
  <si>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</si>
  <si>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</si>
  <si>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</si>
  <si>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</si>
  <si>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</si>
  <si>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</si>
  <si>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</si>
  <si>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</si>
  <si>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</si>
  <si>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</si>
  <si>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</si>
  <si>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</si>
  <si>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</si>
  <si>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</si>
  <si>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</si>
  <si>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</si>
  <si>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</si>
  <si>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</si>
  <si>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</si>
  <si>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</si>
  <si>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</si>
  <si>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</si>
  <si>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</si>
  <si>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</si>
  <si>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</si>
  <si>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</si>
  <si>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</si>
  <si>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</si>
  <si>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</si>
  <si>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</si>
  <si>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</si>
  <si>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</si>
  <si>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</si>
  <si>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</si>
  <si>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</si>
  <si>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</si>
  <si>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</si>
  <si>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</si>
  <si>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</si>
  <si>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</si>
  <si>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</si>
  <si>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</si>
  <si>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</si>
  <si>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</si>
  <si>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</si>
  <si>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</si>
  <si>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</si>
  <si>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</si>
  <si>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</si>
  <si>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</si>
  <si>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</si>
  <si>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</si>
  <si>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</si>
  <si>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</si>
  <si>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</si>
  <si>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</si>
  <si>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</si>
  <si>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</si>
  <si>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</si>
  <si>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</si>
  <si>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</si>
  <si>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</si>
  <si>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</si>
  <si>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</si>
  <si>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</si>
  <si>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</si>
  <si>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</si>
  <si>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</si>
  <si>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</si>
  <si>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</si>
  <si>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</si>
  <si>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</si>
  <si>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</si>
  <si>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</si>
  <si>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</si>
  <si>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</si>
  <si>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</si>
  <si>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</si>
  <si>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</si>
  <si>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</si>
  <si>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</si>
  <si>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</si>
  <si>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</si>
  <si>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</si>
  <si>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</si>
  <si>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</si>
  <si>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</si>
  <si>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</si>
  <si>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</si>
  <si>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</si>
  <si>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</si>
  <si>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</si>
  <si>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</si>
  <si>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</si>
  <si>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</si>
  <si>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</si>
  <si>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</si>
  <si>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</si>
  <si>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</si>
  <si>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</si>
  <si>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</si>
  <si>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</si>
  <si>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</si>
  <si>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</si>
  <si>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</si>
  <si>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</si>
  <si>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</si>
  <si>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</si>
  <si>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</si>
  <si>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</si>
  <si>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</si>
  <si>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</si>
  <si>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</si>
  <si>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</si>
  <si>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</si>
  <si>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</si>
  <si>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</si>
  <si>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</si>
  <si>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</si>
  <si>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</si>
  <si>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</si>
  <si>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</si>
  <si>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</si>
  <si>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</si>
  <si>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</si>
  <si>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</si>
  <si>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</si>
  <si>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</si>
  <si>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</si>
  <si>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</si>
  <si>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</si>
  <si>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</si>
  <si>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</si>
  <si>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</si>
  <si>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</si>
  <si>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</si>
  <si>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</si>
  <si>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</si>
  <si>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</si>
  <si>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</si>
  <si>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</si>
  <si>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</si>
  <si>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</si>
  <si>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</si>
  <si>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</si>
  <si>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</si>
  <si>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</si>
  <si>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</si>
  <si>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</si>
  <si>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</si>
  <si>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</si>
  <si>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</si>
  <si>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</si>
  <si>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</si>
  <si>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</si>
  <si>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</si>
  <si>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</si>
  <si>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</si>
  <si>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</si>
  <si>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</si>
  <si>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</si>
  <si>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</si>
  <si>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</si>
  <si>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</si>
  <si>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</si>
  <si>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</si>
  <si>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</si>
  <si>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</si>
  <si>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</si>
  <si>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</si>
  <si>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</si>
  <si>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</si>
  <si>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</si>
  <si>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</si>
  <si>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</si>
  <si>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</si>
  <si>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</si>
  <si>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</si>
  <si>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</si>
  <si>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</si>
  <si>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</si>
  <si>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</si>
  <si>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</si>
  <si>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</si>
  <si>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</si>
  <si>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</si>
  <si>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</si>
  <si>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</si>
  <si>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</si>
  <si>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</si>
  <si>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</si>
  <si>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</si>
  <si>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</si>
  <si>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</si>
  <si>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</si>
  <si>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</si>
  <si>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</si>
  <si>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</si>
  <si>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</si>
  <si>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</si>
  <si>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</si>
  <si>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</si>
  <si>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</si>
  <si>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</si>
  <si>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</si>
  <si>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</si>
  <si>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</si>
  <si>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</si>
  <si>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</si>
  <si>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</si>
  <si>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</si>
  <si>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</si>
  <si>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</si>
  <si>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</si>
  <si>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</si>
  <si>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</si>
  <si>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</si>
  <si>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</si>
  <si>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</si>
  <si>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</si>
  <si>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</si>
  <si>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</si>
  <si>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</si>
  <si>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</si>
  <si>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</si>
  <si>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</si>
  <si>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</si>
  <si>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</si>
  <si>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</si>
  <si>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</si>
  <si>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</si>
  <si>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</si>
  <si>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</si>
  <si>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</si>
  <si>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</si>
  <si>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</si>
  <si>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</si>
  <si>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</si>
  <si>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</si>
  <si>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</si>
  <si>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</si>
  <si>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</si>
  <si>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</si>
  <si>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</si>
  <si>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</si>
  <si>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</si>
  <si>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</si>
  <si>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</si>
  <si>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</si>
  <si>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</si>
  <si>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</si>
  <si>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</si>
  <si>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</si>
  <si>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</si>
  <si>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</si>
  <si>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</si>
  <si>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</si>
  <si>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</si>
  <si>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</si>
  <si>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</si>
  <si>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</si>
  <si>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</si>
  <si>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</si>
  <si>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</si>
  <si>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</si>
  <si>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</si>
  <si>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</si>
  <si>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</si>
  <si>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</si>
  <si>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</si>
  <si>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</si>
  <si>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</si>
  <si>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</si>
  <si>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</si>
  <si>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</si>
  <si>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</si>
  <si>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</si>
  <si>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</si>
  <si>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</si>
  <si>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</si>
  <si>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</si>
  <si>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</si>
  <si>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</si>
  <si>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</si>
  <si>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</si>
  <si>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</si>
  <si>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</si>
  <si>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</si>
  <si>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</si>
  <si>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</si>
  <si>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</si>
  <si>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</si>
  <si>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</si>
  <si>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</si>
  <si>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</si>
  <si>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</si>
  <si>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</si>
  <si>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</si>
  <si>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</si>
  <si>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</si>
  <si>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</si>
  <si>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</si>
  <si>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</si>
  <si>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</si>
  <si>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</si>
  <si>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</si>
  <si>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</si>
  <si>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</si>
  <si>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</si>
  <si>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</si>
  <si>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</si>
  <si>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</si>
  <si>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</si>
  <si>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</si>
  <si>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</si>
  <si>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</si>
  <si>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</si>
  <si>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</si>
  <si>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</si>
  <si>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</si>
  <si>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</si>
  <si>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</si>
  <si>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</si>
  <si>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</si>
  <si>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</si>
  <si>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</si>
  <si>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</si>
  <si>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</si>
  <si>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</si>
  <si>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</si>
  <si>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</si>
  <si>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</si>
  <si>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</si>
  <si>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</si>
  <si>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</si>
  <si>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</si>
  <si>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</si>
  <si>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</si>
  <si>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</si>
  <si>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</si>
  <si>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</si>
  <si>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</si>
  <si>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</si>
  <si>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</si>
  <si>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</si>
  <si>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</si>
  <si>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</si>
  <si>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</si>
  <si>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</si>
  <si>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</si>
  <si>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</si>
  <si>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</si>
  <si>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</si>
  <si>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</si>
  <si>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</si>
  <si>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</si>
  <si>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</si>
  <si>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</si>
  <si>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</si>
  <si>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</si>
  <si>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</si>
  <si>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</si>
  <si>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</si>
  <si>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</si>
  <si>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</si>
  <si>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</si>
  <si>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</si>
  <si>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</si>
  <si>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</si>
  <si>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</si>
  <si>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</si>
  <si>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</si>
  <si>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</si>
  <si>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</si>
  <si>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</si>
  <si>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</si>
  <si>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</si>
  <si>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</si>
  <si>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</si>
  <si>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</si>
  <si>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</si>
  <si>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</si>
  <si>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</si>
  <si>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</si>
  <si>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</si>
  <si>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</si>
  <si>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</si>
  <si>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</si>
  <si>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</si>
  <si>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</si>
  <si>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</si>
  <si>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</si>
  <si>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</si>
  <si>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</si>
  <si>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</si>
  <si>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</si>
  <si>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</si>
  <si>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</si>
  <si>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</si>
  <si>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</si>
  <si>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</si>
  <si>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</si>
  <si>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</si>
  <si>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</si>
  <si>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</si>
  <si>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</si>
  <si>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</si>
  <si>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</si>
  <si>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</si>
  <si>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</si>
  <si>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</si>
  <si>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</si>
  <si>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</si>
  <si>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</si>
  <si>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</si>
  <si>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</si>
  <si>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</si>
  <si>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</si>
  <si>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</si>
  <si>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</si>
  <si>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</si>
  <si>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</si>
  <si>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</si>
  <si>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</si>
  <si>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</si>
  <si>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</si>
  <si>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</si>
  <si>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</si>
  <si>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</si>
  <si>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</si>
  <si>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</si>
  <si>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</si>
  <si>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</si>
  <si>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</si>
  <si>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</si>
  <si>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</si>
  <si>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</si>
  <si>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</si>
  <si>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</si>
  <si>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</si>
  <si>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</si>
  <si>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</si>
  <si>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</si>
  <si>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</si>
  <si>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</si>
  <si>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</si>
  <si>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</si>
  <si>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</si>
  <si>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</si>
  <si>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</si>
  <si>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</si>
  <si>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</si>
  <si>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</si>
  <si>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</si>
  <si>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</si>
  <si>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</si>
  <si>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</si>
  <si>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</si>
  <si>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</si>
  <si>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</si>
  <si>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</si>
  <si>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</si>
  <si>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</si>
  <si>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</si>
  <si>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</si>
  <si>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</si>
  <si>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</si>
  <si>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</si>
  <si>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</si>
  <si>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</si>
  <si>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</si>
  <si>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</si>
  <si>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</si>
  <si>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</si>
  <si>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</si>
  <si>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</si>
  <si>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</si>
  <si>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</si>
  <si>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</si>
  <si>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</si>
  <si>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</si>
  <si>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</si>
  <si>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</si>
  <si>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</si>
  <si>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</si>
  <si>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</si>
  <si>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</si>
  <si>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</si>
  <si>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</si>
  <si>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</si>
  <si>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</si>
  <si>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</si>
  <si>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</si>
  <si>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</si>
  <si>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</si>
  <si>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</si>
  <si>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</si>
  <si>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</si>
  <si>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</si>
  <si>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</si>
  <si>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</si>
  <si>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</si>
  <si>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</si>
  <si>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</si>
  <si>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</si>
  <si>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</si>
  <si>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</si>
  <si>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</si>
  <si>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</si>
  <si>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</si>
  <si>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</si>
  <si>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</si>
  <si>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</si>
  <si>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</si>
  <si>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</si>
  <si>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</si>
  <si>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</si>
  <si>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</si>
  <si>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</si>
  <si>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</si>
  <si>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</si>
  <si>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</si>
  <si>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</si>
  <si>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</si>
  <si>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</si>
  <si>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</si>
  <si>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</si>
  <si>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</si>
  <si>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</si>
  <si>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</si>
  <si>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</si>
  <si>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</si>
  <si>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</si>
  <si>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</si>
  <si>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</si>
  <si>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</si>
  <si>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</si>
  <si>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</si>
  <si>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</si>
  <si>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</si>
  <si>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</si>
  <si>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</si>
  <si>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</si>
  <si>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</si>
  <si>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</si>
  <si>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</si>
  <si>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</si>
  <si>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</si>
  <si>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</si>
  <si>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</si>
  <si>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</si>
  <si>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</si>
  <si>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</si>
  <si>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</si>
  <si>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</si>
  <si>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</si>
  <si>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</si>
  <si>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</si>
  <si>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</si>
  <si>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</si>
  <si>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</si>
  <si>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</si>
  <si>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</si>
  <si>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</si>
  <si>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</si>
  <si>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</si>
  <si>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</si>
  <si>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</si>
  <si>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</si>
  <si>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</si>
  <si>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</si>
  <si>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</si>
  <si>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</si>
  <si>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</si>
  <si>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</si>
  <si>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</si>
  <si>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</si>
  <si>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</si>
  <si>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</si>
  <si>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</si>
  <si>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</si>
  <si>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</si>
  <si>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</si>
  <si>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</si>
  <si>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</si>
  <si>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</si>
  <si>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</si>
  <si>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</si>
  <si>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</si>
  <si>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</si>
  <si>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</si>
  <si>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</si>
  <si>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</si>
  <si>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</si>
  <si>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</si>
  <si>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</si>
  <si>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</si>
  <si>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</si>
  <si>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</si>
  <si>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</si>
  <si>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</si>
  <si>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</si>
  <si>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</si>
  <si>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</si>
  <si>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</si>
  <si>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</si>
  <si>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</si>
  <si>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</si>
  <si>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</si>
  <si>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</si>
  <si>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</si>
  <si>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</si>
  <si>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</si>
  <si>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</si>
  <si>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</si>
  <si>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</si>
  <si>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</si>
  <si>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</si>
  <si>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</si>
  <si>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</si>
  <si>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</si>
  <si>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</si>
  <si>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</si>
  <si>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</si>
  <si>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</si>
  <si>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</si>
  <si>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</si>
  <si>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</si>
  <si>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</si>
  <si>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</si>
  <si>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</si>
  <si>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</si>
  <si>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</si>
  <si>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</si>
  <si>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</si>
  <si>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</si>
  <si>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</si>
  <si>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</si>
  <si>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</si>
  <si>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</si>
  <si>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</si>
  <si>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</si>
  <si>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</si>
  <si>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</si>
  <si>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</si>
  <si>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</si>
  <si>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</si>
  <si>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</si>
  <si>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</si>
  <si>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</si>
  <si>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</si>
  <si>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</si>
  <si>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</si>
  <si>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</si>
  <si>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</si>
  <si>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</si>
  <si>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</si>
  <si>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</si>
  <si>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</si>
  <si>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</si>
  <si>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</si>
  <si>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</si>
  <si>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</si>
  <si>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</si>
  <si>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</si>
  <si>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</si>
  <si>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</si>
  <si>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</si>
  <si>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</si>
  <si>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</si>
  <si>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</si>
  <si>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</si>
  <si>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</si>
  <si>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</si>
  <si>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</si>
  <si>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</si>
  <si>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</si>
  <si>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</si>
  <si>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</si>
  <si>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</si>
  <si>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</si>
  <si>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</si>
  <si>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</si>
  <si>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</si>
  <si>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</si>
  <si>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</si>
  <si>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</si>
  <si>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</si>
  <si>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</si>
  <si>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</si>
  <si>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</si>
  <si>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</si>
  <si>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</si>
  <si>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</si>
  <si>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</si>
  <si>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</si>
  <si>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</si>
  <si>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</si>
  <si>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</si>
  <si>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</si>
  <si>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</si>
  <si>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</si>
  <si>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</si>
  <si>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</si>
  <si>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</si>
  <si>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</si>
  <si>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</si>
  <si>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</si>
  <si>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</si>
  <si>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</si>
  <si>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</si>
  <si>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</si>
  <si>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</si>
  <si>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</si>
  <si>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</si>
  <si>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</si>
  <si>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</si>
  <si>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</si>
  <si>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</si>
  <si>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</si>
  <si>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</si>
  <si>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</si>
  <si>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</si>
  <si>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</si>
  <si>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</si>
  <si>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</si>
  <si>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</si>
  <si>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</si>
  <si>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</si>
  <si>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</si>
  <si>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</si>
  <si>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</si>
  <si>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</si>
  <si>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</si>
  <si>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</si>
  <si>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</si>
  <si>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</si>
  <si>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</si>
  <si>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</si>
  <si>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</si>
  <si>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</si>
  <si>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</si>
  <si>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</si>
  <si>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</si>
  <si>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</si>
  <si>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</si>
  <si>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</si>
  <si>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</si>
  <si>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</si>
  <si>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</si>
  <si>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</si>
  <si>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</si>
  <si>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</si>
  <si>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</si>
  <si>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</si>
  <si>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</si>
  <si>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</si>
  <si>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</si>
  <si>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</si>
  <si>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</si>
  <si>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</si>
  <si>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</si>
  <si>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</si>
  <si>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</si>
  <si>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</si>
  <si>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</si>
  <si>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</si>
  <si>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</si>
  <si>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</si>
  <si>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</si>
  <si>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</si>
  <si>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</si>
  <si>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</si>
  <si>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</si>
  <si>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</si>
  <si>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</si>
  <si>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</si>
  <si>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</si>
  <si>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</si>
  <si>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</si>
  <si>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</si>
  <si>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</si>
  <si>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</si>
  <si>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</si>
  <si>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</si>
  <si>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</si>
  <si>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</si>
  <si>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</si>
  <si>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</si>
  <si>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</si>
  <si>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</si>
  <si>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</si>
  <si>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</si>
  <si>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</si>
  <si>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</si>
  <si>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</si>
  <si>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</si>
  <si>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</si>
  <si>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</si>
  <si>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</si>
  <si>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</si>
  <si>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</si>
  <si>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</si>
  <si>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</si>
  <si>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</si>
  <si>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</si>
  <si>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</si>
  <si>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</si>
  <si>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</si>
  <si>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</si>
  <si>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</si>
  <si>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</si>
  <si>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</si>
  <si>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</si>
  <si>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</si>
  <si>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</si>
  <si>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</si>
  <si>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</si>
  <si>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</si>
  <si>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</si>
  <si>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</si>
  <si>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</si>
  <si>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</si>
  <si>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</si>
  <si>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</si>
  <si>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</si>
  <si>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</si>
  <si>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</si>
  <si>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</si>
  <si>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</si>
  <si>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</si>
  <si>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</si>
  <si>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</si>
  <si>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</si>
  <si>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</si>
  <si>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</si>
  <si>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</si>
  <si>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</si>
  <si>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</si>
  <si>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</si>
  <si>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</si>
  <si>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</si>
  <si>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</si>
  <si>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</si>
  <si>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</si>
  <si>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</si>
  <si>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</si>
  <si>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</si>
  <si>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</si>
  <si>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</si>
  <si>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</si>
  <si>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</si>
  <si>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</si>
  <si>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</si>
  <si>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</si>
  <si>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</si>
  <si>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</si>
  <si>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</si>
  <si>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</si>
  <si>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</si>
  <si>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</si>
  <si>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</si>
  <si>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</si>
  <si>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</si>
  <si>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</si>
  <si>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</si>
  <si>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</si>
  <si>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</si>
  <si>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</si>
  <si>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</si>
  <si>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</si>
  <si>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</si>
  <si>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</si>
  <si>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</si>
  <si>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</si>
  <si>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</si>
  <si>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</si>
  <si>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</si>
  <si>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</si>
  <si>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</si>
  <si>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</si>
  <si>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</si>
  <si>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</si>
  <si>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</si>
  <si>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</si>
  <si>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</si>
  <si>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</si>
  <si>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</si>
  <si>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</si>
  <si>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</si>
  <si>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</si>
  <si>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</si>
  <si>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</si>
  <si>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</si>
  <si>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</si>
  <si>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</si>
  <si>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</si>
  <si>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</si>
  <si>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</si>
  <si>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</si>
  <si>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</si>
  <si>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</si>
  <si>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</si>
  <si>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</si>
  <si>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</si>
  <si>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</si>
  <si>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</si>
  <si>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</si>
  <si>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</si>
  <si>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</si>
  <si>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</si>
  <si>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</si>
  <si>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</si>
  <si>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</si>
  <si>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</si>
  <si>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</si>
  <si>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</si>
  <si>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</si>
  <si>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</si>
  <si>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</si>
  <si>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</si>
  <si>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</si>
  <si>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</si>
  <si>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</si>
  <si>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</si>
  <si>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</si>
  <si>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</si>
  <si>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</si>
  <si>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</si>
  <si>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</si>
  <si>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</si>
  <si>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</si>
  <si>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</si>
  <si>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</si>
  <si>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</si>
  <si>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</si>
  <si>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</si>
  <si>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</si>
  <si>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</si>
  <si>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</si>
  <si>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</si>
  <si>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</si>
  <si>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</si>
  <si>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</si>
  <si>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</si>
  <si>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</si>
  <si>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</si>
  <si>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</si>
  <si>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</si>
  <si>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</si>
  <si>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</si>
  <si>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</si>
  <si>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</si>
  <si>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</si>
  <si>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</si>
  <si>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</si>
  <si>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</si>
  <si>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</si>
  <si>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</si>
  <si>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</si>
  <si>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</si>
  <si>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</si>
  <si>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</si>
  <si>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</si>
  <si>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</si>
  <si>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</si>
  <si>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</si>
  <si>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</si>
  <si>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</si>
  <si>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</si>
  <si>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</si>
  <si>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</si>
  <si>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</si>
  <si>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</si>
  <si>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</si>
  <si>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</si>
  <si>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</si>
  <si>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</si>
  <si>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</si>
  <si>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</si>
  <si>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</si>
  <si>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</si>
  <si>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</si>
  <si>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</si>
  <si>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</si>
  <si>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</si>
  <si>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</si>
  <si>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</si>
  <si>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</si>
  <si>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</si>
  <si>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</si>
  <si>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</si>
  <si>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</si>
  <si>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</si>
  <si>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</si>
  <si>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</si>
  <si>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</si>
  <si>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</si>
  <si>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</si>
  <si>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</si>
  <si>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</si>
  <si>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</si>
  <si>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</si>
  <si>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</si>
  <si>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</si>
  <si>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</si>
  <si>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</si>
  <si>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</si>
  <si>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</si>
  <si>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</si>
  <si>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</si>
  <si>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</si>
  <si>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</si>
  <si>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</si>
  <si>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</si>
  <si>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</si>
  <si>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</si>
  <si>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</si>
  <si>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</si>
  <si>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</si>
  <si>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</si>
  <si>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</si>
  <si>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</si>
  <si>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</si>
  <si>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</si>
  <si>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</si>
  <si>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</si>
  <si>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</si>
  <si>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</si>
  <si>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</si>
  <si>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</si>
  <si>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</si>
  <si>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</si>
  <si>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</si>
  <si>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</si>
  <si>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</si>
  <si>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</si>
  <si>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</si>
  <si>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</si>
  <si>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</si>
  <si>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</si>
  <si>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</si>
  <si>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</si>
  <si>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</si>
  <si>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</si>
  <si>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</si>
  <si>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</si>
  <si>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</si>
  <si>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</si>
  <si>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</si>
  <si>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</si>
  <si>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</si>
  <si>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</si>
  <si>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</si>
  <si>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</si>
  <si>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</si>
  <si>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</si>
  <si>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</si>
  <si>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</si>
  <si>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</si>
  <si>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</si>
  <si>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</si>
  <si>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</si>
  <si>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</si>
  <si>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</si>
  <si>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</si>
  <si>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</si>
  <si>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</si>
  <si>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</si>
  <si>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</si>
  <si>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</si>
  <si>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</si>
  <si>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</si>
  <si>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</si>
  <si>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</si>
  <si>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</si>
  <si>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</si>
  <si>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</si>
  <si>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</si>
  <si>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</si>
  <si>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</si>
  <si>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</si>
  <si>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</si>
  <si>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</si>
  <si>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</si>
  <si>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</si>
  <si>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</si>
  <si>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</si>
  <si>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</si>
  <si>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</si>
  <si>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</si>
  <si>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</si>
  <si>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</si>
  <si>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</si>
  <si>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</si>
  <si>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</si>
  <si>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</si>
  <si>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</si>
  <si>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</si>
  <si>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</si>
  <si>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</si>
  <si>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</si>
  <si>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</si>
  <si>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</si>
  <si>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</si>
  <si>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</si>
  <si>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</si>
  <si>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</si>
  <si>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</si>
  <si>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</si>
  <si>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</si>
  <si>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</si>
  <si>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</si>
  <si>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</si>
  <si>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</si>
  <si>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</si>
  <si>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</si>
  <si>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</si>
  <si>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</si>
  <si>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</si>
  <si>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</si>
  <si>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</si>
  <si>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</si>
  <si>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</si>
  <si>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</si>
  <si>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</si>
  <si>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</si>
  <si>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</si>
  <si>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</si>
  <si>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</si>
  <si>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</si>
  <si>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</si>
  <si>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</si>
  <si>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</si>
  <si>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</si>
  <si>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</si>
  <si>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</si>
  <si>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</si>
  <si>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</si>
  <si>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</si>
  <si>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</si>
  <si>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</si>
  <si>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</si>
  <si>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</si>
  <si>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</si>
  <si>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</si>
  <si>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</si>
  <si>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</si>
  <si>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</si>
  <si>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</si>
  <si>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</si>
  <si>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</si>
  <si>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</si>
  <si>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</si>
  <si>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</si>
  <si>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</si>
  <si>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</si>
  <si>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</si>
  <si>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</si>
  <si>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</si>
  <si>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</si>
  <si>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</si>
  <si>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</si>
  <si>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</si>
  <si>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</si>
  <si>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</si>
  <si>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</si>
  <si>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</si>
  <si>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</si>
  <si>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</si>
  <si>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</si>
  <si>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</si>
  <si>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</si>
  <si>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</si>
  <si>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</si>
  <si>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</si>
  <si>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</si>
  <si>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</si>
  <si>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</si>
  <si>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</si>
  <si>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</si>
  <si>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</si>
  <si>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</si>
  <si>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</si>
  <si>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</si>
  <si>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</si>
  <si>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</si>
  <si>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</si>
  <si>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</si>
  <si>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</si>
  <si>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</si>
  <si>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</si>
  <si>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</si>
  <si>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</si>
  <si>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</si>
  <si>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</si>
  <si>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</si>
  <si>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</si>
  <si>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</si>
  <si>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</si>
  <si>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</si>
  <si>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</si>
  <si>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</si>
  <si>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</si>
  <si>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</si>
  <si>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</si>
  <si>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</si>
  <si>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</si>
  <si>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</si>
  <si>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</si>
  <si>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</si>
  <si>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</si>
  <si>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</si>
  <si>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</si>
  <si>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</si>
  <si>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</si>
  <si>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</si>
  <si>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</si>
  <si>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</si>
  <si>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</si>
  <si>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</si>
  <si>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</si>
  <si>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</si>
  <si>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</si>
  <si>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</si>
  <si>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</si>
  <si>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</si>
  <si>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</si>
  <si>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</si>
  <si>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</si>
  <si>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</si>
  <si>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</si>
  <si>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</si>
  <si>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</si>
  <si>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</si>
  <si>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</si>
  <si>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</si>
  <si>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</si>
  <si>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</si>
  <si>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</si>
  <si>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</si>
  <si>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</si>
  <si>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</si>
  <si>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</si>
  <si>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</si>
  <si>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</si>
  <si>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</si>
  <si>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</si>
  <si>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</si>
  <si>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</si>
  <si>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</si>
  <si>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</si>
  <si>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</si>
  <si>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</si>
  <si>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</si>
  <si>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</si>
  <si>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</si>
  <si>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</si>
  <si>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</si>
  <si>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</si>
  <si>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</si>
  <si>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</si>
  <si>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</si>
  <si>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</si>
  <si>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</si>
  <si>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</si>
  <si>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</si>
  <si>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</si>
  <si>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</si>
  <si>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</si>
  <si>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</si>
  <si>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</si>
  <si>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</si>
  <si>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</si>
  <si>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</si>
  <si>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</si>
  <si>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</si>
  <si>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</si>
  <si>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</si>
  <si>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</si>
  <si>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</si>
  <si>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</si>
  <si>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</si>
  <si>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</si>
  <si>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</si>
  <si>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</si>
  <si>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</si>
  <si>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</si>
  <si>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</si>
  <si>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</si>
  <si>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</si>
  <si>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</si>
  <si>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</si>
  <si>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</si>
  <si>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</si>
  <si>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</si>
  <si>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</si>
  <si>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</si>
  <si>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</si>
  <si>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</si>
  <si>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</si>
  <si>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</si>
  <si>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</si>
  <si>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</si>
  <si>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</si>
  <si>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</si>
  <si>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</si>
  <si>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</si>
  <si>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</si>
  <si>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</si>
  <si>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</si>
  <si>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</si>
  <si>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</si>
  <si>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</si>
  <si>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</si>
  <si>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</si>
  <si>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</si>
  <si>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</si>
  <si>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</si>
  <si>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</si>
  <si>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</si>
  <si>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</si>
  <si>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</si>
  <si>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</si>
  <si>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</si>
  <si>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</si>
  <si>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</si>
  <si>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</si>
  <si>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</si>
  <si>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</si>
  <si>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</si>
  <si>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</si>
  <si>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</si>
  <si>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</si>
  <si>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</si>
  <si>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</si>
  <si>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</si>
  <si>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</si>
  <si>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</si>
  <si>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</si>
  <si>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</si>
  <si>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</si>
  <si>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</si>
  <si>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</si>
  <si>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</si>
  <si>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</si>
  <si>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</si>
  <si>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</si>
  <si>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</si>
  <si>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</si>
  <si>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</si>
  <si>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</si>
  <si>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</si>
  <si>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</si>
  <si>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</si>
  <si>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</si>
  <si>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</si>
  <si>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</si>
  <si>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</si>
  <si>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</si>
  <si>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</si>
  <si>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</si>
  <si>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</si>
  <si>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</si>
  <si>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</si>
  <si>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</si>
  <si>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</si>
  <si>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</si>
  <si>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</si>
  <si>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</si>
  <si>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</si>
  <si>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</si>
  <si>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</si>
  <si>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</si>
  <si>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</si>
  <si>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</si>
  <si>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</si>
  <si>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</si>
  <si>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</si>
  <si>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</si>
  <si>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</si>
  <si>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</si>
  <si>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</si>
  <si>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</si>
  <si>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</si>
  <si>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</si>
  <si>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</si>
  <si>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</si>
  <si>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</si>
  <si>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</si>
  <si>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</si>
  <si>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</si>
  <si>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</si>
  <si>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</si>
  <si>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</si>
  <si>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</si>
  <si>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</si>
  <si>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</si>
  <si>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</si>
  <si>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</si>
  <si>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</si>
  <si>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</si>
  <si>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</si>
  <si>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</si>
  <si>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</si>
  <si>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</si>
  <si>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</si>
  <si>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</si>
  <si>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</si>
  <si>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</si>
  <si>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</si>
  <si>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</si>
  <si>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</si>
  <si>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</si>
  <si>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</si>
  <si>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</si>
  <si>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</si>
  <si>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</si>
  <si>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</si>
  <si>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</si>
  <si>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</si>
  <si>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</si>
  <si>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</si>
  <si>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</si>
  <si>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</si>
  <si>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</si>
  <si>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</si>
  <si>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</si>
  <si>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</si>
  <si>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</si>
  <si>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</si>
  <si>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</si>
  <si>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</si>
  <si>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</si>
  <si>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</si>
  <si>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</si>
  <si>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</si>
  <si>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</si>
  <si>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</si>
  <si>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</si>
  <si>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</si>
  <si>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</si>
  <si>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</si>
  <si>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</si>
  <si>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</si>
  <si>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</si>
  <si>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</si>
  <si>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</si>
  <si>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</si>
  <si>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</si>
  <si>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</si>
  <si>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</si>
  <si>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</si>
  <si>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</si>
  <si>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</si>
  <si>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</si>
  <si>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</si>
  <si>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</si>
  <si>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</si>
  <si>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</si>
  <si>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</si>
  <si>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</si>
  <si>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</si>
  <si>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</si>
  <si>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</si>
  <si>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</si>
  <si>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</si>
  <si>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</si>
  <si>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</si>
  <si>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</si>
  <si>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</si>
  <si>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</si>
  <si>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</si>
  <si>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</si>
  <si>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</si>
  <si>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</si>
  <si>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</si>
  <si>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</si>
  <si>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</si>
  <si>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</si>
  <si>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</si>
  <si>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</si>
  <si>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</si>
  <si>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</si>
  <si>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</si>
  <si>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</si>
  <si>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</si>
  <si>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</si>
  <si>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</si>
  <si>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</si>
  <si>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</si>
  <si>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</si>
  <si>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</si>
  <si>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</si>
  <si>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</si>
  <si>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</si>
  <si>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</si>
  <si>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</si>
  <si>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</si>
  <si>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</si>
  <si>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</si>
  <si>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</si>
  <si>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</si>
  <si>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</si>
  <si>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</si>
  <si>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</si>
  <si>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</si>
  <si>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</si>
  <si>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</si>
  <si>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</si>
  <si>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</si>
  <si>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</si>
  <si>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</si>
  <si>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</si>
  <si>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</si>
  <si>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</si>
  <si>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</si>
  <si>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</si>
  <si>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</si>
  <si>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</si>
  <si>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</si>
  <si>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</si>
  <si>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</si>
  <si>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</si>
  <si>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</si>
  <si>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</si>
  <si>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</si>
  <si>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</si>
  <si>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</si>
  <si>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</si>
  <si>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</si>
  <si>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</si>
  <si>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</si>
  <si>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</si>
  <si>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</si>
  <si>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</si>
  <si>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</si>
  <si>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</si>
  <si>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</si>
  <si>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</si>
  <si>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</si>
  <si>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</si>
  <si>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</si>
  <si>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</si>
  <si>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</si>
  <si>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</si>
  <si>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</si>
  <si>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</si>
  <si>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</si>
  <si>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</si>
  <si>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</si>
  <si>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</si>
  <si>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</si>
  <si>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</si>
  <si>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</si>
  <si>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</si>
  <si>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</si>
  <si>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</si>
  <si>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</si>
  <si>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</si>
  <si>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</si>
  <si>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</si>
  <si>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</si>
  <si>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</si>
  <si>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</si>
  <si>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</si>
  <si>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</si>
  <si>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</si>
  <si>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</si>
  <si>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</si>
  <si>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</si>
  <si>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</si>
  <si>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</si>
  <si>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</si>
  <si>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</si>
  <si>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</si>
  <si>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</si>
  <si>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</si>
  <si>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</si>
  <si>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</si>
  <si>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</si>
  <si>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</si>
  <si>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</si>
  <si>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</si>
  <si>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</si>
  <si>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</si>
  <si>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</si>
  <si>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</si>
  <si>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</si>
  <si>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</si>
  <si>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</si>
  <si>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</si>
  <si>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</si>
  <si>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</si>
  <si>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</si>
  <si>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</si>
  <si>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</si>
  <si>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</si>
  <si>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</si>
  <si>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</si>
  <si>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</si>
  <si>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</si>
  <si>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</si>
  <si>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</si>
  <si>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</si>
  <si>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</si>
  <si>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</si>
  <si>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</si>
  <si>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</si>
  <si>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</si>
  <si>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</si>
  <si>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</si>
  <si>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</si>
  <si>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</si>
  <si>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</si>
  <si>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</si>
  <si>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</si>
  <si>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</si>
  <si>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</si>
  <si>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</si>
  <si>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</si>
  <si>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</si>
  <si>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</si>
  <si>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</si>
  <si>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</si>
  <si>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</si>
  <si>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</si>
  <si>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</si>
  <si>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</si>
  <si>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</si>
  <si>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</si>
  <si>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</si>
  <si>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</si>
  <si>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</si>
  <si>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</si>
  <si>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</si>
  <si>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</si>
  <si>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</si>
  <si>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</si>
  <si>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</si>
  <si>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</si>
  <si>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</si>
  <si>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</si>
  <si>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</si>
  <si>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</si>
  <si>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</si>
  <si>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</si>
  <si>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</si>
  <si>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</si>
  <si>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</si>
  <si>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</si>
  <si>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</si>
  <si>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</si>
  <si>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</si>
  <si>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</si>
  <si>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</si>
  <si>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</si>
  <si>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</si>
  <si>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</si>
  <si>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</si>
  <si>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</si>
  <si>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</si>
  <si>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</si>
  <si>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</si>
  <si>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</si>
  <si>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</si>
  <si>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</si>
  <si>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</si>
  <si>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</si>
  <si>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</si>
  <si>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</si>
  <si>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</si>
  <si>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</si>
  <si>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</si>
  <si>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</si>
  <si>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</si>
  <si>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</si>
  <si>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</si>
  <si>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</si>
  <si>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</si>
  <si>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</si>
  <si>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</si>
  <si>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</si>
  <si>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</si>
  <si>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</si>
  <si>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</si>
  <si>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</si>
  <si>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</si>
  <si>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</si>
  <si>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</si>
  <si>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</si>
  <si>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</si>
  <si>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</si>
  <si>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</si>
  <si>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</si>
  <si>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</si>
  <si>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</si>
  <si>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</si>
  <si>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</si>
  <si>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</si>
  <si>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</si>
  <si>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</si>
  <si>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</si>
  <si>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</si>
  <si>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</si>
  <si>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</si>
  <si>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</si>
  <si>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</si>
  <si>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</si>
  <si>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</si>
  <si>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</si>
  <si>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</si>
  <si>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</si>
  <si>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</si>
  <si>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</si>
  <si>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</si>
  <si>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</si>
  <si>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</si>
  <si>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</si>
  <si>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</si>
  <si>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</si>
  <si>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</si>
  <si>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</si>
  <si>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</si>
  <si>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</si>
  <si>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</si>
  <si>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</si>
  <si>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</si>
  <si>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</si>
  <si>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</si>
  <si>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</si>
  <si>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</si>
  <si>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</si>
  <si>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</si>
  <si>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</si>
  <si>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</si>
  <si>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</si>
  <si>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</si>
  <si>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</si>
  <si>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</si>
  <si>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</si>
  <si>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</si>
  <si>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</si>
  <si>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</si>
  <si>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</si>
  <si>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</si>
  <si>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</si>
  <si>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</si>
  <si>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</si>
  <si>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</si>
  <si>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</si>
  <si>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</si>
  <si>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</si>
  <si>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</si>
  <si>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</si>
  <si>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</si>
  <si>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</si>
  <si>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</si>
  <si>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</si>
  <si>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</si>
  <si>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</si>
  <si>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</si>
  <si>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</si>
  <si>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</si>
  <si>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</si>
  <si>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</si>
  <si>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</si>
  <si>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</si>
  <si>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</si>
  <si>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</si>
  <si>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</si>
  <si>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</si>
  <si>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</si>
  <si>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</si>
  <si>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</si>
  <si>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</si>
  <si>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</si>
  <si>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</si>
  <si>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</si>
  <si>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</si>
  <si>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</si>
  <si>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</si>
  <si>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</si>
  <si>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</si>
  <si>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</si>
  <si>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</si>
  <si>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</si>
  <si>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</si>
  <si>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</si>
  <si>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</si>
  <si>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</si>
  <si>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</si>
  <si>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</si>
  <si>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</si>
  <si>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</si>
  <si>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</si>
  <si>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</si>
  <si>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</si>
  <si>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</si>
  <si>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</si>
  <si>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</si>
  <si>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</si>
  <si>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</si>
  <si>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</si>
  <si>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</si>
  <si>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</si>
  <si>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</si>
  <si>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</si>
  <si>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</si>
  <si>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</si>
  <si>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</si>
  <si>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</si>
  <si>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</si>
  <si>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</si>
  <si>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</si>
  <si>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</si>
  <si>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</si>
  <si>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</si>
  <si>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</si>
  <si>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</si>
  <si>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</si>
  <si>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</si>
  <si>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</si>
  <si>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</si>
  <si>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</si>
  <si>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</si>
  <si>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</si>
  <si>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</si>
  <si>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</si>
  <si>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</si>
  <si>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</si>
  <si>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</si>
  <si>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</si>
  <si>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</si>
  <si>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</si>
  <si>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</si>
  <si>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</si>
  <si>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</si>
  <si>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</si>
  <si>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</si>
  <si>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</si>
  <si>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</si>
  <si>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</si>
  <si>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</si>
  <si>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</si>
  <si>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</si>
  <si>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</si>
  <si>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</si>
  <si>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</si>
  <si>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</si>
  <si>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</si>
  <si>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</si>
  <si>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</si>
  <si>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</si>
  <si>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</si>
  <si>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</si>
  <si>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</si>
  <si>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</si>
  <si>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</si>
  <si>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</si>
  <si>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</si>
  <si>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</si>
  <si>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</si>
  <si>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</si>
  <si>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</si>
  <si>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</si>
  <si>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</si>
  <si>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</si>
  <si>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</si>
  <si>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</si>
  <si>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</si>
  <si>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</si>
  <si>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</si>
  <si>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</si>
  <si>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</si>
  <si>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</si>
  <si>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</si>
  <si>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</si>
  <si>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</si>
  <si>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</si>
  <si>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</si>
  <si>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</si>
  <si>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</si>
  <si>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</si>
  <si>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</si>
  <si>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</si>
  <si>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</si>
  <si>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</si>
  <si>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</si>
  <si>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</si>
  <si>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</si>
  <si>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</si>
  <si>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</si>
  <si>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</si>
  <si>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</si>
  <si>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</si>
  <si>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</si>
  <si>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</si>
  <si>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</si>
  <si>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</si>
  <si>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</si>
  <si>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</si>
  <si>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</si>
  <si>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</si>
  <si>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</si>
  <si>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</si>
  <si>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</si>
  <si>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</si>
  <si>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</si>
  <si>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</si>
  <si>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</si>
  <si>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</si>
  <si>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</si>
  <si>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</si>
  <si>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</si>
  <si>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</si>
  <si>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</si>
  <si>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</si>
  <si>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</si>
  <si>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</si>
  <si>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</si>
  <si>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</si>
  <si>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</si>
  <si>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</si>
  <si>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</si>
  <si>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</si>
  <si>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</si>
  <si>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</si>
  <si>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</si>
  <si>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</si>
  <si>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</si>
  <si>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</si>
  <si>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</si>
  <si>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</si>
  <si>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</si>
  <si>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</si>
  <si>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</si>
  <si>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</si>
  <si>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</si>
  <si>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</si>
  <si>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</si>
  <si>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</si>
  <si>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</si>
  <si>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</si>
  <si>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</si>
  <si>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</si>
  <si>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</si>
  <si>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</si>
  <si>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</si>
  <si>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</si>
  <si>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</si>
  <si>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</si>
  <si>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</si>
  <si>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</si>
  <si>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</si>
  <si>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</si>
  <si>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</si>
  <si>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</si>
  <si>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</si>
  <si>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</si>
  <si>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</si>
  <si>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</si>
  <si>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</si>
  <si>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</si>
  <si>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</si>
  <si>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</si>
  <si>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</si>
  <si>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</si>
  <si>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</si>
  <si>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</si>
  <si>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</si>
  <si>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</si>
  <si>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</si>
  <si>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</si>
  <si>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</si>
  <si>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</si>
  <si>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</si>
  <si>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</si>
  <si>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</si>
  <si>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</si>
  <si>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</si>
  <si>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</si>
  <si>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</si>
  <si>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</si>
  <si>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</si>
  <si>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</si>
  <si>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</si>
  <si>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</si>
  <si>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</si>
  <si>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</si>
  <si>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</si>
  <si>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</si>
  <si>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</si>
  <si>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</si>
  <si>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</si>
  <si>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</si>
  <si>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</si>
  <si>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</si>
  <si>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</si>
  <si>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</si>
  <si>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</si>
  <si>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</si>
  <si>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</si>
  <si>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</si>
  <si>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</si>
  <si>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</si>
  <si>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</si>
  <si>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</si>
  <si>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</si>
  <si>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</si>
  <si>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</si>
  <si>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</si>
  <si>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</si>
  <si>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</si>
  <si>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</si>
  <si>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</si>
  <si>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</si>
  <si>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</si>
  <si>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</si>
  <si>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</si>
  <si>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</si>
  <si>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</si>
  <si>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</si>
  <si>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</si>
  <si>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</si>
  <si>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</si>
  <si>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</si>
  <si>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</si>
  <si>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</si>
  <si>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</si>
  <si>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</si>
  <si>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</si>
  <si>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</si>
  <si>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</si>
  <si>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</si>
  <si>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</si>
  <si>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</si>
  <si>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</si>
  <si>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</si>
  <si>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</si>
  <si>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</si>
  <si>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</si>
  <si>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</si>
  <si>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</si>
  <si>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</si>
  <si>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</si>
  <si>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</si>
  <si>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</si>
  <si>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</si>
  <si>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</si>
  <si>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</si>
  <si>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</si>
  <si>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</si>
  <si>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</si>
  <si>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</si>
  <si>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</si>
  <si>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</si>
  <si>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</si>
  <si>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</si>
  <si>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</si>
  <si>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</si>
  <si>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</si>
  <si>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</si>
  <si>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</si>
  <si>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</si>
  <si>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</si>
  <si>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</si>
  <si>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</si>
  <si>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</si>
  <si>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</si>
  <si>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</si>
  <si>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</si>
  <si>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</si>
  <si>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</si>
  <si>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</si>
  <si>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</si>
  <si>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</si>
  <si>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</si>
  <si>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</si>
  <si>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</si>
  <si>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</si>
  <si>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</si>
  <si>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</si>
  <si>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</si>
  <si>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</si>
  <si>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</si>
  <si>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</si>
  <si>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</si>
  <si>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</si>
  <si>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</si>
  <si>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</si>
  <si>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</si>
  <si>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</si>
  <si>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</si>
  <si>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</si>
  <si>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</si>
  <si>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</si>
  <si>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</si>
  <si>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</si>
  <si>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</si>
  <si>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</si>
  <si>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</si>
  <si>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</si>
  <si>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</si>
  <si>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</si>
  <si>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</si>
  <si>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</si>
  <si>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</si>
  <si>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</si>
  <si>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</si>
  <si>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</si>
  <si>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</si>
  <si>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</si>
  <si>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</si>
  <si>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</si>
  <si>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</si>
  <si>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</si>
  <si>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</si>
  <si>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</si>
  <si>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</si>
  <si>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</si>
  <si>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</si>
  <si>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</si>
  <si>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</si>
  <si>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</si>
  <si>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</si>
  <si>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</si>
  <si>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</si>
  <si>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</si>
  <si>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</si>
  <si>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</si>
  <si>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</si>
  <si>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</si>
  <si>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</si>
  <si>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</si>
  <si>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</si>
  <si>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</si>
  <si>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</si>
  <si>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</si>
  <si>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</si>
  <si>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</si>
  <si>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</si>
  <si>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</si>
  <si>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</si>
  <si>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</si>
  <si>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</si>
  <si>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</si>
  <si>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</si>
  <si>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</si>
  <si>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</si>
  <si>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</si>
  <si>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</si>
  <si>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</si>
  <si>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</si>
  <si>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</si>
  <si>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</si>
  <si>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</si>
  <si>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</si>
  <si>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</si>
  <si>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</si>
  <si>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</si>
  <si>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</si>
  <si>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</si>
  <si>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</si>
  <si>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</si>
  <si>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</si>
  <si>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</si>
  <si>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</si>
  <si>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</si>
  <si>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</si>
  <si>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</si>
  <si>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</si>
  <si>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</si>
  <si>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</si>
  <si>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</si>
  <si>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</si>
  <si>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</si>
  <si>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</si>
  <si>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</si>
  <si>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</si>
  <si>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</si>
  <si>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</si>
  <si>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</si>
  <si>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</si>
  <si>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</si>
  <si>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</si>
  <si>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</si>
  <si>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</si>
  <si>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</si>
  <si>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</si>
  <si>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</si>
  <si>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</si>
  <si>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</si>
  <si>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</si>
  <si>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</si>
  <si>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</si>
  <si>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</si>
  <si>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</si>
  <si>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</si>
  <si>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</si>
  <si>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</si>
  <si>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</si>
  <si>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</si>
  <si>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</si>
  <si>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</si>
  <si>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</si>
  <si>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</si>
  <si>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</si>
  <si>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</si>
  <si>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</si>
  <si>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</si>
  <si>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</si>
  <si>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</si>
  <si>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</si>
  <si>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</si>
  <si>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</si>
  <si>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</si>
  <si>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</si>
  <si>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</si>
  <si>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</si>
  <si>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</si>
  <si>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</si>
  <si>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</si>
  <si>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</si>
  <si>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</si>
  <si>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</si>
  <si>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</si>
  <si>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</si>
  <si>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</si>
  <si>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</si>
  <si>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</si>
  <si>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</si>
  <si>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</si>
  <si>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</si>
  <si>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</si>
  <si>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</si>
  <si>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</si>
  <si>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</si>
  <si>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</si>
  <si>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</si>
  <si>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</si>
  <si>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</si>
  <si>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</si>
  <si>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</si>
  <si>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</si>
  <si>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</si>
  <si>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</si>
  <si>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</si>
  <si>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</si>
  <si>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</si>
  <si>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</si>
  <si>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</si>
  <si>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</si>
  <si>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</si>
  <si>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</si>
  <si>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</si>
  <si>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</si>
  <si>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</si>
  <si>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</si>
  <si>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</si>
  <si>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</si>
  <si>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</si>
  <si>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</si>
  <si>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</si>
  <si>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</si>
  <si>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</si>
  <si>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</si>
  <si>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</si>
  <si>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</si>
  <si>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</si>
  <si>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</si>
  <si>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</si>
  <si>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</si>
  <si>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</si>
  <si>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</si>
  <si>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</si>
  <si>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</si>
  <si>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</si>
  <si>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</si>
  <si>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</si>
  <si>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</si>
  <si>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</si>
  <si>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</si>
  <si>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</si>
  <si>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</si>
  <si>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</si>
  <si>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</si>
  <si>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</si>
  <si>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</si>
  <si>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</si>
  <si>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</si>
  <si>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</si>
  <si>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</si>
  <si>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</si>
  <si>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</si>
  <si>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</si>
  <si>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</si>
  <si>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</si>
  <si>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</si>
  <si>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</si>
  <si>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</si>
  <si>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</si>
  <si>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</si>
  <si>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</si>
  <si>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</si>
  <si>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</si>
  <si>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</si>
  <si>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</si>
  <si>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</si>
  <si>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</si>
  <si>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</si>
  <si>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</si>
  <si>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</si>
  <si>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</si>
  <si>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</si>
  <si>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</si>
  <si>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</si>
  <si>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</si>
  <si>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</si>
  <si>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</si>
  <si>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</si>
  <si>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</si>
  <si>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</si>
  <si>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</si>
  <si>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</si>
  <si>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</si>
  <si>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</si>
  <si>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</si>
  <si>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</si>
  <si>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</si>
  <si>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</si>
  <si>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</si>
  <si>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</si>
  <si>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</si>
  <si>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</si>
  <si>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</si>
  <si>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</si>
  <si>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</si>
  <si>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</si>
  <si>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</si>
  <si>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</si>
  <si>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</si>
  <si>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</si>
  <si>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</si>
  <si>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</si>
  <si>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</si>
  <si>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</si>
  <si>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</si>
  <si>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</si>
  <si>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</si>
  <si>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</si>
  <si>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</si>
  <si>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</si>
  <si>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</si>
  <si>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</si>
  <si>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</si>
  <si>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</si>
  <si>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</si>
  <si>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</si>
  <si>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</si>
  <si>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</si>
  <si>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</si>
  <si>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</si>
  <si>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</si>
  <si>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</si>
  <si>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</si>
  <si>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</si>
  <si>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</si>
  <si>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</si>
  <si>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</si>
  <si>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</si>
  <si>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</si>
  <si>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</si>
  <si>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</si>
  <si>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</si>
  <si>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</si>
  <si>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</si>
  <si>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</si>
  <si>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</si>
  <si>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</si>
  <si>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</si>
  <si>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</si>
  <si>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</si>
  <si>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</si>
  <si>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</si>
  <si>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</si>
  <si>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</si>
  <si>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</si>
  <si>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</si>
  <si>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</si>
  <si>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</si>
  <si>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</si>
  <si>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</si>
  <si>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</si>
  <si>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</si>
  <si>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</si>
  <si>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</si>
  <si>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</si>
  <si>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</si>
  <si>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</si>
  <si>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</si>
  <si>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</si>
  <si>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</si>
  <si>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</si>
  <si>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</si>
  <si>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</si>
  <si>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</si>
  <si>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</si>
  <si>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</si>
  <si>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</si>
  <si>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</si>
  <si>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</si>
  <si>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</si>
  <si>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</si>
  <si>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</si>
  <si>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</si>
  <si>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</si>
  <si>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</si>
  <si>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</si>
  <si>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</si>
  <si>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</si>
  <si>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</si>
  <si>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</si>
  <si>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</si>
  <si>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</si>
  <si>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</si>
  <si>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</si>
  <si>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</si>
  <si>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</si>
  <si>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</si>
  <si>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</si>
  <si>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</si>
  <si>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</si>
  <si>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</si>
  <si>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</si>
  <si>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</si>
  <si>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</si>
  <si>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</si>
  <si>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</si>
  <si>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</si>
  <si>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</si>
  <si>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</si>
  <si>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</si>
  <si>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</si>
  <si>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</si>
  <si>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</si>
  <si>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</si>
  <si>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</si>
  <si>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</si>
  <si>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</si>
  <si>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</si>
  <si>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</si>
  <si>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</si>
  <si>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</si>
  <si>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</si>
  <si>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</si>
  <si>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</si>
  <si>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</si>
  <si>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</si>
  <si>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</si>
  <si>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</si>
  <si>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</si>
  <si>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</si>
  <si>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</si>
  <si>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</si>
  <si>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</si>
  <si>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</si>
  <si>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</si>
  <si>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</si>
  <si>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</si>
  <si>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</si>
  <si>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</si>
  <si>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</si>
  <si>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</si>
  <si>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</si>
  <si>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</si>
  <si>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</si>
  <si>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</si>
  <si>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</si>
  <si>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</si>
  <si>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</si>
  <si>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</si>
  <si>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</si>
  <si>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</si>
  <si>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</si>
  <si>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</si>
  <si>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</si>
  <si>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</si>
  <si>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</si>
  <si>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</si>
  <si>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</si>
  <si>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</si>
  <si>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</si>
  <si>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</si>
  <si>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</si>
  <si>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</si>
  <si>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</si>
  <si>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</si>
  <si>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</si>
  <si>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</si>
  <si>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</si>
  <si>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</si>
  <si>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</si>
  <si>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</si>
  <si>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</si>
  <si>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</si>
  <si>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</si>
  <si>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</si>
  <si>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</si>
  <si>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</si>
  <si>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</si>
  <si>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</si>
  <si>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</si>
  <si>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</si>
  <si>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</si>
  <si>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</si>
  <si>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</si>
  <si>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</si>
  <si>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</si>
  <si>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</si>
  <si>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</si>
  <si>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</si>
  <si>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</si>
  <si>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</si>
  <si>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</si>
  <si>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</si>
  <si>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</si>
  <si>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</si>
  <si>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</si>
  <si>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</si>
  <si>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</si>
  <si>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</si>
  <si>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</si>
  <si>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</si>
  <si>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</si>
  <si>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</si>
  <si>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</si>
  <si>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</si>
  <si>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</si>
  <si>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</si>
  <si>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</si>
  <si>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</si>
  <si>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</si>
  <si>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</si>
  <si>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</si>
  <si>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</si>
  <si>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</si>
  <si>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</si>
  <si>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</si>
  <si>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</si>
  <si>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</si>
  <si>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</si>
  <si>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</si>
  <si>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</si>
  <si>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</si>
  <si>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</si>
  <si>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</si>
  <si>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</si>
  <si>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</si>
  <si>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</si>
  <si>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</si>
  <si>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</si>
  <si>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</si>
  <si>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</si>
  <si>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</si>
  <si>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</si>
  <si>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</si>
  <si>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</si>
  <si>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</si>
  <si>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</si>
  <si>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</si>
  <si>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</si>
  <si>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</si>
  <si>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</si>
  <si>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</si>
  <si>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</si>
  <si>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</si>
  <si>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</si>
  <si>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</si>
  <si>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</si>
  <si>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</si>
  <si>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</si>
  <si>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</si>
  <si>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</si>
  <si>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</si>
  <si>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</si>
  <si>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</si>
  <si>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</si>
  <si>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</si>
  <si>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</si>
  <si>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</si>
  <si>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</si>
  <si>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</si>
  <si>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</si>
  <si>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</si>
  <si>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</si>
  <si>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</si>
  <si>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</si>
  <si>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</si>
  <si>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</si>
  <si>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</si>
  <si>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</si>
  <si>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</si>
  <si>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</si>
  <si>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</si>
  <si>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</si>
  <si>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</si>
  <si>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</si>
  <si>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</si>
  <si>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</si>
  <si>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</si>
  <si>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</si>
  <si>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</si>
  <si>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</si>
  <si>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</si>
  <si>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</si>
  <si>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</si>
  <si>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</si>
  <si>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</si>
  <si>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</si>
  <si>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</si>
  <si>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</si>
  <si>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</si>
  <si>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</si>
  <si>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</si>
  <si>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</si>
  <si>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</si>
  <si>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</si>
  <si>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</si>
  <si>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</si>
  <si>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</si>
  <si>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</si>
  <si>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</si>
  <si>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</si>
  <si>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</si>
  <si>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</si>
  <si>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</si>
  <si>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</si>
  <si>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</si>
  <si>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</si>
  <si>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</si>
  <si>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</si>
  <si>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</si>
  <si>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</si>
  <si>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</si>
  <si>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</si>
  <si>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</si>
  <si>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</si>
  <si>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</si>
  <si>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</si>
  <si>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</si>
  <si>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</si>
  <si>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</si>
  <si>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</si>
  <si>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</si>
  <si>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</si>
  <si>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</si>
  <si>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</si>
  <si>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</si>
  <si>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</si>
  <si>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</si>
  <si>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</si>
  <si>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</si>
  <si>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</si>
  <si>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</si>
  <si>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</si>
  <si>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</si>
  <si>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</si>
  <si>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</si>
  <si>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</si>
  <si>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</si>
  <si>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</si>
  <si>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</si>
  <si>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</si>
  <si>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</si>
  <si>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</si>
  <si>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</si>
  <si>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</si>
  <si>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</si>
  <si>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</si>
  <si>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</si>
  <si>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</si>
  <si>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</si>
  <si>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</si>
  <si>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</si>
  <si>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</si>
  <si>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</si>
  <si>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</si>
  <si>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</si>
  <si>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</si>
  <si>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</si>
  <si>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</si>
  <si>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</si>
  <si>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</si>
  <si>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</si>
  <si>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</si>
  <si>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</si>
  <si>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</si>
  <si>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</si>
  <si>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</si>
  <si>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</si>
  <si>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</si>
  <si>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</si>
  <si>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</si>
  <si>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</si>
  <si>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</si>
  <si>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</si>
  <si>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</si>
  <si>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</si>
  <si>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</si>
  <si>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</si>
  <si>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</si>
  <si>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</si>
  <si>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</si>
  <si>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</si>
  <si>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</si>
  <si>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</si>
  <si>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</si>
  <si>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</si>
  <si>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</si>
  <si>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</si>
  <si>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</si>
  <si>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</si>
  <si>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</si>
  <si>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</si>
  <si>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</si>
  <si>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</si>
  <si>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</si>
  <si>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</si>
  <si>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</si>
  <si>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</si>
  <si>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</si>
  <si>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</si>
  <si>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</si>
  <si>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</si>
  <si>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</si>
  <si>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</si>
  <si>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</si>
  <si>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</si>
  <si>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</si>
  <si>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</si>
  <si>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</si>
  <si>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</si>
  <si>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</si>
  <si>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</si>
  <si>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</si>
  <si>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</si>
  <si>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</si>
  <si>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</si>
  <si>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</si>
  <si>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</si>
  <si>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</si>
  <si>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</si>
  <si>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</si>
  <si>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</si>
  <si>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</si>
  <si>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</si>
  <si>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</si>
  <si>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</si>
  <si>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</si>
  <si>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</si>
  <si>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</si>
  <si>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</si>
  <si>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</si>
  <si>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</si>
  <si>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</si>
  <si>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</si>
  <si>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</si>
  <si>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</si>
  <si>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</si>
  <si>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</si>
  <si>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</si>
  <si>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</si>
  <si>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</si>
  <si>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</si>
  <si>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</si>
  <si>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</si>
  <si>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</si>
  <si>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</si>
  <si>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</si>
  <si>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</si>
  <si>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</si>
  <si>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</si>
  <si>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</si>
  <si>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</si>
  <si>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</si>
  <si>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</si>
  <si>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</si>
  <si>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</si>
  <si>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</si>
  <si>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</si>
  <si>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</si>
  <si>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</si>
  <si>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</si>
  <si>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</si>
  <si>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</si>
  <si>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</si>
  <si>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</si>
  <si>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</si>
  <si>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</si>
  <si>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</si>
  <si>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</si>
  <si>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</si>
  <si>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</si>
  <si>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</si>
  <si>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</si>
  <si>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</si>
  <si>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</si>
  <si>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</si>
  <si>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</si>
  <si>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</si>
  <si>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</si>
  <si>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</si>
  <si>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</si>
  <si>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</si>
  <si>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</si>
  <si>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</si>
  <si>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</si>
  <si>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</si>
  <si>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</si>
  <si>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</si>
  <si>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</si>
  <si>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</si>
  <si>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</si>
  <si>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</si>
  <si>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</si>
  <si>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</si>
  <si>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</si>
  <si>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</si>
  <si>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</si>
  <si>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</si>
  <si>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</si>
  <si>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</si>
  <si>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</si>
  <si>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</si>
  <si>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</si>
  <si>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</si>
  <si>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</si>
  <si>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</si>
  <si>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</si>
  <si>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</si>
  <si>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</si>
  <si>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</si>
  <si>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</si>
  <si>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</si>
  <si>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</si>
  <si>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</si>
  <si>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</si>
  <si>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</si>
  <si>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</si>
  <si>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</si>
  <si>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</si>
  <si>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</si>
  <si>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</si>
  <si>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</si>
  <si>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</si>
  <si>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</si>
  <si>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</si>
  <si>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</si>
  <si>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</si>
  <si>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</si>
  <si>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</si>
  <si>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</si>
  <si>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</si>
  <si>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</si>
  <si>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</si>
  <si>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</si>
  <si>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</si>
  <si>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</si>
  <si>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</si>
  <si>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</si>
  <si>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</si>
  <si>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</si>
  <si>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</si>
  <si>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</si>
  <si>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</si>
  <si>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</si>
  <si>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</si>
  <si>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</si>
  <si>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</si>
  <si>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</si>
  <si>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</si>
  <si>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</si>
  <si>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</si>
  <si>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</si>
  <si>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</si>
  <si>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</si>
  <si>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</si>
  <si>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</si>
  <si>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</si>
  <si>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</si>
  <si>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</si>
  <si>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</si>
  <si>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</si>
  <si>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</si>
  <si>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</si>
  <si>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</si>
  <si>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</si>
  <si>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</si>
  <si>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</si>
  <si>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</si>
  <si>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</si>
  <si>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</si>
  <si>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</si>
  <si>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</si>
  <si>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</si>
  <si>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</si>
  <si>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</si>
  <si>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</si>
  <si>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</si>
  <si>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</si>
  <si>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</si>
  <si>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</si>
  <si>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</si>
  <si>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</si>
  <si>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</si>
  <si>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</si>
  <si>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</si>
  <si>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</si>
  <si>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</si>
  <si>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</si>
  <si>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</si>
  <si>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</si>
  <si>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</si>
  <si>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</si>
  <si>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</si>
  <si>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</si>
  <si>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</si>
  <si>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</si>
  <si>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</si>
  <si>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</si>
  <si>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</si>
  <si>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</si>
  <si>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</si>
  <si>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</si>
  <si>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</si>
  <si>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</si>
  <si>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</si>
  <si>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</si>
  <si>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</si>
  <si>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</si>
  <si>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</si>
  <si>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</si>
  <si>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</si>
  <si>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</si>
  <si>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</si>
  <si>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</si>
  <si>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</si>
  <si>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</si>
  <si>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</si>
  <si>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</si>
  <si>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</si>
  <si>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</si>
  <si>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</si>
  <si>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</si>
  <si>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</si>
  <si>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</si>
  <si>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</si>
  <si>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</si>
  <si>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</si>
  <si>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</si>
  <si>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</si>
  <si>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</si>
  <si>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</si>
  <si>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</si>
  <si>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</si>
  <si>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</si>
  <si>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</si>
  <si>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</si>
  <si>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</si>
  <si>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</si>
  <si>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</si>
  <si>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</si>
  <si>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</si>
  <si>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</si>
  <si>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</si>
  <si>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</si>
  <si>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</si>
  <si>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</si>
  <si>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</si>
  <si>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</si>
  <si>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</si>
  <si>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</si>
  <si>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</si>
  <si>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</si>
  <si>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</si>
  <si>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</si>
  <si>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</si>
  <si>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</si>
  <si>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</si>
  <si>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</si>
  <si>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</si>
  <si>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</si>
  <si>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</si>
  <si>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</si>
  <si>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</si>
  <si>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</si>
  <si>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</si>
  <si>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</si>
  <si>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</si>
  <si>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</si>
  <si>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</si>
  <si>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</si>
  <si>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</si>
  <si>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</si>
  <si>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</si>
  <si>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</si>
  <si>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</si>
  <si>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</si>
  <si>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</si>
  <si>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</si>
  <si>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</si>
  <si>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</si>
  <si>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</si>
  <si>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</si>
  <si>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</si>
  <si>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</si>
  <si>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</si>
  <si>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</si>
  <si>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</si>
  <si>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</si>
  <si>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</si>
  <si>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</si>
  <si>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</si>
  <si>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</si>
  <si>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</si>
  <si>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</si>
  <si>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</si>
  <si>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</si>
  <si>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</si>
  <si>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</si>
  <si>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</si>
  <si>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</si>
  <si>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</si>
  <si>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</si>
  <si>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</si>
  <si>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</si>
  <si>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</si>
  <si>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</si>
  <si>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</si>
  <si>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</si>
  <si>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</si>
  <si>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</si>
  <si>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</si>
  <si>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</si>
  <si>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</si>
  <si>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</si>
  <si>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</si>
  <si>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</si>
  <si>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</si>
  <si>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</si>
  <si>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</si>
  <si>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</si>
  <si>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</si>
  <si>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</si>
  <si>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</si>
  <si>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</si>
  <si>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</si>
  <si>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</si>
  <si>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</si>
  <si>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</si>
  <si>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</si>
  <si>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</si>
  <si>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</si>
  <si>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</si>
  <si>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</si>
  <si>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</si>
  <si>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</si>
  <si>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</si>
  <si>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</si>
  <si>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</si>
  <si>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</si>
  <si>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</si>
  <si>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</si>
  <si>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</si>
  <si>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</si>
  <si>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</si>
  <si>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</si>
  <si>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</si>
  <si>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</si>
  <si>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</si>
  <si>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</si>
  <si>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</si>
  <si>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</si>
  <si>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</si>
  <si>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</si>
  <si>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</si>
  <si>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</si>
  <si>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</si>
  <si>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</si>
  <si>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</si>
  <si>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</si>
  <si>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</si>
  <si>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</si>
  <si>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</si>
  <si>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</si>
  <si>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</si>
  <si>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</si>
  <si>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</si>
  <si>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</si>
  <si>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</si>
  <si>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</si>
  <si>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</si>
  <si>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</si>
  <si>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</si>
  <si>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</si>
  <si>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</si>
  <si>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</si>
  <si>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</si>
  <si>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</si>
  <si>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</si>
  <si>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</si>
  <si>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</si>
  <si>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</si>
  <si>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</si>
  <si>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</si>
  <si>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</si>
  <si>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</si>
  <si>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</si>
  <si>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</si>
  <si>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</si>
  <si>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</si>
  <si>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</si>
  <si>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</si>
  <si>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</si>
  <si>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</si>
  <si>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</si>
  <si>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</si>
  <si>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</si>
  <si>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</si>
  <si>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</si>
  <si>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</si>
  <si>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</si>
  <si>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</si>
  <si>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</si>
  <si>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</si>
  <si>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</si>
  <si>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</si>
  <si>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</si>
  <si>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</si>
  <si>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</si>
  <si>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</si>
  <si>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</si>
  <si>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</si>
  <si>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</si>
  <si>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</si>
  <si>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</si>
  <si>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</si>
  <si>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</si>
  <si>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</si>
  <si>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</si>
  <si>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</si>
  <si>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</si>
  <si>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</si>
  <si>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</si>
  <si>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</si>
  <si>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</si>
  <si>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</si>
  <si>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</si>
  <si>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</si>
  <si>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</si>
  <si>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</si>
  <si>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</si>
  <si>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</si>
  <si>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</si>
  <si>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</si>
  <si>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</si>
  <si>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</si>
  <si>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</si>
  <si>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</si>
  <si>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</si>
  <si>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</si>
  <si>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</si>
  <si>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</si>
  <si>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</si>
  <si>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</si>
  <si>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</si>
  <si>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</si>
  <si>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</si>
  <si>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</si>
  <si>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</si>
  <si>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</si>
  <si>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</si>
  <si>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</si>
  <si>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</si>
  <si>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</si>
  <si>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</si>
  <si>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</si>
  <si>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</si>
  <si>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</si>
  <si>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</si>
  <si>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</si>
  <si>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</si>
  <si>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</si>
  <si>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</si>
  <si>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</si>
  <si>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</si>
  <si>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</si>
  <si>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</si>
  <si>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</si>
  <si>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</si>
  <si>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</si>
  <si>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</si>
  <si>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</si>
  <si>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</si>
  <si>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</si>
  <si>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</si>
  <si>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</si>
  <si>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</si>
  <si>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</si>
  <si>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</si>
  <si>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</si>
  <si>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</si>
  <si>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</si>
  <si>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</si>
  <si>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</si>
  <si>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</si>
  <si>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</si>
  <si>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</si>
  <si>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</si>
  <si>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</si>
  <si>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</si>
  <si>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</si>
  <si>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</si>
  <si>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</si>
  <si>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</si>
  <si>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</si>
  <si>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</si>
  <si>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</si>
  <si>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</si>
  <si>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</si>
  <si>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</si>
  <si>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</si>
  <si>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</si>
  <si>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</si>
  <si>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</si>
  <si>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</si>
  <si>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</si>
  <si>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</si>
  <si>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</si>
  <si>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</si>
  <si>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</si>
  <si>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</si>
  <si>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</si>
  <si>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</si>
  <si>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</si>
  <si>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</si>
  <si>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</si>
  <si>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</si>
  <si>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</si>
  <si>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</si>
  <si>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</si>
  <si>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</si>
  <si>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</si>
  <si>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</si>
  <si>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</si>
  <si>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</si>
  <si>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</si>
  <si>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</si>
  <si>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</si>
  <si>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</si>
  <si>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</si>
  <si>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</si>
  <si>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</si>
  <si>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</si>
  <si>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</si>
  <si>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</si>
  <si>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</si>
  <si>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</si>
  <si>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</si>
  <si>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</si>
  <si>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</si>
  <si>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</si>
  <si>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</si>
  <si>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</si>
  <si>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</si>
  <si>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</si>
  <si>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</si>
  <si>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</si>
  <si>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</si>
  <si>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</si>
  <si>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</si>
  <si>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</si>
  <si>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</si>
  <si>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</si>
  <si>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</si>
  <si>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</si>
  <si>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</si>
  <si>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</si>
  <si>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</si>
  <si>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</si>
  <si>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</si>
  <si>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</si>
  <si>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</si>
  <si>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</si>
  <si>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</si>
  <si>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</si>
  <si>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</si>
  <si>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</si>
  <si>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</si>
  <si>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</si>
  <si>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</si>
  <si>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</si>
  <si>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</si>
  <si>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</si>
  <si>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</si>
  <si>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</si>
  <si>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</si>
  <si>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</si>
  <si>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</si>
  <si>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</si>
  <si>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</si>
  <si>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</si>
  <si>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</si>
  <si>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</si>
  <si>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</si>
  <si>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</si>
  <si>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</si>
  <si>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</si>
  <si>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</si>
  <si>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</si>
  <si>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</si>
  <si>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</si>
  <si>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</si>
  <si>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</si>
  <si>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</si>
  <si>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</si>
  <si>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</si>
  <si>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</si>
  <si>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</si>
  <si>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</si>
  <si>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</si>
  <si>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</si>
  <si>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</si>
  <si>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</si>
  <si>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</si>
  <si>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</si>
  <si>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</si>
  <si>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</si>
  <si>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</si>
  <si>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</si>
  <si>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</si>
  <si>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</si>
  <si>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</si>
  <si>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</si>
  <si>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</si>
  <si>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</si>
  <si>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</si>
  <si>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</si>
  <si>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</si>
  <si>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</si>
  <si>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</si>
  <si>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</si>
  <si>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</si>
  <si>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</si>
  <si>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</si>
  <si>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</si>
  <si>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</si>
  <si>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</si>
  <si>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</si>
  <si>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</si>
  <si>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</si>
  <si>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</si>
  <si>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</si>
  <si>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</si>
  <si>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</si>
  <si>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</si>
  <si>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</si>
  <si>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</si>
  <si>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</si>
  <si>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</si>
  <si>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</si>
  <si>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</si>
  <si>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</si>
  <si>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</si>
  <si>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</si>
  <si>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</si>
  <si>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</si>
  <si>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</si>
  <si>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</si>
  <si>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</si>
  <si>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</si>
  <si>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</si>
  <si>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</si>
  <si>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</si>
  <si>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</si>
  <si>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</si>
  <si>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</si>
  <si>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</si>
  <si>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</si>
  <si>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</si>
  <si>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</si>
  <si>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</si>
  <si>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</si>
  <si>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</si>
  <si>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</si>
  <si>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</si>
  <si>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</si>
  <si>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</si>
  <si>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</si>
  <si>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</si>
  <si>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</si>
  <si>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</si>
  <si>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</si>
  <si>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</si>
  <si>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</si>
  <si>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</si>
  <si>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</si>
  <si>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</si>
  <si>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</si>
  <si>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</si>
  <si>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</si>
  <si>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</si>
  <si>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</si>
  <si>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</si>
  <si>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</si>
  <si>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</si>
  <si>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</si>
  <si>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</si>
  <si>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</si>
  <si>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</si>
  <si>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</si>
  <si>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</si>
  <si>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</si>
  <si>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</si>
  <si>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</si>
  <si>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</si>
  <si>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</si>
  <si>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</si>
  <si>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</si>
  <si>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</si>
  <si>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</si>
  <si>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</si>
  <si>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</si>
  <si>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</si>
  <si>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</si>
  <si>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</si>
  <si>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</si>
  <si>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</si>
  <si>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</si>
  <si>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</si>
  <si>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</si>
  <si>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</si>
  <si>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</si>
  <si>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</si>
  <si>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</si>
  <si>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</si>
  <si>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</si>
  <si>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</si>
  <si>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</si>
  <si>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</si>
  <si>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</si>
  <si>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</si>
  <si>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</si>
  <si>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</si>
  <si>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</si>
  <si>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</si>
  <si>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</si>
  <si>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</si>
  <si>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</si>
  <si>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</si>
  <si>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</si>
  <si>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</si>
  <si>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</si>
  <si>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</si>
  <si>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</si>
  <si>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</si>
  <si>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</si>
  <si>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</si>
  <si>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</si>
  <si>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</si>
  <si>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</si>
  <si>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</si>
  <si>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</si>
  <si>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</si>
  <si>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</si>
  <si>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</si>
  <si>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</si>
  <si>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</si>
  <si>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</si>
  <si>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</si>
  <si>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</si>
  <si>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</si>
  <si>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</si>
  <si>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</si>
  <si>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</si>
  <si>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</si>
  <si>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</si>
  <si>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</si>
  <si>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</si>
  <si>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</si>
  <si>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</si>
  <si>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</si>
  <si>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</si>
  <si>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</si>
  <si>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</si>
  <si>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</si>
  <si>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</si>
  <si>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</si>
  <si>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</si>
  <si>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</si>
  <si>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</si>
  <si>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</si>
  <si>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</si>
  <si>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</si>
  <si>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</si>
  <si>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</si>
  <si>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</si>
  <si>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</si>
  <si>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</si>
  <si>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</si>
  <si>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</si>
  <si>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</si>
  <si>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</si>
  <si>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</si>
  <si>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</si>
  <si>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</si>
  <si>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</si>
  <si>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</si>
  <si>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</si>
  <si>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</si>
  <si>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</si>
  <si>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</si>
  <si>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</si>
  <si>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</si>
  <si>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</si>
  <si>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</si>
  <si>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</si>
  <si>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</si>
  <si>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</si>
  <si>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</si>
  <si>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</si>
  <si>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</si>
  <si>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</si>
  <si>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</si>
  <si>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</si>
  <si>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</si>
  <si>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</si>
  <si>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</si>
  <si>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</si>
  <si>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</si>
  <si>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</si>
  <si>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</si>
  <si>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</si>
  <si>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</si>
  <si>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</si>
  <si>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</si>
  <si>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</si>
  <si>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</si>
  <si>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</si>
  <si>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</si>
  <si>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</si>
  <si>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</si>
  <si>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</si>
  <si>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</si>
  <si>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</si>
  <si>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</si>
  <si>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</si>
  <si>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</si>
  <si>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</si>
  <si>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</si>
  <si>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</si>
  <si>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</si>
  <si>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</si>
  <si>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</si>
  <si>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</si>
  <si>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</si>
  <si>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</si>
  <si>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</si>
  <si>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</si>
  <si>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</si>
  <si>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</si>
  <si>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</si>
  <si>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</si>
  <si>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</si>
  <si>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</si>
  <si>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</si>
  <si>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</si>
  <si>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</si>
  <si>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</si>
  <si>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</si>
  <si>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</si>
  <si>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</si>
  <si>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</si>
  <si>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</si>
  <si>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</si>
  <si>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</si>
  <si>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</si>
  <si>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</si>
  <si>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</si>
  <si>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</si>
  <si>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</si>
  <si>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</si>
  <si>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</si>
  <si>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</si>
  <si>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</si>
  <si>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</si>
  <si>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</si>
  <si>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</si>
  <si>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</si>
  <si>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</si>
  <si>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</si>
  <si>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</si>
  <si>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</si>
  <si>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</si>
  <si>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</si>
  <si>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</si>
  <si>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</si>
  <si>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</si>
  <si>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</si>
  <si>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</si>
  <si>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</si>
  <si>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</si>
  <si>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</si>
  <si>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</si>
  <si>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</si>
  <si>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</si>
  <si>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</si>
  <si>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</si>
  <si>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</si>
  <si>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</si>
  <si>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</si>
  <si>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</si>
  <si>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</si>
  <si>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</si>
  <si>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</si>
  <si>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</si>
  <si>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</si>
  <si>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</si>
  <si>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</si>
  <si>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</si>
  <si>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</si>
  <si>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</si>
  <si>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</si>
  <si>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</si>
  <si>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</si>
  <si>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</si>
  <si>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</si>
  <si>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</si>
  <si>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</si>
  <si>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</si>
  <si>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</si>
  <si>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</si>
  <si>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</si>
  <si>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</si>
  <si>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</si>
  <si>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</si>
  <si>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</si>
  <si>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</si>
  <si>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</si>
  <si>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</si>
  <si>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</si>
  <si>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</si>
  <si>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</si>
  <si>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</si>
  <si>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</si>
  <si>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</si>
  <si>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</si>
  <si>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</si>
  <si>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</si>
  <si>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</si>
  <si>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</si>
  <si>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</si>
  <si>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</si>
  <si>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</si>
  <si>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</si>
  <si>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</si>
  <si>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</si>
  <si>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</si>
  <si>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</si>
  <si>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</si>
  <si>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</si>
  <si>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</si>
  <si>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</si>
  <si>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</si>
  <si>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</si>
  <si>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</si>
  <si>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</si>
  <si>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</si>
  <si>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</si>
  <si>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</si>
  <si>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</si>
  <si>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</si>
  <si>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</si>
  <si>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</si>
  <si>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</si>
  <si>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</si>
  <si>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</si>
  <si>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</si>
  <si>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</si>
  <si>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</si>
  <si>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</si>
  <si>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</si>
  <si>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</si>
  <si>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</si>
  <si>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</si>
  <si>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</si>
  <si>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</si>
  <si>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</si>
  <si>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</si>
  <si>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</si>
  <si>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</si>
  <si>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</si>
  <si>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</si>
  <si>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</si>
  <si>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</si>
  <si>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</si>
  <si>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</si>
  <si>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</si>
  <si>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</si>
  <si>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</si>
  <si>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</si>
  <si>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</si>
  <si>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</si>
  <si>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</si>
  <si>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</si>
  <si>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</si>
  <si>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</si>
  <si>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</si>
  <si>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</si>
  <si>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</si>
  <si>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</si>
  <si>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</si>
  <si>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</si>
  <si>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</si>
  <si>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</si>
  <si>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</si>
  <si>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</si>
  <si>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</si>
  <si>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</si>
  <si>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</si>
  <si>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</si>
  <si>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</si>
  <si>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</si>
  <si>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</si>
  <si>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</si>
  <si>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</si>
  <si>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</si>
  <si>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</si>
  <si>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</si>
  <si>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</si>
  <si>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</si>
  <si>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</si>
  <si>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</si>
  <si>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</si>
  <si>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</si>
  <si>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</si>
  <si>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</si>
  <si>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</si>
  <si>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</si>
  <si>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</si>
  <si>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</si>
  <si>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</si>
  <si>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</si>
  <si>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</si>
  <si>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</si>
  <si>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</si>
  <si>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</si>
  <si>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</si>
  <si>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</si>
  <si>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</si>
  <si>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</si>
  <si>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</si>
  <si>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</si>
  <si>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</si>
  <si>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</si>
  <si>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</si>
  <si>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</si>
  <si>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</si>
  <si>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</si>
  <si>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</si>
  <si>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</si>
  <si>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</si>
  <si>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</si>
  <si>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</si>
  <si>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</si>
  <si>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</si>
  <si>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</si>
  <si>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</si>
  <si>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</si>
  <si>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</si>
  <si>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</si>
  <si>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</si>
  <si>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</si>
  <si>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</si>
  <si>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</si>
  <si>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</si>
  <si>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</si>
  <si>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</si>
  <si>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</si>
  <si>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</si>
  <si>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</si>
  <si>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</si>
  <si>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</si>
  <si>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</si>
  <si>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</si>
  <si>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</si>
  <si>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</si>
  <si>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</si>
  <si>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</si>
  <si>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</si>
  <si>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</si>
  <si>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</si>
  <si>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</si>
  <si>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</si>
  <si>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</si>
  <si>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</si>
  <si>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</si>
  <si>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</si>
  <si>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</si>
  <si>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</si>
  <si>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</si>
  <si>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</si>
  <si>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</si>
  <si>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</si>
  <si>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</si>
  <si>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</si>
  <si>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</si>
  <si>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</si>
  <si>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</si>
  <si>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</si>
  <si>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</si>
  <si>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</si>
  <si>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</si>
  <si>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</si>
  <si>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</si>
  <si>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</si>
  <si>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</si>
  <si>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</si>
  <si>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</si>
  <si>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</si>
  <si>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</si>
  <si>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</si>
  <si>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</si>
  <si>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</si>
  <si>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</si>
  <si>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</si>
  <si>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</si>
  <si>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</si>
  <si>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</si>
  <si>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</si>
  <si>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</si>
  <si>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</si>
  <si>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</si>
  <si>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</si>
  <si>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</si>
  <si>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</si>
  <si>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</si>
  <si>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</si>
  <si>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</si>
  <si>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</si>
  <si>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</si>
  <si>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</si>
  <si>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</si>
  <si>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</si>
  <si>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</si>
  <si>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</si>
  <si>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</si>
  <si>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</si>
  <si>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</si>
  <si>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</si>
  <si>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</si>
  <si>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</si>
  <si>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</si>
  <si>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</si>
  <si>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</si>
  <si>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</si>
  <si>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</si>
  <si>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</si>
  <si>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</si>
  <si>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</si>
  <si>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</si>
  <si>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</si>
  <si>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</si>
  <si>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</si>
  <si>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</si>
  <si>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</si>
  <si>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</si>
  <si>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</si>
  <si>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</si>
  <si>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</si>
  <si>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</si>
  <si>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</si>
  <si>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</si>
  <si>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</si>
  <si>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</si>
  <si>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</si>
  <si>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</si>
  <si>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</si>
  <si>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</si>
  <si>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</si>
  <si>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</si>
  <si>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</si>
  <si>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</si>
  <si>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</si>
  <si>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</si>
  <si>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</si>
  <si>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</si>
  <si>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</si>
  <si>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</si>
  <si>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</si>
  <si>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</si>
  <si>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</si>
  <si>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</si>
  <si>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</si>
  <si>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</si>
  <si>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</si>
  <si>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</si>
  <si>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</si>
  <si>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</si>
  <si>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</si>
  <si>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</si>
  <si>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</si>
  <si>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</si>
  <si>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</si>
  <si>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</si>
  <si>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</si>
  <si>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</si>
  <si>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</si>
  <si>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</si>
  <si>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</si>
  <si>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</si>
  <si>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</si>
  <si>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</si>
  <si>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</si>
  <si>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</si>
  <si>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</si>
  <si>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</si>
  <si>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</si>
  <si>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</si>
  <si>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</si>
  <si>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</si>
  <si>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</si>
  <si>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</si>
  <si>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</si>
  <si>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</si>
  <si>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</si>
  <si>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</si>
  <si>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</si>
  <si>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</si>
  <si>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</si>
  <si>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</si>
  <si>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</si>
  <si>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</si>
  <si>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</si>
  <si>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</si>
  <si>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</si>
  <si>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</si>
  <si>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</si>
  <si>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</si>
  <si>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</si>
  <si>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</si>
  <si>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</si>
  <si>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</si>
  <si>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</si>
  <si>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</si>
  <si>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</si>
  <si>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</si>
  <si>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</si>
  <si>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</si>
  <si>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</si>
  <si>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</si>
  <si>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</si>
  <si>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</si>
  <si>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</si>
  <si>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</si>
  <si>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</si>
  <si>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</si>
  <si>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</si>
  <si>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</si>
  <si>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</si>
  <si>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</si>
  <si>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</si>
  <si>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</si>
  <si>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</si>
  <si>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</si>
  <si>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</si>
  <si>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</si>
  <si>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</si>
  <si>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</si>
  <si>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</si>
  <si>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</si>
  <si>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</si>
  <si>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</si>
  <si>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</si>
  <si>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</si>
  <si>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</si>
  <si>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</si>
  <si>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</si>
  <si>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</si>
  <si>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</si>
  <si>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</si>
  <si>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</si>
  <si>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</si>
  <si>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</si>
  <si>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</si>
  <si>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</si>
  <si>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</si>
  <si>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</si>
  <si>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</si>
  <si>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</si>
  <si>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</si>
  <si>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</si>
  <si>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</si>
  <si>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</si>
  <si>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</si>
  <si>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</si>
  <si>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</si>
  <si>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</si>
  <si>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</si>
  <si>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</si>
  <si>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</si>
  <si>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</si>
  <si>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</si>
  <si>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</si>
  <si>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</si>
  <si>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</si>
  <si>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</si>
  <si>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</si>
  <si>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</si>
  <si>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</si>
  <si>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</si>
  <si>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</si>
  <si>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</si>
  <si>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</si>
  <si>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</si>
  <si>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</si>
  <si>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</si>
  <si>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</si>
  <si>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</si>
  <si>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</si>
  <si>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</si>
  <si>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</si>
  <si>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</si>
  <si>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</si>
  <si>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</si>
  <si>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</si>
  <si>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</si>
  <si>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</si>
  <si>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</si>
  <si>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</si>
  <si>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</si>
  <si>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</si>
  <si>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</si>
  <si>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</si>
  <si>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</si>
  <si>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</si>
  <si>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</si>
  <si>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</si>
  <si>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</si>
  <si>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</si>
  <si>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</si>
  <si>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</si>
  <si>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</si>
  <si>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</si>
  <si>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</si>
  <si>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</si>
  <si>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</si>
  <si>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</si>
  <si>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</si>
  <si>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</si>
  <si>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</si>
  <si>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</si>
  <si>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</si>
  <si>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</si>
  <si>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</si>
  <si>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</si>
  <si>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</si>
  <si>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</si>
  <si>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</si>
  <si>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</si>
  <si>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</si>
  <si>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</si>
  <si>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</si>
  <si>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</si>
  <si>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</si>
  <si>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</si>
  <si>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</si>
  <si>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</si>
  <si>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</si>
  <si>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</si>
  <si>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</si>
  <si>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</si>
  <si>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</si>
  <si>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</si>
  <si>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</si>
  <si>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</si>
  <si>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</si>
  <si>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</si>
  <si>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</si>
  <si>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</si>
  <si>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</si>
  <si>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</si>
  <si>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</si>
  <si>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</si>
  <si>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</si>
  <si>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</si>
  <si>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</si>
  <si>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</si>
  <si>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</si>
  <si>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</si>
  <si>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</si>
  <si>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</si>
  <si>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</si>
  <si>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</si>
  <si>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</si>
  <si>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</si>
  <si>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</si>
  <si>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</si>
  <si>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</si>
  <si>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</si>
  <si>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</si>
  <si>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</si>
  <si>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</si>
  <si>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</si>
  <si>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</si>
  <si>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</si>
  <si>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</si>
  <si>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</si>
  <si>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</si>
  <si>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</si>
  <si>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</si>
  <si>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</si>
  <si>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</si>
  <si>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</si>
  <si>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</si>
  <si>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</si>
  <si>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</si>
  <si>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</si>
  <si>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</si>
  <si>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</si>
  <si>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</si>
  <si>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</si>
  <si>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</si>
  <si>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</si>
  <si>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</si>
  <si>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</si>
  <si>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</si>
  <si>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</si>
  <si>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</si>
  <si>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</si>
  <si>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</si>
  <si>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</si>
  <si>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</si>
  <si>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</si>
  <si>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</si>
  <si>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</si>
  <si>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</si>
  <si>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</si>
  <si>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</si>
  <si>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</si>
  <si>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</si>
  <si>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</si>
  <si>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</si>
  <si>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</si>
  <si>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</si>
  <si>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</si>
  <si>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</si>
  <si>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</si>
  <si>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</si>
  <si>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</si>
  <si>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</si>
  <si>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</si>
  <si>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</si>
  <si>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</si>
  <si>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</si>
  <si>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</si>
  <si>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</si>
  <si>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</si>
  <si>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</si>
  <si>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</si>
  <si>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</si>
  <si>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</si>
  <si>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</si>
  <si>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</si>
  <si>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</si>
  <si>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</si>
  <si>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</si>
  <si>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</si>
  <si>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</si>
  <si>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</si>
  <si>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</si>
  <si>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</si>
  <si>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</si>
  <si>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</si>
  <si>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</si>
  <si>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</si>
  <si>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</si>
  <si>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</si>
  <si>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</si>
  <si>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</si>
  <si>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</si>
  <si>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</si>
  <si>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</si>
  <si>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</si>
  <si>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</si>
  <si>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</si>
  <si>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</si>
  <si>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</si>
  <si>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</si>
  <si>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</si>
  <si>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</si>
  <si>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</si>
  <si>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</si>
  <si>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</si>
  <si>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</si>
  <si>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</si>
  <si>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</si>
  <si>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</si>
  <si>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</si>
  <si>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</si>
  <si>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</si>
  <si>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</si>
  <si>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</si>
  <si>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</si>
  <si>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</si>
  <si>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</si>
  <si>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</si>
  <si>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</si>
  <si>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</si>
  <si>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</si>
  <si>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</si>
  <si>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</si>
  <si>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</si>
  <si>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</si>
  <si>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</si>
  <si>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</si>
  <si>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</si>
  <si>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</si>
  <si>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</si>
  <si>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</si>
  <si>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</si>
  <si>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</si>
  <si>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</si>
  <si>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</si>
  <si>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</si>
  <si>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</si>
  <si>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</si>
  <si>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</si>
  <si>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</si>
  <si>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</si>
  <si>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</si>
  <si>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</si>
  <si>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</si>
  <si>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</si>
  <si>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</si>
  <si>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</si>
  <si>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</si>
  <si>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</si>
  <si>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</si>
  <si>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</si>
  <si>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</si>
  <si>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</si>
  <si>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</si>
  <si>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</si>
  <si>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</si>
  <si>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</si>
  <si>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</si>
  <si>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</si>
  <si>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</si>
  <si>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</si>
  <si>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</si>
  <si>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</si>
  <si>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</si>
  <si>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</si>
  <si>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</si>
  <si>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</si>
  <si>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</si>
  <si>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</si>
  <si>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</si>
  <si>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</si>
  <si>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</si>
  <si>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</si>
  <si>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</si>
  <si>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</si>
  <si>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</si>
  <si>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</si>
  <si>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</si>
  <si>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</si>
  <si>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</si>
  <si>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</si>
  <si>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</si>
  <si>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</si>
  <si>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</si>
  <si>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</si>
  <si>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</si>
  <si>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</si>
  <si>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</si>
  <si>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</si>
  <si>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</si>
  <si>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</si>
  <si>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</si>
  <si>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</si>
  <si>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</si>
  <si>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</si>
  <si>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</si>
  <si>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</si>
  <si>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</si>
  <si>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</si>
  <si>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</si>
  <si>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</si>
  <si>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</si>
  <si>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</si>
  <si>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</si>
  <si>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</si>
  <si>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</si>
  <si>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</si>
  <si>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</si>
  <si>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</si>
  <si>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</si>
  <si>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</si>
  <si>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</si>
  <si>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</si>
  <si>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</si>
  <si>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</si>
  <si>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</si>
  <si>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</si>
  <si>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</si>
  <si>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</si>
  <si>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</si>
  <si>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</si>
  <si>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</si>
  <si>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</si>
  <si>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</si>
  <si>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</si>
  <si>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</si>
  <si>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</si>
  <si>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</si>
  <si>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</si>
  <si>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</si>
  <si>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</si>
  <si>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</si>
  <si>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</si>
  <si>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</si>
  <si>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</si>
  <si>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</si>
  <si>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</si>
  <si>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</si>
  <si>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</si>
  <si>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</si>
  <si>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</si>
  <si>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</si>
  <si>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</si>
  <si>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</si>
  <si>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</si>
  <si>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</si>
  <si>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</si>
  <si>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</si>
  <si>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</si>
  <si>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</si>
  <si>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</si>
  <si>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</si>
  <si>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</si>
  <si>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</si>
  <si>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</si>
  <si>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</si>
  <si>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</si>
  <si>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</si>
  <si>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</si>
  <si>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</si>
  <si>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</si>
  <si>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</si>
  <si>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</si>
  <si>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</si>
  <si>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</si>
  <si>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</si>
  <si>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</si>
  <si>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</si>
  <si>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</si>
  <si>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</si>
  <si>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</si>
  <si>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</si>
  <si>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</si>
  <si>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</si>
  <si>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</si>
  <si>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</si>
  <si>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</si>
  <si>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</si>
  <si>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</si>
  <si>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</si>
  <si>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</si>
  <si>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</si>
  <si>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</si>
  <si>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</si>
  <si>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</si>
  <si>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</si>
  <si>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</si>
  <si>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</si>
  <si>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</si>
  <si>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</si>
  <si>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</si>
  <si>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</si>
  <si>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</si>
  <si>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</si>
  <si>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</si>
  <si>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</si>
  <si>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</si>
  <si>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</si>
  <si>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</si>
  <si>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</si>
  <si>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</si>
  <si>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</si>
  <si>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</si>
  <si>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</si>
  <si>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</si>
  <si>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</si>
  <si>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</si>
  <si>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</si>
  <si>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</si>
  <si>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</si>
  <si>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</si>
  <si>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</si>
  <si>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</si>
  <si>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</si>
  <si>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</si>
  <si>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</si>
  <si>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</si>
  <si>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</si>
  <si>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</si>
  <si>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</si>
  <si>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</si>
  <si>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</si>
  <si>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</si>
  <si>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</si>
  <si>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</si>
  <si>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</si>
  <si>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</si>
  <si>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</si>
  <si>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</si>
  <si>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</si>
  <si>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</si>
  <si>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</si>
  <si>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</si>
  <si>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</si>
  <si>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</si>
  <si>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</si>
  <si>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</si>
  <si>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</si>
  <si>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</si>
  <si>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</si>
  <si>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</si>
  <si>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</si>
  <si>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</si>
  <si>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</si>
  <si>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</si>
  <si>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</si>
  <si>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</si>
  <si>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</si>
  <si>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</si>
  <si>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</si>
  <si>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</si>
  <si>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</si>
  <si>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</si>
  <si>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</si>
  <si>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</si>
  <si>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</si>
  <si>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</si>
  <si>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</si>
  <si>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</si>
  <si>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</si>
  <si>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</si>
  <si>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</si>
  <si>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</si>
  <si>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</si>
  <si>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</si>
  <si>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</si>
  <si>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</si>
  <si>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</si>
  <si>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</si>
  <si>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</si>
  <si>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</si>
  <si>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</si>
  <si>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</si>
  <si>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</si>
  <si>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</si>
  <si>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</si>
  <si>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</si>
  <si>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</si>
  <si>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</si>
  <si>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</si>
  <si>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</si>
  <si>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</si>
  <si>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</si>
  <si>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</si>
  <si>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</si>
  <si>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</si>
  <si>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</si>
  <si>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</si>
  <si>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</si>
  <si>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</si>
  <si>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</si>
  <si>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</si>
  <si>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</si>
  <si>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</si>
  <si>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</si>
  <si>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</si>
  <si>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</si>
  <si>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</si>
  <si>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</si>
  <si>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</si>
  <si>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</si>
  <si>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</si>
  <si>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</si>
  <si>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</si>
  <si>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</si>
  <si>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</si>
  <si>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</si>
  <si>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</si>
  <si>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</si>
  <si>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</si>
  <si>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</si>
  <si>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</si>
  <si>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</si>
  <si>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</si>
  <si>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</si>
  <si>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</si>
  <si>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</si>
  <si>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</si>
  <si>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</si>
  <si>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</si>
  <si>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</si>
  <si>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</si>
  <si>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</si>
  <si>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</si>
  <si>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</si>
  <si>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</si>
  <si>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</si>
  <si>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</si>
  <si>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</si>
  <si>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</si>
  <si>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</si>
  <si>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</si>
  <si>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</si>
  <si>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</si>
  <si>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</si>
  <si>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</si>
  <si>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</si>
  <si>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</si>
  <si>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</si>
  <si>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</si>
  <si>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</si>
  <si>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</si>
  <si>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</si>
  <si>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</si>
  <si>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</si>
  <si>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</si>
  <si>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</si>
  <si>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</si>
  <si>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</si>
  <si>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</si>
  <si>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</si>
  <si>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</si>
  <si>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</si>
  <si>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</si>
  <si>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</si>
  <si>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</si>
  <si>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</si>
  <si>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</si>
  <si>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</si>
  <si>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</si>
  <si>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</si>
  <si>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</si>
  <si>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</si>
  <si>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</si>
  <si>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</si>
  <si>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</si>
  <si>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</si>
  <si>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</si>
  <si>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</si>
  <si>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</si>
  <si>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</si>
  <si>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</si>
  <si>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</si>
  <si>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</si>
  <si>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</si>
  <si>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</si>
  <si>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</si>
  <si>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</si>
  <si>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</si>
  <si>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</si>
  <si>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</si>
  <si>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</si>
  <si>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</si>
  <si>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</si>
  <si>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</si>
  <si>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</si>
  <si>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</si>
  <si>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</si>
  <si>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</si>
  <si>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</si>
  <si>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</si>
  <si>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</si>
  <si>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</si>
  <si>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</si>
  <si>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</si>
  <si>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</si>
  <si>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</si>
  <si>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</si>
  <si>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</si>
  <si>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</si>
  <si>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</si>
  <si>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</si>
  <si>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</si>
  <si>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</si>
  <si>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</si>
  <si>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</si>
  <si>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</si>
  <si>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</si>
  <si>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</si>
  <si>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</si>
  <si>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</si>
  <si>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</si>
  <si>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</si>
  <si>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</si>
  <si>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</si>
  <si>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</si>
  <si>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</si>
  <si>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</si>
  <si>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</si>
  <si>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</si>
  <si>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</si>
  <si>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</si>
  <si>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</si>
  <si>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</si>
  <si>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</si>
  <si>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</si>
  <si>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</si>
  <si>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</si>
  <si>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</si>
  <si>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</si>
  <si>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</si>
  <si>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</si>
  <si>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</si>
  <si>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</si>
  <si>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</si>
  <si>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</si>
  <si>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</si>
  <si>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</si>
  <si>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</si>
  <si>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</si>
  <si>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</si>
  <si>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</si>
  <si>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</si>
  <si>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</si>
  <si>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</si>
  <si>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</si>
  <si>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</si>
  <si>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</si>
  <si>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</si>
  <si>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</si>
  <si>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</si>
  <si>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</si>
  <si>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</si>
  <si>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</si>
  <si>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</si>
  <si>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</si>
  <si>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</si>
  <si>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</si>
  <si>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</si>
  <si>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</si>
  <si>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</si>
  <si>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</si>
  <si>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</si>
  <si>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</si>
  <si>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</si>
  <si>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</si>
  <si>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</si>
  <si>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</si>
  <si>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</si>
  <si>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</si>
  <si>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</si>
  <si>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</si>
  <si>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</si>
  <si>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</si>
  <si>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</si>
  <si>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</si>
  <si>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</si>
  <si>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</si>
  <si>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</si>
  <si>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</si>
  <si>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</si>
  <si>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</si>
  <si>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</si>
  <si>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</si>
  <si>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</si>
  <si>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</si>
  <si>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</si>
  <si>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</si>
  <si>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</si>
  <si>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</si>
  <si>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</si>
  <si>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</si>
  <si>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</si>
  <si>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</si>
  <si>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</si>
  <si>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</si>
  <si>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</si>
  <si>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</si>
  <si>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</si>
  <si>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</si>
  <si>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</si>
  <si>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</si>
  <si>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</si>
  <si>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</si>
  <si>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</si>
  <si>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</si>
  <si>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</si>
  <si>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</si>
  <si>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</si>
  <si>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</si>
  <si>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</si>
  <si>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</si>
  <si>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</si>
  <si>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</si>
  <si>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</si>
  <si>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</si>
  <si>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</si>
  <si>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</si>
  <si>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</si>
  <si>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</si>
  <si>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</si>
  <si>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</si>
  <si>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</si>
  <si>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</si>
  <si>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</si>
  <si>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</si>
  <si>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</si>
  <si>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</si>
  <si>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</si>
  <si>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</si>
  <si>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</si>
  <si>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</si>
  <si>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</si>
  <si>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</si>
  <si>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</si>
  <si>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</si>
  <si>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</si>
  <si>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</si>
  <si>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</si>
  <si>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</si>
  <si>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</si>
  <si>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</si>
  <si>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</si>
  <si>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</si>
  <si>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</si>
  <si>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</si>
  <si>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</si>
  <si>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</si>
  <si>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</si>
  <si>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</si>
  <si>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</si>
  <si>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</si>
  <si>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</si>
  <si>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</si>
  <si>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</si>
  <si>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</si>
  <si>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</si>
  <si>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</si>
  <si>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</si>
  <si>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</si>
  <si>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</si>
  <si>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</si>
  <si>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</si>
  <si>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</si>
  <si>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</si>
  <si>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</si>
  <si>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</si>
  <si>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</si>
  <si>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</si>
  <si>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</si>
  <si>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</si>
  <si>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</si>
  <si>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</si>
  <si>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</si>
  <si>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</si>
  <si>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</si>
  <si>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</si>
  <si>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</si>
  <si>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</si>
  <si>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</si>
  <si>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</si>
  <si>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</si>
  <si>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</si>
  <si>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</si>
  <si>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</si>
  <si>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</si>
  <si>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</si>
  <si>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</si>
  <si>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</si>
  <si>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</si>
  <si>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</si>
  <si>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</si>
  <si>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</si>
  <si>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</si>
  <si>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</si>
  <si>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</si>
  <si>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</si>
  <si>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</si>
  <si>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</si>
  <si>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</si>
  <si>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</si>
  <si>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</si>
  <si>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</si>
  <si>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</si>
  <si>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</si>
  <si>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</si>
  <si>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</si>
  <si>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</si>
  <si>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</si>
  <si>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</si>
  <si>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</si>
  <si>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</si>
  <si>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</si>
  <si>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</si>
  <si>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</si>
  <si>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</si>
  <si>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</si>
  <si>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</si>
  <si>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</si>
  <si>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</si>
  <si>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</si>
  <si>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</si>
  <si>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</si>
  <si>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</si>
  <si>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</si>
  <si>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</si>
  <si>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</si>
  <si>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</si>
  <si>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</si>
  <si>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</si>
  <si>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</si>
  <si>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</si>
  <si>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</si>
  <si>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</si>
  <si>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</si>
  <si>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</si>
  <si>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</si>
  <si>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</si>
  <si>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</si>
  <si>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</si>
  <si>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</si>
  <si>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</si>
  <si>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</si>
  <si>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</si>
  <si>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</si>
  <si>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</si>
  <si>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</si>
  <si>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</si>
  <si>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</si>
  <si>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</si>
  <si>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</si>
  <si>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</si>
  <si>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</si>
  <si>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</si>
  <si>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</si>
  <si>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</si>
  <si>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</si>
  <si>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</si>
  <si>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</si>
  <si>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</si>
  <si>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</si>
  <si>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</si>
  <si>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</si>
  <si>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</si>
  <si>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</si>
  <si>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</si>
  <si>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</si>
  <si>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</si>
  <si>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</si>
  <si>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</si>
  <si>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</si>
  <si>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</si>
  <si>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</si>
  <si>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</si>
  <si>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</si>
  <si>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</si>
  <si>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</si>
  <si>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</si>
  <si>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</si>
  <si>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</si>
  <si>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</si>
  <si>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</si>
  <si>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</si>
  <si>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</si>
  <si>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</si>
  <si>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</si>
  <si>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</si>
  <si>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</si>
  <si>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</si>
  <si>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</si>
  <si>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</si>
  <si>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</si>
  <si>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</si>
  <si>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</si>
  <si>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</si>
  <si>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</si>
  <si>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</si>
  <si>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</si>
  <si>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</si>
  <si>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</si>
  <si>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</si>
  <si>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</si>
  <si>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</si>
  <si>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</si>
  <si>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</si>
  <si>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</si>
  <si>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</si>
  <si>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</si>
  <si>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</si>
  <si>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</si>
  <si>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</si>
  <si>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</si>
  <si>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</si>
  <si>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</si>
  <si>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</si>
  <si>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</si>
  <si>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</si>
  <si>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</si>
  <si>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</si>
  <si>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</si>
  <si>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</si>
  <si>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</si>
  <si>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</si>
  <si>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</si>
  <si>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</si>
  <si>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</si>
  <si>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</si>
  <si>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</si>
  <si>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</si>
  <si>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</si>
  <si>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</si>
  <si>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</si>
  <si>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</si>
  <si>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</si>
  <si>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</si>
  <si>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</si>
  <si>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</si>
  <si>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</si>
  <si>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</si>
  <si>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</si>
  <si>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</si>
  <si>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</si>
  <si>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</si>
  <si>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</si>
  <si>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</si>
  <si>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</si>
  <si>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</si>
  <si>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</si>
  <si>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</si>
  <si>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</si>
  <si>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</si>
  <si>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</si>
  <si>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</si>
  <si>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</si>
  <si>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</si>
  <si>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</si>
  <si>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</si>
  <si>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</si>
  <si>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</si>
  <si>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</si>
  <si>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</si>
  <si>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</si>
  <si>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</si>
  <si>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</si>
  <si>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</si>
  <si>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</si>
  <si>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</si>
  <si>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</si>
  <si>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</si>
  <si>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</si>
  <si>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</si>
  <si>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</si>
  <si>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</si>
  <si>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</si>
  <si>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</si>
  <si>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</si>
  <si>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</si>
  <si>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</si>
  <si>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</si>
  <si>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</si>
  <si>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</si>
  <si>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</si>
  <si>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</si>
  <si>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</si>
  <si>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</si>
  <si>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</si>
  <si>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</si>
  <si>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</si>
  <si>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</si>
  <si>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</si>
  <si>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</si>
  <si>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</si>
  <si>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</si>
  <si>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</si>
  <si>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</si>
  <si>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</si>
  <si>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</si>
  <si>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</si>
  <si>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</si>
  <si>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</si>
  <si>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</si>
  <si>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</si>
  <si>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</si>
  <si>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</si>
  <si>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</si>
  <si>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</si>
  <si>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</si>
  <si>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</si>
  <si>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</si>
  <si>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</si>
  <si>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</si>
  <si>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</si>
  <si>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</si>
  <si>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</si>
  <si>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</si>
  <si>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</si>
  <si>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</si>
  <si>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</si>
  <si>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</si>
  <si>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</si>
  <si>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</si>
  <si>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</si>
  <si>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</si>
  <si>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</si>
  <si>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</si>
  <si>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</si>
  <si>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</si>
  <si>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</si>
  <si>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</si>
  <si>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</si>
  <si>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</si>
  <si>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</si>
  <si>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</si>
  <si>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</si>
  <si>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</si>
  <si>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</si>
  <si>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</si>
  <si>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</si>
  <si>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</si>
  <si>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</si>
  <si>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</si>
  <si>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</si>
  <si>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</si>
  <si>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</si>
  <si>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</si>
  <si>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</si>
  <si>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</si>
  <si>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</si>
  <si>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</si>
  <si>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</si>
  <si>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</si>
  <si>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</si>
  <si>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</si>
  <si>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</si>
  <si>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</si>
  <si>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</si>
  <si>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</si>
  <si>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</si>
  <si>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</si>
  <si>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</si>
  <si>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</si>
  <si>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</si>
  <si>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</si>
  <si>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</si>
  <si>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</si>
  <si>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</si>
  <si>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</si>
  <si>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</si>
  <si>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</si>
  <si>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</si>
  <si>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</si>
  <si>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</si>
  <si>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</si>
  <si>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</si>
  <si>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</si>
  <si>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</si>
  <si>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</si>
  <si>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</si>
  <si>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</si>
  <si>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</si>
  <si>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</si>
  <si>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</si>
  <si>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</si>
  <si>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</si>
  <si>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</si>
  <si>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</si>
  <si>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</si>
  <si>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</si>
  <si>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</si>
  <si>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</si>
  <si>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</si>
  <si>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</si>
  <si>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</si>
  <si>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</si>
  <si>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</si>
  <si>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</si>
  <si>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</si>
  <si>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</si>
  <si>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</si>
  <si>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</si>
  <si>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</si>
  <si>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</si>
  <si>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</si>
  <si>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</si>
  <si>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</si>
  <si>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</si>
  <si>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</si>
  <si>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</si>
  <si>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</si>
  <si>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</si>
  <si>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</si>
  <si>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</si>
  <si>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</si>
  <si>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</si>
  <si>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</si>
  <si>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</si>
  <si>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</si>
  <si>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</si>
  <si>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</si>
  <si>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</si>
  <si>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</si>
  <si>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</si>
  <si>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</si>
  <si>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</si>
  <si>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</si>
  <si>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</si>
  <si>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</si>
  <si>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</si>
  <si>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</si>
  <si>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</si>
  <si>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</si>
  <si>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</si>
  <si>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</si>
  <si>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</si>
  <si>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</si>
  <si>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</si>
  <si>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</si>
  <si>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</si>
  <si>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</si>
  <si>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</si>
  <si>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</si>
  <si>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</si>
  <si>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</si>
  <si>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</si>
  <si>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</si>
  <si>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</si>
  <si>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</si>
  <si>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</si>
  <si>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</si>
  <si>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</si>
  <si>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</si>
  <si>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</si>
  <si>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</si>
  <si>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</si>
  <si>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</si>
  <si>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</si>
  <si>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</si>
  <si>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</si>
  <si>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</si>
  <si>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</si>
  <si>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</si>
  <si>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</si>
  <si>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</si>
  <si>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</si>
  <si>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</si>
  <si>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</si>
  <si>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</si>
  <si>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</si>
  <si>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</si>
  <si>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</si>
  <si>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</si>
  <si>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</si>
  <si>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</si>
  <si>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</si>
  <si>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</si>
  <si>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</si>
  <si>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</si>
  <si>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</si>
  <si>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</si>
  <si>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</si>
  <si>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</si>
  <si>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</si>
  <si>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</si>
  <si>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</si>
  <si>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</si>
  <si>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</si>
  <si>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</si>
  <si>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</si>
  <si>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</si>
  <si>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</si>
  <si>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</si>
  <si>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</si>
  <si>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</si>
  <si>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</si>
  <si>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</si>
  <si>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</si>
  <si>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</si>
  <si>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</si>
  <si>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</si>
  <si>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</si>
  <si>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</si>
  <si>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</si>
  <si>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</si>
  <si>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</si>
  <si>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</si>
  <si>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</si>
  <si>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</si>
  <si>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</si>
  <si>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</si>
  <si>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</si>
  <si>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</si>
  <si>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</si>
  <si>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</si>
  <si>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</si>
  <si>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</si>
  <si>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</si>
  <si>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</si>
  <si>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</si>
  <si>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</si>
  <si>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</si>
  <si>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</si>
  <si>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</si>
  <si>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</si>
  <si>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</si>
  <si>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</si>
  <si>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</si>
  <si>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</si>
  <si>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</si>
  <si>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</si>
  <si>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</si>
  <si>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</si>
  <si>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</si>
  <si>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</si>
  <si>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</si>
  <si>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</si>
  <si>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</si>
  <si>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</si>
  <si>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</si>
  <si>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</si>
  <si>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</si>
  <si>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</si>
  <si>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</si>
  <si>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</si>
  <si>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</si>
  <si>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</si>
  <si>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</si>
  <si>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</si>
  <si>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</si>
  <si>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</si>
  <si>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</si>
  <si>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</si>
  <si>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</si>
  <si>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</si>
  <si>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</si>
  <si>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</si>
  <si>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</si>
  <si>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</si>
  <si>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</si>
  <si>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</si>
  <si>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</si>
  <si>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</si>
  <si>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</si>
  <si>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</si>
  <si>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</si>
  <si>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</si>
  <si>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</si>
  <si>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</si>
  <si>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</si>
  <si>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</si>
  <si>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</si>
  <si>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</si>
  <si>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</si>
  <si>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</si>
  <si>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</si>
  <si>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</si>
  <si>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</si>
  <si>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</si>
  <si>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</si>
  <si>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</si>
  <si>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</si>
  <si>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</si>
  <si>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</si>
  <si>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</si>
  <si>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</si>
  <si>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</si>
  <si>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</si>
  <si>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</si>
  <si>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</si>
  <si>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</si>
  <si>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</si>
  <si>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</si>
  <si>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</si>
  <si>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</si>
  <si>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</si>
  <si>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</si>
  <si>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</si>
  <si>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</si>
  <si>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</si>
  <si>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</si>
  <si>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</si>
  <si>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</si>
  <si>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</si>
  <si>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</si>
  <si>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</si>
  <si>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</si>
  <si>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</si>
  <si>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</si>
  <si>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</si>
  <si>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</si>
  <si>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</si>
  <si>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</si>
  <si>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</si>
  <si>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</si>
  <si>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</si>
  <si>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</si>
  <si>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</si>
  <si>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</si>
  <si>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</si>
  <si>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</si>
  <si>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</si>
  <si>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</si>
  <si>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</si>
  <si>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</si>
  <si>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</si>
  <si>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</si>
  <si>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</si>
  <si>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</si>
  <si>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</si>
  <si>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</si>
  <si>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</si>
  <si>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</si>
  <si>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</si>
  <si>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</si>
  <si>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</si>
  <si>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</si>
  <si>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</si>
  <si>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</si>
  <si>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</si>
  <si>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</si>
  <si>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</si>
  <si>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</si>
  <si>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</si>
  <si>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</si>
  <si>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</si>
  <si>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</si>
  <si>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</si>
  <si>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</si>
  <si>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</si>
  <si>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</si>
  <si>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</si>
  <si>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</si>
  <si>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</si>
  <si>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</si>
  <si>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</si>
  <si>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</si>
  <si>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</si>
  <si>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</si>
  <si>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</si>
  <si>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</si>
  <si>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</si>
  <si>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</si>
  <si>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</si>
  <si>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</si>
  <si>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</si>
  <si>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</si>
  <si>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</si>
  <si>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</si>
  <si>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</si>
  <si>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</si>
  <si>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</si>
  <si>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</si>
  <si>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</si>
  <si>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</si>
  <si>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</si>
  <si>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</si>
  <si>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</si>
  <si>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</si>
  <si>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</si>
  <si>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</si>
  <si>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</si>
  <si>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</si>
  <si>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</si>
  <si>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</si>
  <si>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</si>
  <si>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</si>
  <si>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</si>
  <si>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</si>
  <si>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</si>
  <si>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</si>
  <si>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</si>
  <si>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</si>
  <si>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</si>
  <si>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</si>
  <si>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</si>
  <si>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</si>
  <si>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</si>
  <si>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</si>
  <si>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</si>
  <si>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</si>
  <si>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</si>
  <si>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</si>
  <si>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</si>
  <si>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</si>
  <si>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</si>
  <si>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</si>
  <si>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</si>
  <si>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</si>
  <si>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</si>
  <si>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</si>
  <si>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</si>
  <si>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</si>
  <si>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</si>
  <si>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</si>
  <si>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</si>
  <si>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</si>
  <si>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</si>
  <si>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</si>
  <si>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</si>
  <si>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</si>
  <si>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</si>
  <si>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</si>
  <si>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</si>
  <si>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</si>
  <si>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</si>
  <si>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</si>
  <si>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</si>
  <si>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</si>
  <si>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</si>
  <si>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</si>
  <si>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</si>
  <si>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</si>
  <si>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</si>
  <si>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</si>
  <si>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</si>
  <si>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</si>
  <si>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</si>
  <si>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</si>
  <si>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</si>
  <si>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</si>
  <si>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</si>
  <si>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</si>
  <si>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</si>
  <si>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</si>
  <si>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</si>
  <si>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</si>
  <si>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</si>
  <si>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</si>
  <si>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</si>
  <si>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</si>
  <si>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</si>
  <si>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</si>
  <si>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</si>
  <si>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</si>
  <si>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</si>
  <si>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</si>
  <si>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</si>
  <si>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</si>
  <si>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</si>
  <si>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</si>
  <si>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</si>
  <si>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</si>
  <si>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</si>
  <si>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</si>
  <si>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</si>
  <si>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</si>
  <si>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</si>
  <si>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</si>
  <si>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</si>
  <si>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</si>
  <si>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</si>
  <si>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</si>
  <si>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</si>
  <si>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</si>
  <si>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</si>
  <si>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</si>
  <si>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</si>
  <si>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</si>
  <si>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</si>
  <si>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</si>
  <si>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</si>
  <si>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</si>
  <si>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</si>
  <si>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</si>
  <si>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</si>
  <si>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</si>
  <si>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</si>
  <si>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</si>
  <si>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</si>
  <si>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</si>
  <si>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</si>
  <si>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</si>
  <si>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</si>
  <si>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</si>
  <si>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</si>
  <si>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</si>
  <si>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</si>
  <si>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</si>
  <si>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</si>
  <si>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</si>
  <si>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</si>
  <si>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</si>
  <si>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</si>
  <si>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</si>
  <si>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</si>
  <si>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</si>
  <si>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</si>
  <si>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</si>
  <si>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</si>
  <si>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</si>
  <si>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</si>
  <si>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</si>
  <si>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</si>
  <si>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</si>
  <si>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</si>
  <si>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</si>
  <si>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</si>
  <si>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</si>
  <si>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</si>
  <si>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</si>
  <si>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</si>
  <si>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</si>
  <si>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</si>
  <si>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</si>
  <si>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</si>
  <si>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</si>
  <si>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</si>
  <si>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</si>
  <si>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</si>
  <si>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</si>
  <si>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</si>
  <si>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</si>
  <si>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</si>
  <si>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</si>
  <si>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</si>
  <si>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</si>
  <si>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</si>
  <si>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</si>
  <si>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</si>
  <si>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</si>
  <si>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</si>
  <si>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</si>
  <si>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</si>
  <si>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</si>
  <si>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</si>
  <si>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</si>
  <si>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</si>
  <si>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</si>
  <si>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</si>
  <si>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</si>
  <si>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</si>
  <si>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</si>
  <si>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</si>
  <si>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</si>
  <si>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</si>
  <si>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</si>
  <si>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</si>
  <si>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</si>
  <si>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</si>
  <si>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</si>
  <si>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</si>
  <si>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</si>
  <si>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</si>
  <si>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</si>
  <si>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</si>
  <si>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</si>
  <si>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</si>
  <si>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</si>
  <si>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</si>
  <si>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</si>
  <si>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</si>
  <si>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</si>
  <si>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</si>
  <si>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</si>
  <si>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</si>
  <si>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</si>
  <si>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</si>
  <si>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</si>
  <si>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</si>
  <si>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</si>
  <si>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</si>
  <si>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</si>
  <si>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</si>
  <si>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</si>
  <si>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</si>
  <si>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</si>
  <si>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</si>
  <si>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</si>
  <si>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</si>
  <si>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</si>
  <si>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</si>
  <si>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</si>
  <si>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</si>
  <si>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</si>
  <si>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</si>
  <si>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</si>
  <si>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</si>
  <si>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</si>
  <si>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</si>
  <si>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</si>
  <si>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</si>
  <si>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</si>
  <si>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</si>
  <si>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</si>
  <si>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</si>
  <si>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</si>
  <si>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</si>
  <si>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</si>
  <si>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</si>
  <si>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</si>
  <si>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</si>
  <si>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</si>
  <si>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</si>
  <si>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</si>
  <si>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</si>
  <si>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</si>
  <si>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</si>
  <si>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</si>
  <si>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</si>
  <si>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</si>
  <si>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</si>
  <si>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</si>
  <si>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</si>
  <si>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</si>
  <si>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</si>
  <si>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</si>
  <si>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</si>
  <si>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</si>
  <si>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</si>
  <si>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</si>
  <si>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</si>
  <si>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</si>
  <si>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</si>
  <si>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</si>
  <si>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</si>
  <si>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</si>
  <si>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</si>
  <si>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</si>
  <si>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</si>
  <si>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</si>
  <si>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</si>
  <si>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</si>
  <si>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</si>
  <si>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</si>
  <si>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</si>
  <si>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</si>
  <si>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</si>
  <si>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</si>
  <si>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</si>
  <si>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</si>
  <si>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</si>
  <si>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</si>
  <si>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</si>
  <si>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</si>
  <si>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</si>
  <si>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</si>
  <si>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</si>
  <si>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</si>
  <si>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</si>
  <si>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</si>
  <si>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</si>
  <si>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</si>
  <si>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</si>
  <si>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</si>
  <si>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</si>
  <si>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</si>
  <si>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</si>
  <si>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</si>
  <si>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</si>
  <si>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</si>
  <si>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</si>
  <si>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</si>
  <si>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</si>
  <si>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</si>
  <si>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</si>
  <si>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</si>
  <si>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</si>
  <si>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</si>
  <si>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</si>
  <si>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</si>
  <si>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</si>
  <si>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</si>
  <si>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</si>
  <si>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</si>
  <si>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</si>
  <si>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</si>
  <si>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</si>
  <si>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</si>
  <si>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</si>
  <si>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</si>
  <si>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</si>
  <si>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</si>
  <si>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</si>
  <si>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</si>
  <si>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</si>
  <si>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</si>
  <si>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</si>
  <si>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</si>
  <si>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</si>
  <si>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</si>
  <si>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</si>
  <si>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</si>
  <si>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</si>
  <si>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</si>
  <si>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</si>
  <si>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</si>
  <si>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</si>
  <si>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</si>
  <si>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</si>
  <si>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</si>
  <si>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</si>
  <si>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</si>
  <si>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</si>
  <si>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</si>
  <si>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</si>
  <si>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</si>
  <si>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</si>
  <si>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</si>
  <si>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</si>
  <si>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</si>
  <si>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</si>
  <si>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</si>
  <si>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</si>
  <si>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</si>
  <si>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</si>
  <si>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</si>
  <si>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</si>
  <si>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</si>
  <si>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</si>
  <si>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</si>
  <si>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</si>
  <si>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</si>
  <si>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</si>
  <si>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</si>
  <si>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</si>
  <si>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</si>
  <si>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</si>
  <si>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</si>
  <si>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</si>
  <si>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</si>
  <si>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</si>
  <si>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</si>
  <si>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</si>
  <si>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</si>
  <si>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</si>
  <si>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</si>
  <si>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</si>
  <si>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</si>
  <si>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</si>
  <si>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</si>
  <si>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</si>
  <si>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</si>
  <si>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</si>
  <si>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</si>
  <si>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</si>
  <si>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</si>
  <si>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</si>
  <si>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</si>
  <si>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</si>
  <si>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</si>
  <si>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</si>
  <si>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</si>
  <si>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</si>
  <si>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</si>
  <si>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</si>
  <si>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</si>
  <si>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</si>
  <si>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</si>
  <si>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</si>
  <si>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</si>
  <si>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</si>
  <si>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</si>
  <si>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</si>
  <si>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</si>
  <si>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</si>
  <si>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</si>
  <si>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</si>
  <si>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</si>
  <si>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</si>
  <si>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</si>
  <si>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</si>
  <si>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</si>
  <si>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</si>
  <si>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</si>
  <si>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</si>
  <si>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</si>
  <si>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</si>
  <si>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</si>
  <si>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</si>
  <si>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</si>
  <si>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</si>
  <si>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</si>
  <si>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</si>
  <si>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</si>
  <si>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</si>
  <si>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</si>
  <si>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</si>
  <si>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</si>
  <si>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</si>
  <si>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</si>
  <si>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</si>
  <si>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</si>
  <si>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</si>
  <si>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</si>
  <si>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</si>
  <si>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</si>
  <si>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</si>
  <si>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</si>
  <si>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</si>
  <si>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</si>
  <si>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</si>
  <si>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</si>
  <si>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</si>
  <si>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</si>
  <si>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</si>
  <si>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</si>
  <si>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</si>
  <si>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</si>
  <si>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</si>
  <si>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</si>
  <si>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</si>
  <si>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</si>
  <si>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</si>
  <si>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</si>
  <si>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</si>
  <si>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</si>
  <si>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</si>
  <si>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</si>
  <si>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</si>
  <si>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</si>
  <si>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</si>
  <si>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</si>
  <si>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</si>
  <si>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</si>
  <si>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</si>
  <si>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</si>
  <si>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</si>
  <si>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</si>
  <si>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</si>
  <si>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</si>
  <si>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</si>
  <si>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</si>
  <si>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</si>
  <si>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</si>
  <si>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</si>
  <si>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</si>
  <si>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</si>
  <si>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</si>
  <si>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</si>
  <si>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</si>
  <si>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</si>
  <si>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</si>
  <si>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</si>
  <si>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</si>
  <si>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</si>
  <si>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</si>
  <si>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</si>
  <si>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</si>
  <si>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</si>
  <si>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</si>
  <si>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</si>
  <si>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</si>
  <si>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</si>
  <si>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</si>
  <si>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</si>
  <si>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</si>
  <si>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</si>
  <si>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</si>
  <si>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</si>
  <si>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</si>
  <si>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</si>
  <si>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</si>
  <si>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</si>
  <si>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</si>
  <si>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</si>
  <si>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</si>
  <si>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</si>
  <si>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</si>
  <si>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</si>
  <si>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</si>
  <si>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</si>
  <si>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</si>
  <si>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</si>
  <si>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</si>
  <si>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</si>
  <si>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</si>
  <si>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</si>
  <si>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</si>
  <si>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</si>
  <si>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</si>
  <si>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</si>
  <si>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</si>
  <si>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</si>
  <si>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</si>
  <si>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</si>
  <si>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</si>
  <si>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</si>
  <si>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</si>
  <si>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</si>
  <si>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</si>
  <si>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</si>
  <si>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</si>
  <si>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</si>
  <si>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</si>
  <si>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</si>
  <si>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</si>
  <si>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</si>
  <si>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</si>
  <si>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</si>
  <si>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</si>
  <si>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</si>
  <si>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</si>
  <si>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</si>
  <si>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</si>
  <si>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</si>
  <si>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</si>
  <si>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</si>
  <si>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</si>
  <si>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</si>
  <si>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</si>
  <si>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</si>
  <si>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</si>
  <si>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</si>
  <si>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</si>
  <si>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</si>
  <si>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</si>
  <si>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</si>
  <si>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</si>
  <si>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</si>
  <si>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</si>
  <si>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</si>
  <si>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</si>
  <si>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</si>
  <si>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</si>
  <si>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</si>
  <si>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</si>
  <si>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</si>
  <si>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</si>
  <si>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</si>
  <si>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</si>
  <si>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</si>
  <si>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</si>
  <si>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</si>
  <si>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</si>
  <si>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</si>
  <si>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</si>
  <si>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</si>
  <si>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</si>
  <si>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</si>
  <si>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</si>
  <si>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</si>
  <si>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</si>
  <si>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</si>
  <si>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</si>
  <si>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</si>
  <si>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</si>
  <si>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</si>
  <si>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</si>
  <si>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</si>
  <si>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</si>
  <si>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</si>
  <si>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</si>
  <si>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</si>
  <si>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</si>
  <si>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</si>
  <si>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</si>
  <si>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</si>
  <si>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</si>
  <si>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</si>
  <si>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</si>
  <si>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</si>
  <si>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</si>
  <si>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</si>
  <si>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</si>
  <si>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</si>
  <si>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</si>
  <si>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</si>
  <si>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</si>
  <si>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</si>
  <si>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</si>
  <si>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</si>
  <si>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</si>
  <si>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</si>
  <si>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</si>
  <si>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</si>
  <si>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</si>
  <si>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</si>
  <si>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</si>
  <si>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</si>
  <si>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</si>
  <si>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</si>
  <si>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</si>
  <si>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</si>
  <si>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</si>
  <si>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</si>
  <si>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</si>
  <si>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</si>
  <si>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</si>
  <si>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</si>
  <si>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</si>
  <si>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</si>
  <si>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</si>
  <si>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</si>
  <si>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</si>
  <si>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</si>
  <si>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</si>
  <si>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</si>
  <si>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</si>
  <si>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</si>
  <si>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</si>
  <si>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</si>
  <si>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</si>
  <si>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</si>
  <si>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</si>
  <si>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</si>
  <si>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</si>
  <si>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</si>
  <si>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</si>
  <si>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</si>
  <si>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</si>
  <si>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</si>
  <si>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</si>
  <si>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</si>
  <si>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</si>
  <si>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</si>
  <si>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</si>
  <si>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</si>
  <si>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</si>
  <si>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</si>
  <si>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</si>
  <si>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</si>
  <si>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</si>
  <si>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</si>
  <si>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</si>
  <si>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</si>
  <si>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</si>
  <si>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</si>
  <si>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</si>
  <si>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</si>
  <si>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</si>
  <si>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</si>
  <si>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</si>
  <si>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</si>
  <si>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</si>
  <si>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</si>
  <si>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</si>
  <si>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</si>
  <si>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</si>
  <si>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</si>
  <si>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</si>
  <si>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</si>
  <si>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</si>
  <si>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</si>
  <si>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</si>
  <si>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</si>
  <si>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</si>
  <si>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</si>
  <si>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</si>
  <si>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</si>
  <si>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</si>
  <si>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</si>
  <si>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</si>
  <si>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</si>
  <si>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</si>
  <si>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</si>
  <si>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</si>
  <si>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</si>
  <si>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</si>
  <si>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</si>
  <si>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</si>
  <si>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</si>
  <si>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</si>
  <si>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</si>
  <si>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</si>
  <si>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</si>
  <si>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</si>
  <si>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</si>
  <si>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</si>
  <si>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</si>
  <si>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</si>
  <si>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</si>
  <si>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</si>
  <si>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</si>
  <si>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</si>
  <si>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</si>
  <si>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</si>
  <si>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</si>
  <si>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</si>
  <si>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</si>
  <si>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</si>
  <si>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</si>
  <si>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</si>
  <si>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</si>
  <si>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</si>
  <si>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</si>
  <si>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</si>
  <si>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</si>
  <si>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</si>
  <si>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</si>
  <si>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</si>
  <si>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</si>
  <si>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</si>
  <si>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</si>
  <si>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</si>
  <si>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</si>
  <si>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</si>
  <si>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</si>
  <si>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</si>
  <si>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</si>
  <si>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</si>
  <si>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</si>
  <si>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</si>
  <si>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</si>
  <si>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</si>
  <si>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</si>
  <si>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</si>
  <si>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</si>
  <si>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</si>
  <si>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</si>
  <si>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</si>
  <si>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</si>
  <si>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</si>
  <si>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</si>
  <si>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</si>
  <si>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</si>
  <si>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</si>
  <si>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</si>
  <si>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</si>
  <si>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</si>
  <si>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</si>
  <si>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</si>
  <si>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</si>
  <si>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</si>
  <si>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</si>
  <si>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</si>
  <si>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</si>
  <si>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</si>
  <si>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</si>
  <si>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</si>
  <si>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</si>
  <si>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</si>
  <si>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</si>
  <si>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</si>
  <si>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</si>
  <si>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</si>
  <si>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</si>
  <si>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</si>
  <si>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</si>
  <si>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</si>
  <si>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</si>
  <si>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</si>
  <si>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</si>
  <si>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</si>
  <si>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</si>
  <si>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</si>
  <si>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</si>
  <si>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</si>
  <si>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</si>
  <si>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</si>
  <si>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</si>
  <si>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</si>
  <si>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</si>
  <si>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</si>
  <si>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</si>
  <si>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</si>
  <si>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</si>
  <si>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</si>
  <si>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</si>
  <si>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</si>
  <si>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</si>
  <si>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</si>
  <si>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</si>
  <si>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</si>
  <si>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</si>
  <si>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</si>
  <si>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</si>
  <si>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</si>
  <si>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</si>
  <si>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</si>
  <si>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</si>
  <si>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</si>
  <si>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</si>
  <si>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</si>
  <si>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</si>
  <si>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</si>
  <si>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</si>
  <si>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</si>
  <si>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</si>
  <si>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</si>
  <si>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</si>
  <si>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</si>
  <si>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</si>
  <si>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</si>
  <si>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</si>
  <si>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</si>
  <si>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</si>
  <si>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</si>
  <si>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</si>
  <si>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</si>
  <si>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</si>
  <si>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</si>
  <si>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</si>
  <si>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</si>
  <si>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</si>
  <si>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</si>
  <si>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</si>
  <si>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</si>
  <si>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</si>
  <si>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</si>
  <si>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</si>
  <si>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</si>
  <si>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</si>
  <si>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</si>
  <si>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</si>
  <si>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</si>
  <si>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</si>
  <si>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</si>
  <si>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</si>
  <si>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</si>
  <si>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</si>
  <si>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</si>
  <si>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</si>
  <si>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</si>
  <si>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</si>
  <si>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</si>
  <si>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</si>
  <si>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</si>
  <si>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</si>
  <si>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</si>
  <si>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</si>
  <si>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</si>
  <si>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</si>
  <si>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</si>
  <si>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</si>
  <si>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</si>
  <si>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</si>
  <si>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</si>
  <si>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</si>
  <si>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</si>
  <si>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</si>
  <si>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</si>
  <si>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</si>
  <si>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</si>
  <si>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</si>
  <si>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</si>
  <si>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</si>
  <si>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</si>
  <si>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</si>
  <si>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</si>
  <si>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</si>
  <si>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</si>
  <si>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</si>
  <si>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</si>
  <si>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</si>
  <si>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</si>
  <si>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</si>
  <si>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</si>
  <si>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</si>
  <si>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</si>
  <si>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</si>
  <si>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</si>
  <si>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</si>
  <si>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</si>
  <si>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</si>
  <si>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</si>
  <si>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</si>
  <si>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</si>
  <si>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</si>
  <si>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</si>
  <si>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</si>
  <si>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</si>
  <si>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</si>
  <si>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</si>
  <si>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</si>
  <si>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</si>
  <si>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</si>
  <si>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</si>
  <si>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</si>
  <si>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</si>
  <si>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</si>
  <si>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</si>
  <si>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</si>
  <si>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</si>
  <si>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</si>
  <si>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</si>
  <si>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</si>
  <si>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</si>
  <si>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</si>
  <si>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</si>
  <si>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</si>
  <si>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</si>
  <si>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</si>
  <si>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</si>
  <si>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</si>
  <si>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</si>
  <si>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</si>
  <si>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</si>
  <si>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</si>
  <si>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</si>
  <si>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</si>
  <si>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</si>
  <si>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</si>
  <si>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</si>
  <si>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</si>
  <si>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</si>
  <si>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</si>
  <si>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</si>
  <si>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</si>
  <si>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</si>
  <si>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</si>
  <si>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</si>
  <si>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</si>
  <si>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</si>
  <si>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</si>
  <si>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</si>
  <si>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</si>
  <si>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</si>
  <si>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</si>
  <si>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</si>
  <si>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</si>
  <si>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</si>
  <si>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</si>
  <si>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</si>
  <si>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</si>
  <si>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</si>
  <si>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</si>
  <si>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</si>
  <si>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</si>
  <si>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</si>
  <si>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</si>
  <si>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</si>
  <si>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</si>
  <si>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</si>
  <si>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</si>
  <si>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</si>
  <si>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</si>
  <si>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</si>
  <si>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</si>
  <si>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</si>
  <si>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</si>
  <si>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</si>
  <si>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</si>
  <si>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</si>
  <si>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</si>
  <si>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</si>
  <si>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</si>
  <si>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</si>
  <si>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</si>
  <si>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</si>
  <si>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</si>
  <si>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</si>
  <si>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</si>
  <si>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</si>
  <si>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</si>
  <si>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</si>
  <si>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</si>
  <si>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</si>
  <si>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</si>
  <si>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</si>
  <si>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</si>
  <si>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</si>
  <si>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</si>
  <si>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</si>
  <si>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</si>
  <si>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</si>
  <si>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</si>
  <si>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</si>
  <si>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</si>
  <si>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</si>
  <si>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</si>
  <si>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</si>
  <si>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</si>
  <si>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</si>
  <si>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</si>
  <si>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</si>
  <si>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</si>
  <si>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</si>
  <si>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</si>
  <si>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</si>
  <si>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</si>
  <si>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</si>
  <si>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</si>
  <si>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</si>
  <si>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</si>
  <si>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</si>
  <si>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</si>
  <si>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</si>
  <si>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</si>
  <si>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</si>
  <si>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</si>
  <si>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</si>
  <si>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</si>
  <si>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</si>
  <si>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</si>
  <si>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</si>
  <si>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</si>
  <si>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</si>
  <si>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</si>
  <si>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</si>
  <si>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</si>
  <si>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</si>
  <si>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</si>
  <si>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</si>
  <si>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</si>
  <si>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</si>
  <si>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</si>
  <si>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</si>
  <si>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</si>
  <si>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</si>
  <si>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</si>
  <si>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</si>
  <si>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</si>
  <si>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</si>
  <si>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</si>
  <si>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</si>
  <si>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</si>
  <si>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</si>
  <si>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</si>
  <si>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</si>
  <si>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</si>
  <si>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</si>
  <si>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</si>
  <si>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</si>
  <si>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</si>
  <si>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</si>
  <si>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</si>
  <si>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</si>
  <si>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</si>
  <si>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</si>
  <si>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</si>
  <si>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</si>
  <si>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</si>
  <si>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</si>
  <si>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</si>
  <si>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</si>
  <si>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</si>
  <si>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</si>
  <si>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</si>
  <si>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</si>
  <si>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</si>
  <si>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</si>
  <si>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</si>
  <si>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</si>
  <si>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</si>
  <si>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</si>
  <si>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</si>
  <si>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</si>
  <si>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</si>
  <si>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</si>
  <si>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</si>
  <si>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</si>
  <si>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</si>
  <si>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</si>
  <si>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</si>
  <si>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</si>
  <si>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</si>
  <si>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</si>
  <si>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</si>
  <si>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</si>
  <si>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</si>
  <si>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</si>
  <si>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</si>
  <si>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</si>
  <si>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</si>
  <si>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</si>
  <si>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</si>
  <si>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</si>
  <si>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</si>
  <si>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</si>
  <si>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</si>
  <si>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</si>
  <si>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</si>
  <si>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</si>
  <si>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</si>
  <si>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</si>
  <si>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</si>
  <si>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</si>
  <si>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</si>
  <si>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</si>
  <si>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</si>
  <si>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</si>
  <si>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</si>
  <si>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</si>
  <si>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</si>
  <si>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</si>
  <si>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</si>
  <si>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</si>
  <si>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</si>
  <si>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</si>
  <si>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</si>
  <si>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</si>
  <si>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</si>
  <si>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</si>
  <si>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</si>
  <si>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</si>
  <si>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</si>
  <si>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</si>
  <si>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</si>
  <si>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</si>
  <si>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</si>
  <si>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</si>
  <si>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</si>
  <si>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</si>
  <si>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</si>
  <si>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</si>
  <si>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</si>
  <si>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</si>
  <si>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</si>
  <si>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</si>
  <si>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</si>
  <si>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</si>
  <si>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</si>
  <si>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</si>
  <si>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</si>
  <si>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</si>
  <si>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</si>
  <si>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</si>
  <si>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</si>
  <si>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</si>
  <si>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</si>
  <si>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</si>
  <si>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</si>
  <si>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</si>
  <si>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</si>
  <si>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</si>
  <si>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</si>
  <si>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</si>
  <si>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</si>
  <si>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</si>
  <si>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</si>
  <si>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</si>
  <si>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</si>
  <si>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</si>
  <si>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</si>
  <si>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</si>
  <si>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</si>
  <si>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</si>
  <si>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</si>
  <si>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</si>
  <si>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</si>
  <si>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</si>
  <si>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</si>
  <si>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</si>
  <si>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</si>
  <si>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</si>
  <si>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</si>
  <si>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</si>
  <si>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</si>
  <si>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</si>
  <si>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</si>
  <si>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</si>
  <si>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</si>
  <si>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</si>
  <si>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</si>
  <si>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</si>
  <si>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</si>
  <si>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</si>
  <si>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</si>
  <si>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</si>
  <si>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</si>
  <si>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</si>
  <si>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</si>
  <si>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</si>
  <si>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</si>
  <si>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</si>
  <si>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</si>
  <si>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</si>
  <si>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</si>
  <si>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</si>
  <si>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</si>
  <si>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</si>
  <si>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</si>
  <si>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</si>
  <si>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</si>
  <si>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</si>
  <si>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</si>
  <si>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</si>
  <si>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</si>
  <si>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</si>
  <si>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</si>
  <si>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</si>
  <si>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</si>
  <si>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</si>
  <si>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</si>
  <si>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</si>
  <si>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</si>
  <si>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</si>
  <si>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</si>
  <si>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</si>
  <si>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</si>
  <si>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</si>
  <si>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</si>
  <si>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</si>
  <si>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</si>
  <si>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</si>
  <si>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</si>
  <si>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</si>
  <si>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</si>
  <si>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</si>
  <si>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</si>
  <si>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</si>
  <si>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</si>
  <si>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</si>
  <si>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</si>
  <si>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</si>
  <si>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</si>
  <si>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</si>
  <si>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</si>
  <si>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</si>
  <si>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</si>
  <si>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</si>
  <si>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</si>
  <si>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</si>
  <si>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</si>
  <si>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</si>
  <si>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</si>
  <si>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</si>
  <si>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</si>
  <si>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</si>
  <si>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</si>
  <si>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</si>
  <si>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</si>
  <si>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</si>
  <si>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</si>
  <si>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</si>
  <si>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</si>
  <si>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</si>
  <si>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</si>
  <si>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</si>
  <si>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</si>
  <si>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</si>
  <si>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</si>
  <si>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</si>
  <si>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</si>
  <si>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</si>
  <si>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</si>
  <si>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</si>
  <si>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</si>
  <si>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</si>
  <si>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</si>
  <si>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</si>
  <si>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</si>
  <si>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</si>
  <si>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</si>
  <si>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</si>
  <si>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</si>
  <si>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</si>
  <si>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</si>
  <si>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</si>
  <si>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</si>
  <si>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</si>
  <si>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</si>
  <si>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</si>
  <si>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</si>
  <si>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</si>
  <si>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</si>
  <si>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</si>
  <si>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</si>
  <si>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</si>
  <si>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</si>
  <si>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</si>
  <si>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</si>
  <si>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</si>
  <si>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</si>
  <si>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</si>
  <si>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</si>
  <si>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</si>
  <si>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</si>
  <si>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</si>
  <si>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</si>
  <si>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</si>
  <si>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</si>
  <si>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</si>
  <si>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</si>
  <si>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</si>
  <si>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</si>
  <si>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</si>
  <si>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</si>
  <si>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</si>
  <si>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</si>
  <si>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</si>
  <si>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</si>
  <si>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</si>
  <si>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</si>
  <si>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</si>
  <si>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</si>
  <si>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</si>
  <si>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</si>
  <si>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</si>
  <si>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</si>
  <si>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</si>
  <si>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</si>
  <si>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</si>
  <si>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</si>
  <si>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</si>
  <si>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</si>
  <si>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</si>
  <si>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</si>
  <si>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</si>
  <si>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</si>
  <si>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</si>
  <si>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</si>
  <si>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</si>
  <si>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</si>
  <si>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</si>
  <si>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</si>
  <si>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</si>
  <si>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</si>
  <si>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</si>
  <si>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</si>
  <si>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</si>
  <si>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</si>
  <si>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</si>
  <si>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</si>
  <si>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</si>
  <si>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</si>
  <si>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</si>
  <si>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</si>
  <si>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</si>
  <si>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</si>
  <si>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</si>
  <si>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</si>
  <si>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</si>
  <si>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</si>
  <si>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</si>
  <si>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</si>
  <si>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</si>
  <si>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</si>
  <si>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</si>
  <si>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</si>
  <si>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</si>
  <si>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</si>
  <si>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</si>
  <si>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</si>
  <si>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</si>
  <si>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</si>
  <si>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</si>
  <si>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</si>
  <si>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</si>
  <si>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</si>
  <si>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</si>
  <si>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</si>
  <si>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</si>
  <si>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</si>
  <si>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</si>
  <si>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</si>
  <si>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</si>
  <si>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</si>
  <si>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</si>
  <si>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</si>
  <si>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</si>
  <si>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</si>
  <si>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</si>
  <si>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</si>
  <si>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</si>
  <si>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</si>
  <si>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</si>
  <si>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</si>
  <si>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</si>
  <si>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</si>
  <si>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</si>
  <si>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</si>
  <si>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</si>
  <si>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</si>
  <si>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</si>
  <si>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</si>
  <si>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</si>
  <si>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</si>
  <si>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</si>
  <si>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</si>
  <si>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</si>
  <si>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</si>
  <si>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</si>
  <si>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</si>
  <si>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</si>
  <si>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</si>
  <si>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</si>
  <si>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</si>
  <si>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</si>
  <si>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</si>
  <si>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</si>
  <si>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</si>
  <si>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</si>
  <si>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</si>
  <si>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</si>
  <si>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</si>
  <si>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</si>
  <si>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</si>
  <si>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</si>
  <si>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</si>
  <si>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</si>
  <si>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</si>
  <si>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</si>
  <si>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</si>
  <si>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</si>
  <si>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</si>
  <si>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</si>
  <si>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</si>
  <si>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</si>
  <si>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</si>
  <si>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</si>
  <si>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</si>
  <si>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</si>
  <si>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</si>
  <si>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</si>
  <si>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</si>
  <si>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</si>
  <si>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</si>
  <si>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</si>
  <si>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</si>
  <si>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</si>
  <si>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</si>
  <si>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</si>
  <si>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</si>
  <si>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</si>
  <si>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</si>
  <si>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</si>
  <si>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</si>
  <si>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</si>
  <si>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</si>
  <si>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</si>
  <si>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</si>
  <si>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</si>
  <si>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</si>
  <si>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</si>
  <si>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</si>
  <si>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</si>
  <si>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</si>
  <si>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</si>
  <si>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</si>
  <si>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</si>
  <si>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</si>
  <si>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</si>
  <si>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</si>
  <si>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</si>
  <si>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</si>
  <si>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</si>
  <si>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</si>
  <si>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</si>
  <si>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</si>
  <si>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</si>
  <si>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</si>
  <si>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</si>
  <si>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</si>
  <si>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</si>
  <si>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</si>
  <si>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</si>
  <si>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</si>
  <si>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</si>
  <si>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</si>
  <si>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</si>
  <si>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</si>
  <si>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</si>
  <si>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</si>
  <si>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</si>
  <si>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</si>
  <si>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</si>
  <si>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</si>
  <si>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</si>
  <si>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</si>
  <si>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</si>
  <si>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</si>
  <si>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</si>
  <si>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</si>
  <si>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</si>
  <si>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</si>
  <si>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</si>
  <si>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</si>
  <si>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</si>
  <si>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</si>
  <si>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</si>
  <si>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</si>
  <si>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</si>
  <si>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</si>
  <si>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</si>
  <si>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</si>
  <si>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</si>
  <si>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</si>
  <si>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</si>
  <si>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</si>
  <si>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</si>
  <si>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</si>
  <si>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</si>
  <si>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</si>
  <si>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</si>
  <si>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</si>
  <si>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</si>
  <si>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</si>
  <si>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</si>
  <si>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</si>
  <si>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</si>
  <si>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</si>
  <si>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</si>
  <si>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</si>
  <si>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</si>
  <si>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</si>
  <si>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</si>
  <si>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</si>
  <si>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</si>
  <si>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</si>
  <si>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</si>
  <si>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</si>
  <si>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</si>
  <si>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</si>
  <si>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</si>
  <si>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</si>
  <si>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</si>
  <si>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</si>
  <si>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</si>
  <si>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</si>
  <si>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</si>
  <si>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</si>
  <si>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</si>
  <si>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</si>
  <si>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</si>
  <si>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</si>
  <si>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</si>
  <si>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</si>
  <si>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</si>
  <si>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</si>
  <si>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</si>
  <si>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</si>
  <si>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</si>
  <si>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</si>
  <si>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</si>
  <si>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</si>
  <si>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</si>
  <si>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</si>
  <si>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</si>
  <si>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</si>
  <si>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</si>
  <si>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</si>
  <si>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</si>
  <si>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</si>
  <si>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</si>
  <si>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</si>
  <si>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</si>
  <si>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</si>
  <si>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</si>
  <si>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</si>
  <si>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</si>
  <si>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</si>
  <si>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</si>
  <si>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</si>
  <si>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</si>
  <si>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</si>
  <si>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</si>
  <si>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</si>
  <si>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</si>
  <si>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</si>
  <si>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</si>
  <si>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</si>
  <si>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</si>
  <si>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</si>
  <si>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</si>
  <si>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</si>
  <si>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</si>
  <si>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</si>
  <si>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</si>
  <si>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</si>
  <si>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</si>
  <si>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</si>
  <si>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</si>
  <si>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</si>
  <si>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</si>
  <si>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</si>
  <si>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</si>
  <si>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</si>
  <si>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</si>
  <si>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</si>
  <si>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</si>
  <si>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</si>
  <si>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</si>
  <si>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</si>
  <si>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</si>
  <si>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</si>
  <si>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</si>
  <si>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</si>
  <si>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</si>
  <si>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</si>
  <si>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</si>
  <si>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</si>
  <si>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</si>
  <si>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</si>
  <si>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</si>
  <si>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</si>
  <si>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</si>
  <si>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</si>
  <si>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</si>
  <si>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</si>
  <si>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</si>
  <si>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</si>
  <si>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</si>
  <si>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</si>
  <si>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</si>
  <si>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</si>
  <si>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</si>
  <si>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</si>
  <si>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</si>
  <si>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</si>
  <si>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</si>
  <si>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</si>
  <si>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</si>
  <si>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</si>
  <si>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</si>
  <si>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</si>
  <si>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</si>
  <si>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</si>
  <si>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</si>
  <si>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</si>
  <si>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</si>
  <si>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</si>
  <si>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</si>
  <si>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</si>
  <si>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</si>
  <si>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</si>
  <si>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</si>
  <si>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</si>
  <si>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</si>
  <si>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</si>
  <si>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</si>
  <si>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</si>
  <si>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</si>
  <si>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</si>
  <si>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</si>
  <si>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</si>
  <si>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</si>
  <si>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</si>
  <si>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</si>
  <si>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</si>
  <si>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</si>
  <si>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</si>
  <si>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</si>
  <si>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</si>
  <si>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</si>
  <si>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</si>
  <si>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</si>
  <si>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</si>
  <si>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</si>
  <si>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</si>
  <si>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</si>
  <si>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</si>
  <si>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</si>
  <si>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</si>
  <si>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</si>
  <si>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</si>
  <si>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</si>
  <si>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</si>
  <si>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</si>
  <si>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</si>
  <si>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</si>
  <si>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</si>
  <si>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</si>
  <si>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</si>
  <si>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</si>
  <si>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</si>
  <si>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</si>
  <si>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</si>
  <si>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</si>
  <si>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</si>
  <si>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</si>
  <si>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</si>
  <si>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</si>
  <si>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</si>
  <si>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</si>
  <si>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</si>
  <si>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</si>
  <si>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</si>
  <si>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</si>
  <si>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</si>
  <si>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</si>
  <si>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</si>
  <si>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</si>
  <si>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</si>
  <si>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</si>
  <si>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</si>
  <si>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</si>
  <si>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</si>
  <si>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</si>
  <si>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</si>
  <si>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</si>
  <si>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</si>
  <si>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</si>
  <si>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</si>
  <si>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</si>
  <si>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</si>
  <si>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</si>
  <si>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</si>
  <si>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</si>
  <si>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</si>
  <si>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</si>
  <si>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</si>
  <si>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</si>
  <si>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</si>
  <si>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</si>
  <si>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</si>
  <si>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</si>
  <si>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</si>
  <si>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</si>
  <si>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</si>
  <si>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</si>
  <si>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</si>
  <si>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</si>
  <si>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</si>
  <si>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</si>
  <si>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</si>
  <si>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</si>
  <si>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</si>
  <si>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</si>
  <si>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</si>
  <si>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</si>
  <si>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</si>
  <si>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</si>
  <si>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</si>
  <si>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</si>
  <si>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</si>
  <si>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</si>
  <si>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</si>
  <si>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</si>
  <si>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</si>
  <si>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</si>
  <si>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</si>
  <si>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</si>
  <si>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</si>
  <si>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</si>
  <si>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</si>
  <si>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</si>
  <si>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</si>
  <si>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</si>
  <si>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</si>
  <si>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</si>
  <si>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</si>
  <si>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</si>
  <si>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</si>
  <si>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</si>
  <si>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</si>
  <si>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</si>
  <si>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</si>
  <si>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</si>
  <si>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</si>
  <si>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</si>
  <si>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</si>
  <si>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</si>
  <si>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</si>
  <si>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</si>
  <si>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</si>
  <si>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</si>
  <si>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</si>
  <si>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</si>
  <si>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</si>
  <si>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</si>
  <si>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</si>
  <si>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</si>
  <si>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</si>
  <si>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</si>
  <si>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</si>
  <si>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</si>
  <si>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</si>
  <si>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</si>
  <si>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</si>
  <si>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</si>
  <si>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</si>
  <si>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</si>
  <si>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</si>
  <si>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</si>
  <si>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</si>
  <si>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</si>
  <si>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</si>
  <si>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</si>
  <si>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</si>
  <si>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</si>
  <si>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</si>
  <si>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</si>
  <si>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</si>
  <si>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</si>
  <si>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</si>
  <si>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</si>
  <si>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</si>
  <si>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</si>
  <si>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</si>
  <si>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</si>
  <si>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</si>
  <si>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</si>
  <si>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</si>
  <si>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</si>
  <si>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</si>
  <si>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</si>
  <si>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</si>
  <si>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</si>
  <si>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</si>
  <si>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</si>
  <si>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</si>
  <si>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</si>
  <si>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</si>
  <si>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</si>
  <si>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</si>
  <si>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</si>
  <si>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</si>
  <si>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</si>
  <si>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</si>
  <si>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</si>
  <si>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</si>
  <si>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</si>
  <si>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</si>
  <si>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</si>
  <si>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</si>
  <si>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</si>
  <si>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</si>
  <si>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</si>
  <si>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</si>
  <si>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</si>
  <si>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</si>
  <si>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</si>
  <si>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</si>
  <si>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</si>
  <si>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</si>
  <si>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</si>
  <si>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</si>
  <si>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</si>
  <si>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</si>
  <si>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</si>
  <si>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</si>
  <si>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</si>
  <si>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</si>
  <si>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</si>
  <si>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</si>
  <si>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</si>
  <si>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</si>
  <si>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</si>
  <si>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</si>
  <si>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</si>
  <si>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</si>
  <si>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</si>
  <si>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</si>
  <si>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</si>
  <si>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</si>
  <si>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</si>
  <si>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</si>
  <si>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</si>
  <si>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</si>
  <si>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</si>
  <si>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</si>
  <si>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</si>
  <si>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</si>
  <si>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</si>
  <si>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</si>
  <si>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</si>
  <si>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</si>
  <si>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</si>
  <si>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</si>
  <si>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</si>
  <si>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</si>
  <si>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</si>
  <si>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</si>
  <si>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</si>
  <si>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</si>
  <si>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</si>
  <si>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</si>
  <si>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</si>
  <si>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</si>
  <si>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</si>
  <si>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</si>
  <si>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</si>
  <si>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</si>
  <si>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</si>
  <si>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</si>
  <si>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</si>
  <si>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</si>
  <si>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</si>
  <si>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</si>
  <si>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</si>
  <si>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</si>
  <si>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</si>
  <si>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</si>
  <si>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</si>
  <si>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</si>
  <si>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</si>
  <si>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</si>
  <si>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</si>
  <si>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</si>
  <si>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</si>
  <si>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</si>
  <si>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</si>
  <si>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</si>
  <si>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</si>
  <si>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</si>
  <si>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</si>
  <si>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</si>
  <si>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</si>
  <si>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</si>
  <si>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</si>
  <si>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</si>
  <si>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</si>
  <si>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</si>
  <si>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</si>
  <si>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</si>
  <si>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</si>
  <si>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</si>
  <si>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</si>
  <si>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</si>
  <si>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</si>
  <si>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</si>
  <si>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</si>
  <si>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</si>
  <si>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</si>
  <si>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</si>
  <si>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</si>
  <si>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</si>
  <si>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</si>
  <si>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</si>
  <si>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</si>
  <si>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</si>
  <si>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</si>
  <si>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</si>
  <si>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</si>
  <si>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</si>
  <si>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</si>
  <si>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</si>
  <si>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</si>
  <si>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</si>
  <si>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</si>
  <si>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</si>
  <si>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</si>
  <si>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</si>
  <si>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</si>
  <si>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</si>
  <si>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</si>
  <si>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</si>
  <si>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</si>
  <si>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</si>
  <si>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</si>
  <si>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</si>
  <si>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</si>
  <si>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</si>
  <si>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</si>
  <si>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</si>
  <si>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</si>
  <si>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</si>
  <si>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</si>
  <si>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</si>
  <si>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</si>
  <si>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</si>
  <si>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</si>
  <si>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</si>
  <si>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</si>
  <si>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</si>
  <si>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</si>
  <si>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</si>
  <si>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</si>
  <si>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</si>
  <si>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</si>
  <si>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</si>
  <si>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</si>
  <si>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</si>
  <si>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</si>
  <si>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</si>
  <si>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</si>
  <si>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</si>
  <si>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</si>
  <si>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</si>
  <si>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</si>
  <si>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</si>
  <si>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</si>
  <si>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</si>
  <si>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</si>
  <si>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</si>
  <si>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</si>
  <si>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</si>
  <si>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</si>
  <si>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</si>
  <si>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</si>
  <si>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</si>
  <si>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</si>
  <si>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</si>
  <si>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</si>
  <si>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</si>
  <si>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</si>
  <si>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</si>
  <si>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</si>
  <si>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</si>
  <si>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</si>
  <si>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</si>
  <si>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</si>
  <si>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</si>
  <si>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</si>
  <si>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</si>
  <si>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</si>
  <si>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</si>
  <si>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</si>
  <si>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</si>
  <si>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</si>
  <si>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</si>
  <si>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</si>
  <si>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</si>
  <si>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</si>
  <si>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</si>
  <si>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</si>
  <si>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</si>
  <si>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</si>
  <si>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</si>
  <si>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</si>
  <si>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</si>
  <si>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</si>
  <si>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</si>
  <si>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</si>
  <si>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</si>
  <si>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</si>
  <si>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</si>
  <si>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</si>
  <si>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</si>
  <si>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</si>
  <si>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</si>
  <si>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</si>
  <si>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</si>
  <si>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</si>
  <si>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</si>
  <si>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</si>
  <si>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</si>
  <si>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</si>
  <si>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</si>
  <si>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</si>
  <si>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</si>
  <si>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</si>
  <si>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</si>
  <si>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</si>
  <si>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</si>
  <si>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</si>
  <si>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</si>
  <si>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</si>
  <si>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</si>
  <si>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</si>
  <si>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</si>
  <si>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</si>
  <si>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</si>
  <si>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</si>
  <si>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</si>
  <si>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</si>
  <si>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</si>
  <si>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</si>
  <si>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</si>
  <si>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</si>
  <si>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</si>
  <si>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</si>
  <si>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</si>
  <si>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</si>
  <si>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</si>
  <si>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</si>
  <si>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</si>
  <si>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</si>
  <si>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</si>
  <si>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</si>
  <si>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</si>
  <si>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</si>
  <si>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</si>
  <si>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</si>
  <si>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</si>
  <si>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</si>
  <si>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</si>
  <si>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</si>
  <si>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</si>
  <si>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</si>
  <si>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</si>
  <si>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</si>
  <si>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</si>
  <si>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</si>
  <si>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</si>
  <si>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</si>
  <si>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</si>
  <si>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</si>
  <si>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</si>
  <si>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</si>
  <si>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</si>
  <si>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</si>
  <si>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</si>
  <si>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</si>
  <si>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</si>
  <si>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</si>
  <si>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</si>
  <si>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</si>
  <si>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</si>
  <si>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</si>
  <si>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</si>
  <si>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</si>
  <si>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</si>
  <si>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</si>
  <si>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</si>
  <si>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</si>
  <si>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</si>
  <si>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</si>
  <si>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</si>
  <si>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</si>
  <si>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</si>
  <si>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</si>
  <si>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</si>
  <si>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</si>
  <si>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</si>
  <si>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</si>
  <si>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</si>
  <si>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</si>
  <si>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</si>
  <si>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</si>
  <si>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</si>
  <si>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</si>
  <si>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</si>
  <si>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</si>
  <si>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</si>
  <si>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</si>
  <si>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</si>
  <si>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</si>
  <si>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</si>
  <si>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</si>
  <si>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</si>
  <si>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</si>
  <si>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</si>
  <si>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</si>
  <si>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</si>
  <si>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</si>
  <si>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</si>
  <si>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</si>
  <si>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</si>
  <si>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</si>
  <si>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</si>
  <si>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</si>
  <si>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</si>
  <si>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</si>
  <si>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</si>
  <si>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</si>
  <si>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</si>
  <si>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</si>
  <si>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</si>
  <si>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</si>
  <si>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</si>
  <si>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</si>
  <si>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</si>
  <si>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</si>
  <si>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</si>
  <si>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</si>
  <si>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</si>
  <si>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</si>
  <si>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</si>
  <si>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</si>
  <si>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</si>
  <si>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</si>
  <si>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</si>
  <si>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</si>
  <si>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</si>
  <si>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</si>
  <si>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</si>
  <si>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</si>
  <si>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</si>
  <si>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</si>
  <si>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</si>
  <si>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</si>
  <si>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</si>
  <si>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</si>
  <si>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</si>
  <si>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</si>
  <si>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</si>
  <si>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</si>
  <si>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</si>
  <si>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</si>
  <si>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</si>
  <si>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</si>
  <si>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</si>
  <si>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</si>
  <si>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</si>
  <si>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</si>
  <si>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</si>
  <si>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</si>
  <si>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</si>
  <si>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</si>
  <si>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</si>
  <si>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</si>
  <si>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</si>
  <si>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</si>
  <si>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</si>
  <si>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</si>
  <si>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</si>
  <si>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</si>
  <si>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</si>
  <si>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</si>
  <si>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</si>
  <si>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</si>
  <si>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</si>
  <si>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</si>
  <si>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</si>
  <si>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</si>
  <si>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</si>
  <si>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</si>
  <si>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</si>
  <si>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</si>
  <si>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</si>
  <si>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</si>
  <si>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</si>
  <si>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</si>
  <si>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</si>
  <si>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</si>
  <si>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</si>
  <si>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</si>
  <si>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</si>
  <si>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</si>
  <si>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</si>
  <si>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</si>
  <si>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</si>
  <si>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</si>
  <si>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</si>
  <si>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</si>
  <si>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</si>
  <si>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</si>
  <si>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</si>
  <si>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</si>
  <si>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</si>
  <si>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</si>
  <si>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</si>
  <si>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</si>
  <si>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</si>
  <si>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</si>
  <si>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</si>
  <si>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</si>
  <si>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</si>
  <si>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</si>
  <si>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</si>
  <si>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</si>
  <si>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</si>
  <si>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</si>
  <si>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</si>
  <si>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</si>
  <si>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</si>
  <si>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</si>
  <si>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</si>
  <si>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</si>
  <si>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</si>
  <si>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</si>
  <si>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</si>
  <si>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</si>
  <si>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</si>
  <si>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</si>
  <si>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</si>
  <si>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</si>
  <si>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</si>
  <si>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</si>
  <si>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</si>
  <si>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</si>
  <si>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</si>
  <si>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</si>
  <si>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</si>
  <si>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</si>
  <si>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</si>
  <si>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</si>
  <si>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</si>
  <si>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</si>
  <si>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</si>
  <si>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</si>
  <si>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</si>
  <si>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</si>
  <si>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</si>
  <si>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</si>
  <si>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</si>
  <si>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</si>
  <si>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</si>
  <si>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</si>
  <si>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</si>
  <si>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</si>
  <si>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</si>
  <si>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</si>
  <si>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</si>
  <si>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</si>
  <si>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</si>
  <si>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</si>
  <si>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</si>
  <si>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</si>
  <si>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</si>
  <si>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</si>
  <si>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</si>
  <si>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</si>
  <si>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</si>
  <si>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</si>
  <si>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</si>
  <si>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</si>
  <si>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</si>
  <si>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</si>
  <si>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</si>
  <si>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</si>
  <si>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</si>
  <si>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</si>
  <si>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</si>
  <si>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</si>
  <si>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</si>
  <si>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</si>
  <si>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</si>
  <si>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</si>
  <si>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</si>
  <si>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</si>
  <si>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</si>
  <si>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</si>
  <si>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</si>
  <si>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</si>
  <si>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</si>
  <si>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</si>
  <si>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</si>
  <si>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</si>
  <si>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</si>
  <si>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</si>
  <si>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</si>
  <si>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</si>
  <si>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</si>
  <si>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</si>
  <si>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</si>
  <si>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</si>
  <si>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</si>
  <si>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</si>
  <si>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</si>
  <si>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</si>
  <si>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</si>
  <si>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</si>
  <si>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</si>
  <si>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</si>
  <si>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</si>
  <si>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</si>
  <si>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</si>
  <si>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</si>
  <si>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</si>
  <si>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</si>
  <si>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</si>
  <si>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</si>
  <si>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</si>
  <si>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</si>
  <si>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</si>
  <si>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</si>
  <si>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</si>
  <si>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</si>
  <si>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</si>
  <si>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</si>
  <si>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</si>
  <si>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</si>
  <si>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</si>
  <si>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</si>
  <si>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</si>
  <si>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</si>
  <si>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</si>
  <si>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</si>
  <si>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</si>
  <si>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</si>
  <si>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</si>
  <si>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</si>
  <si>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</si>
  <si>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</si>
  <si>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</si>
  <si>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</si>
  <si>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</si>
  <si>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</si>
  <si>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</si>
  <si>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</si>
  <si>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</si>
  <si>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</si>
  <si>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</si>
  <si>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</si>
  <si>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</si>
  <si>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</si>
  <si>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</si>
  <si>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</si>
  <si>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</si>
  <si>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</si>
  <si>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</si>
  <si>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</si>
  <si>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</si>
  <si>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</si>
  <si>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</si>
  <si>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</si>
  <si>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</si>
  <si>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</si>
  <si>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</si>
  <si>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</si>
  <si>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</si>
  <si>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</si>
  <si>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</si>
  <si>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</si>
  <si>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</si>
  <si>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</si>
  <si>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</si>
  <si>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</si>
  <si>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</si>
  <si>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</si>
  <si>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</si>
  <si>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</si>
  <si>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</si>
  <si>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</si>
  <si>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</si>
  <si>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</si>
  <si>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</si>
  <si>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</si>
  <si>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</si>
  <si>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</si>
  <si>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</si>
  <si>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</si>
  <si>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</si>
  <si>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</si>
  <si>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</si>
  <si>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</si>
  <si>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</si>
  <si>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</si>
  <si>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</si>
  <si>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</si>
  <si>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</si>
  <si>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</si>
  <si>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</si>
  <si>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</si>
  <si>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</si>
  <si>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</si>
  <si>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</si>
  <si>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</si>
  <si>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</si>
  <si>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</si>
  <si>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</si>
  <si>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</si>
  <si>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</si>
  <si>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</si>
  <si>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</si>
  <si>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</si>
  <si>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</si>
  <si>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</si>
  <si>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</si>
  <si>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</si>
  <si>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</si>
  <si>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</si>
  <si>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</si>
  <si>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</si>
  <si>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</si>
  <si>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</si>
  <si>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</si>
  <si>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</si>
  <si>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</si>
  <si>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</si>
  <si>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</si>
  <si>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</si>
  <si>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</si>
  <si>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</si>
  <si>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</si>
  <si>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</si>
  <si>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</si>
  <si>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</si>
  <si>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</si>
  <si>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</si>
  <si>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</si>
  <si>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</si>
  <si>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</si>
  <si>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</si>
  <si>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</si>
  <si>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</si>
  <si>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</si>
  <si>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</si>
  <si>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</si>
  <si>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</si>
  <si>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</si>
  <si>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</si>
  <si>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</si>
  <si>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</si>
  <si>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</si>
  <si>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</si>
  <si>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</si>
  <si>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</si>
  <si>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</si>
  <si>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</si>
  <si>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</si>
  <si>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</si>
  <si>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</si>
  <si>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</si>
  <si>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</si>
  <si>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</si>
  <si>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</si>
  <si>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</si>
  <si>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</si>
  <si>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</si>
  <si>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</si>
  <si>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</si>
  <si>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</si>
  <si>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</si>
  <si>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</si>
  <si>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</si>
  <si>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</si>
  <si>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</si>
  <si>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</si>
  <si>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</si>
  <si>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</si>
  <si>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</si>
  <si>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</si>
  <si>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</si>
  <si>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</si>
  <si>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</si>
  <si>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</si>
  <si>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</si>
  <si>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</si>
  <si>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</si>
  <si>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</si>
  <si>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</si>
  <si>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</si>
  <si>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</si>
  <si>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</si>
  <si>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</si>
  <si>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</si>
  <si>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</si>
  <si>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</si>
  <si>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</si>
  <si>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</si>
  <si>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</si>
  <si>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</si>
  <si>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</si>
  <si>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</si>
  <si>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</si>
  <si>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</si>
  <si>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</si>
  <si>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</si>
  <si>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</si>
  <si>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</si>
  <si>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</si>
  <si>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</si>
  <si>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</si>
  <si>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</si>
  <si>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</si>
  <si>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</si>
  <si>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</si>
  <si>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</si>
  <si>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</si>
  <si>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</si>
  <si>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</si>
  <si>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</si>
  <si>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</si>
  <si>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</si>
  <si>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</si>
  <si>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</si>
  <si>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</si>
  <si>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</si>
  <si>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</si>
  <si>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</si>
  <si>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</si>
  <si>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</si>
  <si>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</si>
  <si>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</si>
  <si>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</si>
  <si>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</si>
  <si>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</si>
  <si>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</si>
  <si>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</si>
  <si>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</si>
  <si>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</si>
  <si>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</si>
  <si>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</si>
  <si>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</si>
  <si>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</si>
  <si>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</si>
  <si>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</si>
  <si>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</si>
  <si>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</si>
  <si>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</si>
  <si>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</si>
  <si>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</si>
  <si>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</si>
  <si>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</si>
  <si>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</si>
  <si>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</si>
  <si>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</si>
  <si>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</si>
  <si>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</si>
  <si>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</si>
  <si>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</si>
  <si>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</si>
  <si>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</si>
  <si>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</si>
  <si>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</si>
  <si>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</si>
  <si>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</si>
  <si>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</si>
  <si>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</si>
  <si>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</si>
  <si>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</si>
  <si>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</si>
  <si>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</si>
  <si>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</si>
  <si>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</si>
  <si>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</si>
  <si>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</si>
  <si>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</si>
  <si>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</si>
  <si>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</si>
  <si>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</si>
  <si>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</si>
  <si>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</si>
  <si>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</si>
  <si>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</si>
  <si>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</si>
  <si>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</si>
  <si>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</si>
  <si>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</si>
  <si>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</si>
  <si>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</si>
  <si>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</si>
  <si>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</si>
  <si>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</si>
  <si>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</si>
  <si>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</si>
  <si>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</si>
  <si>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</si>
  <si>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</si>
  <si>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</si>
  <si>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</si>
  <si>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</si>
  <si>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</si>
  <si>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</si>
  <si>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</si>
  <si>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</si>
  <si>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</si>
  <si>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</si>
  <si>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</si>
  <si>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</si>
  <si>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</si>
  <si>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</si>
  <si>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</si>
  <si>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</si>
  <si>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</si>
  <si>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</si>
  <si>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</si>
  <si>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</si>
  <si>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</si>
  <si>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</si>
  <si>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</si>
  <si>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</si>
  <si>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</si>
  <si>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</si>
  <si>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</si>
  <si>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</si>
  <si>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</si>
  <si>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</si>
  <si>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</si>
  <si>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</si>
  <si>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</si>
  <si>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</si>
  <si>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</si>
  <si>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</si>
  <si>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</si>
  <si>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</si>
  <si>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</si>
  <si>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</si>
  <si>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</si>
  <si>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</si>
  <si>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</si>
  <si>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</si>
  <si>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</si>
  <si>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</si>
  <si>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</si>
  <si>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</si>
  <si>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</si>
  <si>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</si>
  <si>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</si>
  <si>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</si>
  <si>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</si>
  <si>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</si>
  <si>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</si>
  <si>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</si>
  <si>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</si>
  <si>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</si>
  <si>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</si>
  <si>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</si>
  <si>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</si>
  <si>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</si>
  <si>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</si>
  <si>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</si>
  <si>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</si>
  <si>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</si>
  <si>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</si>
  <si>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</si>
  <si>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</si>
  <si>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</si>
  <si>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</si>
  <si>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</si>
  <si>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</si>
  <si>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</si>
  <si>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</si>
  <si>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</si>
  <si>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</si>
  <si>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</si>
  <si>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</si>
  <si>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</si>
  <si>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</si>
  <si>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</si>
  <si>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</si>
  <si>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</si>
  <si>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</si>
  <si>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</si>
  <si>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</si>
  <si>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</si>
  <si>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</si>
  <si>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</si>
  <si>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</si>
  <si>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</si>
  <si>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</si>
  <si>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</si>
  <si>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</si>
  <si>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</si>
  <si>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</si>
  <si>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</si>
  <si>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</si>
  <si>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</si>
  <si>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</si>
  <si>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</si>
  <si>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</si>
  <si>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</si>
  <si>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</si>
  <si>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</si>
  <si>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</si>
  <si>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</si>
  <si>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</si>
  <si>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</si>
  <si>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</si>
  <si>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</si>
  <si>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</si>
  <si>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</si>
  <si>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</si>
  <si>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</si>
  <si>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</si>
  <si>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</si>
  <si>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</si>
  <si>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</si>
  <si>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</si>
  <si>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</si>
  <si>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</si>
  <si>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</si>
  <si>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</si>
  <si>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</si>
  <si>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</si>
  <si>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</si>
  <si>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</si>
  <si>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</si>
  <si>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</si>
  <si>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</si>
  <si>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</si>
  <si>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</si>
  <si>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</si>
  <si>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</si>
  <si>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</si>
  <si>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</si>
  <si>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</si>
  <si>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</si>
  <si>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</si>
  <si>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</si>
  <si>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</si>
  <si>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</si>
  <si>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</si>
  <si>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</si>
  <si>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</si>
  <si>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</si>
  <si>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</si>
  <si>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</si>
  <si>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</si>
  <si>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</si>
  <si>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</si>
  <si>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</si>
  <si>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</si>
  <si>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</si>
  <si>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</si>
  <si>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</si>
  <si>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</si>
  <si>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</si>
  <si>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</si>
  <si>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</si>
  <si>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</si>
  <si>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</si>
  <si>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</si>
  <si>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</si>
  <si>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</si>
  <si>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</si>
  <si>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</si>
  <si>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</si>
  <si>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</si>
  <si>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</si>
  <si>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</si>
  <si>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</si>
  <si>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</si>
  <si>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</si>
  <si>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</si>
  <si>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</si>
  <si>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</si>
  <si>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</si>
  <si>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</si>
  <si>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</si>
  <si>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</si>
  <si>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</si>
  <si>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</si>
  <si>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</si>
  <si>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</si>
  <si>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</si>
  <si>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</si>
  <si>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</si>
  <si>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</si>
  <si>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</si>
  <si>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</si>
  <si>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</si>
  <si>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</si>
  <si>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</si>
  <si>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</si>
  <si>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</si>
  <si>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</si>
  <si>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</si>
  <si>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</si>
  <si>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</si>
  <si>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</si>
  <si>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</si>
  <si>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</si>
  <si>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</si>
  <si>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</si>
  <si>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</si>
  <si>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</si>
  <si>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</si>
  <si>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</si>
  <si>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</si>
  <si>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</si>
  <si>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</si>
  <si>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</si>
  <si>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</si>
  <si>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</si>
  <si>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</si>
  <si>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</si>
  <si>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</si>
  <si>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</si>
  <si>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</si>
  <si>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</si>
  <si>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</si>
  <si>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</si>
  <si>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</si>
  <si>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</si>
  <si>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</si>
  <si>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</si>
  <si>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</si>
  <si>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</si>
  <si>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</si>
  <si>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</si>
  <si>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</si>
  <si>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</si>
  <si>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</si>
  <si>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</si>
  <si>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</si>
  <si>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</si>
  <si>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</si>
  <si>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</si>
  <si>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</si>
  <si>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</si>
  <si>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</si>
  <si>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</si>
  <si>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</si>
  <si>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</si>
  <si>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</si>
  <si>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</si>
  <si>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</si>
  <si>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</si>
  <si>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</si>
  <si>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</si>
  <si>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</si>
  <si>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</si>
  <si>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</si>
  <si>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</si>
  <si>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</si>
  <si>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</si>
  <si>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</si>
  <si>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</si>
  <si>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</si>
  <si>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</si>
  <si>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</si>
  <si>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</si>
  <si>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</si>
  <si>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</si>
  <si>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</si>
  <si>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</si>
  <si>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</si>
  <si>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</si>
  <si>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</si>
  <si>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</si>
  <si>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</si>
  <si>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</si>
  <si>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</si>
  <si>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</si>
  <si>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</si>
  <si>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</si>
  <si>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</si>
  <si>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</si>
  <si>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</si>
  <si>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</si>
  <si>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</si>
  <si>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</si>
  <si>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</si>
  <si>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</si>
  <si>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</si>
  <si>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</si>
  <si>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</si>
  <si>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</si>
  <si>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</si>
  <si>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</si>
  <si>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</si>
  <si>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</si>
  <si>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</si>
  <si>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</si>
  <si>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</si>
  <si>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</si>
  <si>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</si>
  <si>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</si>
  <si>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</si>
  <si>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</si>
  <si>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</si>
  <si>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</si>
  <si>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</si>
  <si>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</si>
  <si>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</si>
  <si>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</si>
  <si>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</si>
  <si>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</si>
  <si>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</si>
  <si>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</si>
  <si>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</si>
  <si>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</si>
  <si>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</si>
  <si>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</si>
  <si>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</si>
  <si>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</si>
  <si>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</si>
  <si>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</si>
  <si>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</si>
  <si>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</si>
  <si>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</si>
  <si>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</si>
  <si>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</si>
  <si>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</si>
  <si>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</si>
  <si>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</si>
  <si>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</si>
  <si>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</si>
  <si>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</si>
  <si>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</si>
  <si>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</si>
  <si>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</si>
  <si>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</si>
  <si>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</si>
  <si>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</si>
  <si>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</si>
  <si>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</si>
  <si>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</si>
  <si>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</si>
  <si>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</si>
  <si>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</si>
  <si>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</si>
  <si>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</si>
  <si>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</si>
  <si>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</si>
  <si>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</si>
  <si>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</si>
  <si>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</si>
  <si>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</si>
  <si>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</si>
  <si>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</si>
  <si>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</si>
  <si>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</si>
  <si>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</si>
  <si>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</si>
  <si>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</si>
  <si>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</si>
  <si>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</si>
  <si>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</si>
  <si>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</si>
  <si>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</si>
  <si>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</si>
  <si>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</si>
  <si>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</si>
  <si>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</si>
  <si>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</si>
  <si>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</si>
  <si>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</si>
  <si>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</si>
  <si>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</si>
  <si>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</si>
  <si>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</si>
  <si>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</si>
  <si>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</si>
  <si>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</si>
  <si>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</si>
  <si>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</si>
  <si>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</si>
  <si>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</si>
  <si>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</si>
  <si>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</si>
  <si>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</si>
  <si>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</si>
  <si>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</si>
  <si>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</si>
  <si>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</si>
  <si>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</si>
  <si>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</si>
  <si>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</si>
  <si>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</si>
  <si>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</si>
  <si>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</si>
  <si>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</si>
  <si>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</si>
  <si>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</si>
  <si>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</si>
  <si>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</si>
  <si>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</si>
  <si>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</si>
  <si>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</si>
  <si>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</si>
  <si>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</si>
  <si>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</si>
  <si>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</si>
  <si>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</si>
  <si>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</si>
  <si>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</si>
  <si>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</si>
  <si>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</si>
  <si>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</si>
  <si>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</si>
  <si>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</si>
  <si>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</si>
  <si>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</si>
  <si>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</si>
  <si>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</si>
  <si>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</si>
  <si>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</si>
  <si>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</si>
  <si>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</si>
  <si>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</si>
  <si>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</si>
  <si>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</si>
  <si>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</si>
  <si>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</si>
  <si>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</si>
  <si>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</si>
  <si>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</si>
  <si>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</si>
  <si>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</si>
  <si>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</si>
  <si>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</si>
  <si>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</si>
  <si>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</si>
  <si>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</si>
  <si>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</si>
  <si>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</si>
  <si>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</si>
  <si>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</si>
  <si>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</si>
  <si>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</si>
  <si>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</si>
  <si>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</si>
  <si>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</si>
  <si>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</si>
  <si>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</si>
  <si>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</si>
  <si>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</si>
  <si>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</si>
  <si>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</si>
  <si>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</si>
  <si>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</si>
  <si>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</si>
  <si>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</si>
  <si>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</si>
  <si>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</si>
  <si>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</si>
  <si>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</si>
  <si>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</si>
  <si>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</si>
  <si>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</si>
  <si>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</si>
  <si>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</si>
  <si>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</si>
  <si>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</si>
  <si>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</si>
  <si>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</si>
  <si>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</si>
  <si>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</si>
  <si>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</si>
  <si>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</si>
  <si>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</si>
  <si>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</si>
  <si>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</si>
  <si>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</si>
  <si>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</si>
  <si>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</si>
  <si>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</si>
  <si>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</si>
  <si>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</si>
  <si>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</si>
  <si>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</si>
  <si>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</si>
  <si>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</si>
  <si>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</si>
  <si>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</si>
  <si>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</si>
  <si>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</si>
  <si>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</si>
  <si>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</si>
  <si>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</si>
  <si>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</si>
  <si>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</si>
  <si>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</si>
  <si>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</si>
  <si>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</si>
  <si>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</si>
  <si>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</si>
  <si>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</si>
  <si>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</si>
  <si>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</si>
  <si>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</si>
  <si>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</si>
  <si>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</si>
  <si>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</si>
  <si>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</si>
  <si>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</si>
  <si>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</si>
  <si>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</si>
  <si>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</si>
  <si>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</si>
  <si>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</si>
  <si>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</si>
  <si>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</si>
  <si>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</si>
  <si>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</si>
  <si>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</si>
  <si>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</si>
  <si>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</si>
  <si>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</si>
  <si>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</si>
  <si>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</si>
  <si>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</si>
  <si>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</si>
  <si>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</si>
  <si>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</si>
  <si>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</si>
  <si>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</si>
  <si>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</si>
  <si>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</si>
  <si>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</si>
  <si>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</si>
  <si>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</si>
  <si>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</si>
  <si>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</si>
  <si>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</si>
  <si>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</si>
  <si>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</si>
  <si>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</si>
  <si>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</si>
  <si>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</si>
  <si>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</si>
  <si>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</si>
  <si>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</si>
  <si>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</si>
  <si>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</si>
  <si>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</si>
  <si>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</si>
  <si>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</si>
  <si>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</si>
  <si>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</si>
  <si>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</si>
  <si>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</si>
  <si>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</si>
  <si>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</si>
  <si>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</si>
  <si>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</si>
  <si>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</si>
  <si>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</si>
  <si>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</si>
  <si>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</si>
  <si>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</si>
  <si>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</si>
  <si>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</si>
  <si>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</si>
  <si>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</si>
  <si>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</si>
  <si>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</si>
  <si>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</si>
  <si>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</si>
  <si>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</si>
  <si>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</si>
  <si>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</si>
  <si>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</si>
  <si>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</si>
  <si>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</si>
  <si>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</si>
  <si>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</si>
  <si>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</si>
  <si>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</si>
  <si>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</si>
  <si>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</si>
  <si>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</si>
  <si>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</si>
  <si>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</si>
  <si>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</si>
  <si>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</si>
  <si>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</si>
  <si>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</si>
  <si>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</si>
  <si>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</si>
  <si>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</si>
  <si>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</si>
  <si>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</si>
  <si>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</si>
  <si>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</si>
  <si>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</si>
  <si>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</si>
  <si>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</si>
  <si>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</si>
  <si>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</si>
  <si>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</si>
  <si>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</si>
  <si>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</si>
  <si>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</si>
  <si>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</si>
  <si>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</si>
  <si>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</si>
  <si>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</si>
  <si>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</si>
  <si>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</si>
  <si>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</si>
  <si>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</si>
  <si>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</si>
  <si>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</si>
  <si>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</si>
  <si>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</si>
  <si>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</si>
  <si>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</si>
  <si>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</si>
  <si>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</si>
  <si>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</si>
  <si>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</si>
  <si>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</si>
  <si>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</si>
  <si>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</si>
  <si>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</si>
  <si>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</si>
  <si>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</si>
  <si>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</si>
  <si>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</si>
  <si>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</si>
  <si>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</si>
  <si>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</si>
  <si>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</si>
  <si>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</si>
  <si>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</si>
  <si>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</si>
  <si>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</si>
  <si>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</si>
  <si>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</si>
  <si>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</si>
  <si>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</si>
  <si>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</si>
  <si>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</si>
  <si>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</si>
  <si>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</si>
  <si>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</si>
  <si>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</si>
  <si>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</si>
  <si>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</si>
  <si>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</si>
  <si>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</si>
  <si>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</si>
  <si>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</si>
  <si>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</si>
  <si>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</si>
  <si>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</si>
  <si>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</si>
  <si>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</si>
  <si>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</si>
  <si>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</si>
  <si>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</si>
  <si>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</si>
  <si>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</si>
  <si>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</si>
  <si>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</si>
  <si>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</si>
  <si>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</si>
  <si>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</si>
  <si>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</si>
  <si>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</si>
  <si>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</si>
  <si>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</si>
  <si>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</si>
  <si>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</si>
  <si>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</si>
  <si>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</si>
  <si>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</si>
  <si>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</si>
  <si>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</si>
  <si>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</si>
  <si>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</si>
  <si>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</si>
  <si>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</si>
  <si>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</si>
  <si>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</si>
  <si>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</si>
  <si>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</si>
  <si>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</si>
  <si>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</si>
  <si>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</si>
  <si>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</si>
  <si>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</si>
  <si>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</si>
  <si>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</si>
  <si>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</si>
  <si>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</si>
  <si>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</si>
  <si>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</si>
  <si>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</si>
  <si>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</si>
  <si>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</si>
  <si>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</si>
  <si>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</si>
  <si>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</si>
  <si>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</si>
  <si>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</si>
  <si>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</si>
  <si>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</si>
  <si>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</si>
  <si>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</si>
  <si>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</si>
  <si>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</si>
  <si>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</si>
  <si>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</si>
  <si>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</si>
  <si>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</si>
  <si>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</si>
  <si>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</si>
  <si>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</si>
  <si>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</si>
  <si>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</si>
  <si>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</si>
  <si>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</si>
  <si>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</si>
  <si>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</si>
  <si>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</si>
  <si>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</si>
  <si>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</si>
  <si>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</si>
  <si>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</si>
  <si>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</si>
  <si>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</si>
  <si>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</si>
  <si>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</si>
  <si>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</si>
  <si>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</si>
  <si>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</si>
  <si>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</si>
  <si>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</si>
  <si>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</si>
  <si>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</si>
  <si>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</si>
  <si>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</si>
  <si>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</si>
  <si>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</si>
  <si>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</si>
  <si>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</si>
  <si>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</si>
  <si>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</si>
  <si>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</si>
  <si>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</si>
  <si>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</si>
  <si>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</si>
  <si>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</si>
  <si>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</si>
  <si>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</si>
  <si>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</si>
  <si>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</si>
  <si>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</si>
  <si>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</si>
  <si>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</si>
  <si>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</si>
  <si>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</si>
  <si>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</si>
  <si>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</si>
  <si>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</si>
  <si>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</si>
  <si>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</si>
  <si>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</si>
  <si>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</si>
  <si>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</si>
  <si>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</si>
  <si>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</si>
  <si>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</si>
  <si>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</si>
  <si>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</si>
  <si>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</si>
  <si>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</si>
  <si>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</si>
  <si>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</si>
  <si>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</si>
  <si>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</si>
  <si>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</si>
  <si>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</si>
  <si>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</si>
  <si>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</si>
  <si>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</si>
  <si>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</si>
  <si>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</si>
  <si>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</si>
  <si>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</si>
  <si>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</si>
  <si>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</si>
  <si>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</si>
  <si>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</si>
  <si>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</si>
  <si>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</si>
  <si>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</si>
  <si>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</si>
  <si>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</si>
  <si>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</si>
  <si>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</si>
  <si>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</si>
  <si>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</si>
  <si>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</si>
  <si>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</si>
  <si>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</si>
  <si>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</si>
  <si>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</si>
  <si>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</si>
  <si>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</si>
  <si>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</si>
  <si>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</si>
  <si>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</si>
  <si>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</si>
  <si>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</si>
  <si>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</si>
  <si>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</si>
  <si>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</si>
  <si>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</si>
  <si>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</si>
  <si>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</si>
  <si>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</si>
  <si>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</si>
  <si>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</si>
  <si>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</si>
  <si>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</si>
  <si>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</si>
  <si>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</si>
  <si>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</si>
  <si>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</si>
  <si>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</si>
  <si>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</si>
  <si>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</si>
  <si>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</si>
  <si>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</si>
  <si>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</si>
  <si>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</si>
  <si>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</si>
  <si>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</si>
  <si>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</si>
  <si>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</si>
  <si>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</si>
  <si>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</si>
  <si>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</si>
  <si>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</si>
  <si>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</si>
  <si>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</si>
  <si>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</si>
  <si>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</si>
  <si>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</si>
  <si>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</si>
  <si>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</si>
  <si>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</si>
  <si>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</si>
  <si>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</si>
  <si>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</si>
  <si>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</si>
  <si>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</si>
  <si>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</si>
  <si>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</si>
  <si>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</si>
  <si>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</si>
  <si>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</si>
  <si>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</si>
  <si>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</si>
  <si>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</si>
  <si>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</si>
  <si>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</si>
  <si>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</si>
  <si>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</si>
  <si>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</si>
  <si>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</si>
  <si>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</si>
  <si>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</si>
  <si>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</si>
  <si>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</si>
  <si>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</si>
  <si>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</si>
  <si>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</si>
  <si>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</si>
  <si>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</si>
  <si>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</si>
  <si>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</si>
  <si>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</si>
  <si>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</si>
  <si>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</si>
  <si>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</si>
  <si>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</si>
  <si>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</si>
  <si>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</si>
  <si>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</si>
  <si>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</si>
  <si>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</si>
  <si>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</si>
  <si>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</si>
  <si>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</si>
  <si>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</si>
  <si>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</si>
  <si>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</si>
  <si>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</si>
  <si>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</si>
  <si>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</si>
  <si>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</si>
  <si>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</si>
  <si>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</si>
  <si>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</si>
  <si>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</si>
  <si>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</si>
  <si>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</si>
  <si>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</si>
  <si>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</si>
  <si>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</si>
  <si>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</si>
  <si>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</si>
  <si>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</si>
  <si>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</si>
  <si>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</si>
  <si>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</si>
  <si>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</si>
  <si>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</si>
  <si>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</si>
  <si>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</si>
  <si>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</si>
  <si>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</si>
  <si>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</si>
  <si>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</si>
  <si>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</si>
  <si>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</si>
  <si>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</si>
  <si>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</si>
  <si>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</si>
  <si>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</si>
  <si>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</si>
  <si>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</si>
  <si>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</si>
  <si>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</si>
  <si>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</si>
  <si>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</si>
  <si>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</si>
  <si>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</si>
  <si>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</si>
  <si>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</si>
  <si>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</si>
  <si>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</si>
  <si>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</si>
  <si>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</si>
  <si>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</si>
  <si>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</si>
  <si>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</si>
  <si>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</si>
  <si>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</si>
  <si>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</si>
  <si>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</si>
  <si>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</si>
  <si>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</si>
  <si>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</si>
  <si>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</si>
  <si>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</si>
  <si>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</si>
  <si>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</si>
  <si>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</si>
  <si>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</si>
  <si>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</si>
  <si>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</si>
  <si>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</si>
  <si>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</si>
  <si>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</si>
  <si>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</si>
  <si>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</si>
  <si>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</si>
  <si>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</si>
  <si>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</si>
  <si>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</si>
  <si>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</si>
  <si>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</si>
  <si>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</si>
  <si>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</si>
  <si>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</si>
  <si>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</si>
  <si>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</si>
  <si>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</si>
  <si>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</si>
  <si>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</si>
  <si>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</si>
  <si>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</si>
  <si>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</si>
  <si>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</si>
  <si>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</si>
  <si>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</si>
  <si>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</si>
  <si>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</si>
  <si>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</si>
  <si>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</si>
  <si>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</si>
  <si>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</si>
  <si>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</si>
  <si>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</si>
  <si>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</si>
  <si>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</si>
  <si>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</si>
  <si>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</si>
  <si>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</si>
  <si>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</si>
  <si>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</si>
  <si>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</si>
  <si>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</si>
  <si>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</si>
  <si>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</si>
  <si>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</si>
  <si>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</si>
  <si>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</si>
  <si>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</si>
  <si>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</si>
  <si>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</si>
  <si>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</si>
  <si>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</si>
  <si>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</si>
  <si>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</si>
  <si>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</si>
  <si>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</si>
  <si>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</si>
  <si>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</si>
  <si>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</si>
  <si>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</si>
  <si>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</si>
  <si>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</si>
  <si>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</si>
  <si>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</si>
  <si>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</si>
  <si>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</si>
  <si>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</si>
  <si>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</si>
  <si>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</si>
  <si>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</si>
  <si>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</si>
  <si>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</si>
  <si>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</si>
  <si>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</si>
  <si>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</si>
  <si>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</si>
  <si>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</si>
  <si>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</si>
  <si>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</si>
  <si>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</si>
  <si>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</si>
  <si>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</si>
  <si>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</si>
  <si>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</si>
  <si>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</si>
  <si>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</si>
  <si>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</si>
  <si>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</si>
  <si>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</si>
  <si>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</si>
  <si>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</si>
  <si>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</si>
  <si>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</si>
  <si>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</si>
  <si>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</si>
  <si>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</si>
  <si>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</si>
  <si>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</si>
  <si>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</si>
  <si>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</si>
  <si>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</si>
  <si>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</si>
  <si>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</si>
  <si>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</si>
  <si>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</si>
  <si>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</si>
  <si>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</si>
  <si>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</si>
  <si>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</si>
  <si>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</si>
  <si>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</si>
  <si>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</si>
  <si>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</si>
  <si>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</si>
  <si>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</si>
  <si>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</si>
  <si>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</si>
  <si>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</si>
  <si>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</si>
  <si>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</si>
  <si>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</si>
  <si>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</si>
  <si>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</si>
  <si>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</si>
  <si>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</si>
  <si>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</si>
  <si>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</si>
  <si>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</si>
  <si>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</si>
  <si>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</si>
  <si>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</si>
  <si>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</si>
  <si>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</si>
  <si>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</si>
  <si>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</si>
  <si>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</si>
  <si>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</si>
  <si>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</si>
  <si>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</si>
  <si>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</si>
  <si>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</si>
  <si>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</si>
  <si>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</si>
  <si>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</si>
  <si>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</si>
  <si>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</si>
  <si>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</si>
  <si>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</si>
  <si>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</si>
  <si>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</si>
  <si>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</si>
  <si>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</si>
  <si>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</si>
  <si>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</si>
  <si>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</si>
  <si>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</si>
  <si>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</si>
  <si>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</si>
  <si>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</si>
  <si>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</si>
  <si>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</si>
  <si>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</si>
  <si>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</si>
  <si>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</si>
  <si>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</si>
  <si>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</si>
  <si>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</si>
  <si>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</si>
  <si>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</si>
  <si>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</si>
  <si>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</si>
  <si>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</si>
  <si>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</si>
  <si>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</si>
  <si>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</si>
  <si>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</si>
  <si>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</si>
  <si>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</si>
  <si>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</si>
  <si>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</si>
  <si>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</si>
  <si>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</si>
  <si>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</si>
  <si>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</si>
  <si>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</si>
  <si>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</si>
  <si>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</si>
  <si>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</si>
  <si>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</si>
  <si>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</si>
  <si>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</si>
  <si>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</si>
  <si>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</si>
  <si>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</si>
  <si>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</si>
  <si>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</si>
  <si>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</si>
  <si>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</si>
  <si>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</si>
  <si>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</si>
  <si>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</si>
  <si>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</si>
  <si>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</si>
  <si>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</si>
  <si>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</si>
  <si>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</si>
  <si>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</si>
  <si>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</si>
  <si>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</si>
  <si>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</si>
  <si>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</si>
  <si>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</si>
  <si>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</si>
  <si>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</si>
  <si>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</si>
  <si>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</si>
  <si>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</si>
  <si>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</si>
  <si>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</si>
  <si>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</si>
  <si>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</si>
  <si>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</si>
  <si>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</si>
  <si>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</si>
  <si>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</si>
  <si>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</si>
  <si>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</si>
  <si>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</si>
  <si>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</si>
  <si>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</si>
  <si>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</si>
  <si>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</si>
  <si>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</si>
  <si>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</si>
  <si>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</si>
  <si>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</si>
  <si>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</si>
  <si>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</si>
  <si>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</si>
  <si>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</si>
  <si>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</si>
  <si>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</si>
  <si>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</si>
  <si>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</si>
  <si>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</si>
  <si>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</si>
  <si>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</si>
  <si>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</si>
  <si>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</si>
  <si>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</si>
  <si>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</si>
  <si>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</si>
  <si>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</si>
  <si>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</si>
  <si>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</si>
  <si>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</si>
  <si>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</si>
  <si>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</si>
  <si>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</si>
  <si>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</si>
  <si>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</si>
  <si>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</si>
  <si>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</si>
  <si>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</si>
  <si>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</si>
  <si>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</si>
  <si>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</si>
  <si>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</si>
  <si>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</si>
  <si>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</si>
  <si>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</si>
  <si>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</si>
  <si>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</si>
  <si>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</si>
  <si>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</si>
  <si>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</si>
  <si>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</si>
  <si>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</si>
  <si>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</si>
  <si>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</si>
  <si>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</si>
  <si>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</si>
  <si>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</si>
  <si>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</si>
  <si>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</si>
  <si>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</si>
  <si>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</si>
  <si>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</si>
  <si>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</si>
  <si>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</si>
  <si>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</si>
  <si>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</si>
  <si>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</si>
  <si>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</si>
  <si>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</si>
  <si>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</si>
  <si>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</si>
  <si>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</si>
  <si>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</si>
  <si>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</si>
  <si>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</si>
  <si>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</si>
  <si>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</si>
  <si>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</si>
  <si>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</si>
  <si>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</si>
  <si>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</si>
  <si>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</si>
  <si>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</si>
  <si>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</si>
  <si>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</si>
  <si>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</si>
  <si>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</si>
  <si>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</si>
  <si>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</si>
  <si>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</si>
  <si>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</si>
  <si>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</si>
  <si>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</si>
  <si>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</si>
  <si>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</si>
  <si>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</si>
  <si>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</si>
  <si>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</si>
  <si>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</si>
  <si>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</si>
  <si>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</si>
  <si>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</si>
  <si>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</si>
  <si>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</si>
  <si>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</si>
  <si>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</si>
  <si>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</si>
  <si>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</si>
  <si>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</si>
  <si>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</si>
  <si>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</si>
  <si>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</si>
  <si>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</si>
  <si>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</si>
  <si>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</si>
  <si>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</si>
  <si>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</si>
  <si>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</si>
  <si>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</si>
  <si>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</si>
  <si>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</si>
  <si>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</si>
  <si>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</si>
  <si>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</si>
  <si>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</si>
  <si>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</si>
  <si>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</si>
  <si>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</si>
  <si>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</si>
  <si>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</si>
  <si>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</si>
  <si>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</si>
  <si>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</si>
  <si>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</si>
  <si>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</si>
  <si>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</si>
  <si>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</si>
  <si>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</si>
  <si>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</si>
  <si>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</si>
  <si>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</si>
  <si>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</si>
  <si>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</si>
  <si>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</si>
  <si>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</si>
  <si>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</si>
  <si>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</si>
  <si>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</si>
  <si>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</si>
  <si>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</si>
  <si>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</si>
  <si>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</si>
  <si>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</si>
  <si>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</si>
  <si>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</si>
  <si>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</si>
  <si>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</si>
  <si>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</si>
  <si>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</si>
  <si>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</si>
  <si>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</si>
  <si>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</si>
  <si>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</si>
  <si>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</si>
  <si>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</si>
  <si>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</si>
  <si>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</si>
  <si>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</si>
  <si>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</si>
  <si>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</si>
  <si>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</si>
  <si>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</si>
  <si>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</si>
  <si>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</si>
  <si>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</si>
  <si>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</si>
  <si>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</si>
  <si>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</si>
  <si>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</si>
  <si>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</si>
  <si>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</si>
  <si>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</si>
  <si>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</si>
  <si>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</si>
  <si>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</si>
  <si>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</si>
  <si>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</si>
  <si>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</si>
  <si>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</si>
  <si>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</si>
  <si>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</si>
  <si>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</si>
  <si>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</si>
  <si>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</si>
  <si>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</si>
  <si>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</si>
  <si>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</si>
  <si>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</si>
  <si>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</si>
  <si>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</si>
  <si>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</si>
  <si>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</si>
  <si>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</si>
  <si>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</si>
  <si>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</si>
  <si>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</si>
  <si>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</si>
  <si>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</si>
  <si>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</si>
  <si>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</si>
  <si>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</si>
  <si>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</si>
  <si>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</si>
  <si>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</si>
  <si>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</si>
  <si>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</si>
  <si>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</si>
  <si>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</si>
  <si>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</si>
  <si>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</si>
  <si>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</si>
  <si>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</si>
  <si>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</si>
  <si>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</si>
  <si>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</si>
  <si>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</si>
  <si>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</si>
  <si>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</si>
  <si>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</si>
  <si>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</si>
  <si>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</si>
  <si>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</si>
  <si>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</si>
  <si>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</si>
  <si>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</si>
  <si>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</si>
  <si>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</si>
  <si>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</si>
  <si>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</si>
  <si>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</si>
  <si>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</si>
  <si>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</si>
  <si>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</si>
  <si>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</si>
  <si>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</si>
  <si>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</si>
  <si>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</si>
  <si>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</si>
  <si>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</si>
  <si>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</si>
  <si>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</si>
  <si>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</si>
  <si>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</si>
  <si>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</si>
  <si>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</si>
  <si>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</si>
  <si>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</si>
  <si>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</si>
  <si>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</si>
  <si>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</si>
  <si>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</si>
  <si>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</si>
  <si>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</si>
  <si>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</si>
  <si>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</si>
  <si>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</si>
  <si>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</si>
  <si>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</si>
  <si>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</si>
  <si>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</si>
  <si>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</si>
  <si>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</si>
  <si>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</si>
  <si>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</si>
  <si>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</si>
  <si>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</si>
  <si>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</si>
  <si>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</si>
  <si>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</si>
  <si>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</si>
  <si>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</si>
  <si>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</si>
  <si>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</si>
  <si>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</si>
  <si>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</si>
  <si>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</si>
  <si>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</si>
  <si>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</si>
  <si>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</si>
  <si>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</si>
  <si>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</si>
  <si>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</si>
  <si>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</si>
  <si>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</si>
  <si>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</si>
  <si>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</si>
  <si>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</si>
  <si>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</si>
  <si>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</si>
  <si>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</si>
  <si>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</si>
  <si>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</si>
  <si>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</si>
  <si>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</si>
  <si>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</si>
  <si>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</si>
  <si>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</si>
  <si>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</si>
  <si>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</si>
  <si>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</si>
  <si>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</si>
  <si>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</si>
  <si>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</si>
  <si>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</si>
  <si>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</si>
  <si>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</si>
  <si>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</si>
  <si>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</si>
  <si>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</si>
  <si>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</si>
  <si>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</si>
  <si>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</si>
  <si>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</si>
  <si>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</si>
  <si>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</si>
  <si>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</si>
  <si>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</si>
  <si>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</si>
  <si>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</si>
  <si>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</si>
  <si>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</si>
  <si>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</si>
  <si>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</si>
  <si>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</si>
  <si>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</si>
  <si>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</si>
  <si>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</si>
  <si>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</si>
  <si>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</si>
  <si>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</si>
  <si>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</si>
  <si>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</si>
  <si>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</si>
  <si>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</si>
  <si>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</si>
  <si>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</si>
  <si>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</si>
  <si>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</si>
  <si>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</si>
  <si>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</si>
  <si>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</si>
  <si>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</si>
  <si>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</si>
  <si>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</si>
  <si>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</si>
  <si>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</si>
  <si>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</si>
  <si>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</si>
  <si>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</si>
  <si>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</si>
  <si>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</si>
  <si>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</si>
  <si>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</si>
  <si>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</si>
  <si>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</si>
  <si>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</si>
  <si>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</si>
  <si>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</si>
  <si>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</si>
  <si>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</si>
  <si>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</si>
  <si>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</si>
  <si>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</si>
  <si>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</si>
  <si>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</si>
  <si>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</si>
  <si>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</si>
  <si>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</si>
  <si>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</si>
  <si>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</si>
  <si>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</si>
  <si>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</si>
  <si>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</si>
  <si>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</si>
  <si>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</si>
  <si>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</si>
  <si>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</si>
  <si>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</si>
  <si>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</si>
  <si>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</si>
  <si>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</si>
  <si>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</si>
  <si>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</si>
  <si>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</si>
  <si>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</si>
  <si>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</si>
  <si>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</si>
  <si>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</si>
  <si>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</si>
  <si>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</si>
  <si>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</si>
  <si>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</si>
  <si>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</si>
  <si>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</si>
  <si>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</si>
  <si>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</si>
  <si>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</si>
  <si>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</si>
  <si>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</si>
  <si>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</si>
  <si>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</si>
  <si>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</si>
  <si>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</si>
  <si>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</si>
  <si>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</si>
  <si>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</si>
  <si>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</si>
  <si>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</si>
  <si>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</si>
  <si>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</si>
  <si>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</si>
  <si>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</si>
  <si>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</si>
  <si>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</si>
  <si>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</si>
  <si>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</si>
  <si>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</si>
  <si>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</si>
  <si>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</si>
  <si>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</si>
  <si>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</si>
  <si>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</si>
  <si>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</si>
  <si>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</si>
  <si>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</si>
  <si>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</si>
  <si>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</si>
  <si>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</si>
  <si>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</si>
  <si>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</si>
  <si>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</si>
  <si>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</si>
  <si>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</si>
  <si>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</si>
  <si>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</si>
  <si>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</si>
  <si>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</si>
  <si>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</si>
  <si>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</si>
  <si>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</si>
  <si>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</si>
  <si>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</si>
  <si>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</si>
  <si>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</si>
  <si>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</si>
  <si>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</si>
  <si>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</si>
  <si>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</si>
  <si>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</si>
  <si>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</si>
  <si>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</si>
  <si>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</si>
  <si>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</si>
  <si>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</si>
  <si>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</si>
  <si>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</si>
  <si>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</si>
  <si>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</si>
  <si>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</si>
  <si>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</si>
  <si>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</si>
  <si>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</si>
  <si>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</si>
  <si>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</si>
  <si>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</si>
  <si>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</si>
  <si>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</si>
  <si>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</si>
  <si>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</si>
  <si>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</si>
  <si>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</si>
  <si>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</si>
  <si>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</si>
  <si>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</si>
  <si>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</si>
  <si>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</si>
  <si>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</si>
  <si>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</si>
  <si>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</si>
  <si>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</si>
  <si>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</si>
  <si>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</si>
  <si>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</si>
  <si>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</si>
  <si>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</si>
  <si>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</si>
  <si>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</si>
  <si>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</si>
  <si>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</si>
  <si>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</si>
  <si>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</si>
  <si>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</si>
  <si>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</si>
  <si>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</si>
  <si>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</si>
  <si>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</si>
  <si>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</si>
  <si>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</si>
  <si>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</si>
  <si>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</si>
  <si>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</si>
  <si>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</si>
  <si>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</si>
  <si>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</si>
  <si>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</si>
  <si>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</si>
  <si>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</si>
  <si>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</si>
  <si>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</si>
  <si>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</si>
  <si>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</si>
  <si>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</si>
  <si>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</si>
  <si>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</si>
  <si>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</si>
  <si>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</si>
  <si>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</si>
  <si>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</si>
  <si>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</si>
  <si>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</si>
  <si>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</si>
  <si>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</si>
  <si>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</si>
  <si>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</si>
  <si>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</si>
  <si>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</si>
  <si>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</si>
  <si>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</si>
  <si>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</si>
  <si>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</si>
  <si>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</si>
  <si>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</si>
  <si>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</si>
  <si>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</si>
  <si>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</si>
  <si>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</si>
  <si>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</si>
  <si>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</si>
  <si>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</si>
  <si>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</si>
  <si>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</si>
  <si>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</si>
  <si>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</si>
  <si>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</si>
  <si>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</si>
  <si>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</si>
  <si>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</si>
  <si>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</si>
  <si>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</si>
  <si>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</si>
  <si>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</si>
  <si>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</si>
  <si>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</si>
  <si>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</si>
  <si>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</si>
  <si>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</si>
  <si>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</si>
  <si>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</si>
  <si>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</si>
  <si>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</si>
  <si>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</si>
  <si>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</si>
  <si>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</si>
  <si>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</si>
  <si>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</si>
  <si>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</si>
  <si>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</si>
  <si>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</si>
  <si>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</si>
  <si>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</si>
  <si>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</si>
  <si>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</si>
  <si>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</si>
  <si>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</si>
  <si>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</si>
  <si>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</si>
  <si>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</si>
  <si>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</si>
  <si>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</si>
  <si>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</si>
  <si>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</si>
  <si>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</si>
  <si>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</si>
  <si>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</si>
  <si>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</si>
  <si>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</si>
  <si>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</si>
  <si>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</si>
  <si>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</si>
  <si>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</si>
  <si>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</si>
  <si>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</si>
  <si>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</si>
  <si>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</si>
  <si>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</si>
  <si>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</si>
  <si>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</si>
  <si>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</si>
  <si>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</si>
  <si>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</si>
  <si>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</si>
  <si>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</si>
  <si>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</si>
  <si>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</si>
  <si>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</si>
  <si>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</si>
  <si>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</si>
  <si>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</si>
  <si>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</si>
  <si>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</si>
  <si>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</si>
  <si>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</si>
  <si>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</si>
  <si>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</si>
  <si>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</si>
  <si>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</si>
  <si>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</si>
  <si>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</si>
  <si>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</si>
  <si>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</si>
  <si>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</si>
  <si>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</si>
  <si>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</si>
  <si>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</si>
  <si>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</si>
  <si>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</si>
  <si>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</si>
  <si>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</si>
  <si>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</si>
  <si>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</si>
  <si>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</si>
  <si>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</si>
  <si>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</si>
  <si>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</si>
  <si>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</si>
  <si>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</si>
  <si>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</si>
  <si>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</si>
  <si>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</si>
  <si>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</si>
  <si>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</si>
  <si>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</si>
  <si>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</si>
  <si>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</si>
  <si>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</si>
  <si>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</si>
  <si>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</si>
  <si>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</si>
  <si>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</si>
  <si>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</si>
  <si>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</si>
  <si>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</si>
  <si>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</si>
  <si>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</si>
  <si>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</si>
  <si>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</si>
  <si>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</si>
  <si>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</si>
  <si>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</si>
  <si>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</si>
  <si>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</si>
  <si>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</si>
  <si>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</si>
  <si>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</si>
  <si>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</si>
  <si>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</si>
  <si>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</si>
  <si>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</si>
  <si>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</si>
  <si>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</si>
  <si>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</si>
  <si>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</si>
  <si>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</si>
  <si>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</si>
  <si>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</si>
  <si>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</si>
  <si>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</si>
  <si>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</si>
  <si>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</si>
  <si>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</si>
  <si>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</si>
  <si>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</si>
  <si>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</si>
  <si>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</si>
  <si>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</si>
  <si>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</si>
  <si>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</si>
  <si>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</si>
  <si>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</si>
  <si>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</si>
  <si>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</si>
  <si>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</si>
  <si>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</si>
  <si>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</si>
  <si>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</si>
  <si>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</si>
  <si>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</si>
  <si>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</si>
  <si>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</si>
  <si>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</si>
  <si>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</si>
  <si>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</si>
  <si>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</si>
  <si>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</si>
  <si>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</si>
  <si>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</si>
  <si>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</si>
  <si>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</si>
  <si>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</si>
  <si>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</si>
  <si>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</si>
  <si>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</si>
  <si>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</si>
  <si>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</si>
  <si>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</si>
  <si>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</si>
  <si>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</si>
  <si>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</si>
  <si>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</si>
  <si>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</si>
  <si>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</si>
  <si>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</si>
  <si>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</si>
  <si>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</si>
  <si>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</si>
  <si>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</si>
  <si>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</si>
  <si>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</si>
  <si>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</si>
  <si>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</si>
  <si>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</si>
  <si>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</si>
  <si>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</si>
  <si>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</si>
  <si>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</si>
  <si>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</si>
  <si>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</si>
  <si>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</si>
  <si>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</si>
  <si>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</si>
  <si>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</si>
  <si>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</si>
  <si>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</si>
  <si>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</si>
  <si>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</si>
  <si>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</si>
  <si>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</si>
  <si>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</si>
  <si>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</si>
  <si>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</si>
  <si>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</si>
  <si>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</si>
  <si>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</si>
  <si>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</si>
  <si>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</si>
  <si>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</si>
  <si>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</si>
  <si>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</si>
  <si>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</si>
  <si>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</si>
  <si>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</si>
  <si>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</si>
  <si>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</si>
  <si>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</si>
  <si>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</si>
  <si>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</si>
  <si>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</si>
  <si>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</si>
  <si>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</si>
  <si>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</si>
  <si>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</si>
  <si>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</si>
  <si>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</si>
  <si>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</si>
  <si>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</si>
  <si>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</si>
  <si>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</si>
  <si>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</si>
  <si>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</si>
  <si>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</si>
  <si>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</si>
  <si>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</si>
  <si>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</si>
  <si>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</si>
  <si>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</si>
  <si>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</si>
  <si>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</si>
  <si>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</si>
  <si>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</si>
  <si>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</si>
  <si>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</si>
  <si>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</si>
  <si>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</si>
  <si>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</si>
  <si>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</si>
  <si>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</si>
  <si>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</si>
  <si>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</si>
  <si>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</si>
  <si>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</si>
  <si>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</si>
  <si>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</si>
  <si>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</si>
  <si>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</si>
  <si>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</si>
  <si>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</si>
  <si>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</si>
  <si>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</si>
  <si>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</si>
  <si>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</si>
  <si>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</si>
  <si>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</si>
  <si>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</si>
  <si>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</si>
  <si>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</si>
  <si>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</si>
  <si>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</si>
  <si>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</si>
  <si>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</si>
  <si>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</si>
  <si>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</si>
  <si>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</si>
  <si>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</si>
  <si>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</si>
  <si>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</si>
  <si>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</si>
  <si>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</si>
  <si>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</si>
  <si>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</si>
  <si>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</si>
  <si>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</si>
  <si>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</si>
  <si>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</si>
  <si>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</si>
  <si>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</si>
  <si>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</si>
  <si>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</si>
  <si>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</si>
  <si>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</si>
  <si>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</si>
  <si>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</si>
  <si>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</si>
  <si>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</si>
  <si>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</si>
  <si>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</si>
  <si>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</si>
  <si>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</si>
  <si>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</si>
  <si>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</si>
  <si>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</si>
  <si>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</si>
  <si>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</si>
  <si>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</si>
  <si>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</si>
  <si>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</si>
  <si>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</si>
  <si>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</si>
  <si>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</si>
  <si>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</si>
  <si>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</si>
  <si>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</si>
  <si>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</si>
  <si>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</si>
  <si>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</si>
  <si>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</si>
  <si>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</si>
  <si>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</si>
  <si>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</si>
  <si>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</si>
  <si>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</si>
  <si>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</si>
  <si>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</si>
  <si>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</si>
  <si>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</si>
  <si>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</si>
  <si>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</si>
  <si>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</si>
  <si>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</si>
  <si>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</si>
  <si>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</si>
  <si>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</si>
  <si>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</si>
  <si>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</si>
  <si>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</si>
  <si>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</si>
  <si>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</si>
  <si>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</si>
  <si>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</si>
  <si>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</si>
  <si>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</si>
  <si>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</si>
  <si>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</si>
  <si>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</si>
  <si>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</si>
  <si>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</si>
  <si>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</si>
  <si>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</si>
  <si>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</si>
  <si>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</si>
  <si>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</si>
  <si>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</si>
  <si>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</si>
  <si>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</si>
  <si>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</si>
  <si>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</si>
  <si>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</si>
  <si>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</si>
  <si>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</si>
  <si>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</si>
  <si>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</si>
  <si>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</si>
  <si>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</si>
  <si>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</si>
  <si>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</si>
  <si>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</si>
  <si>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</si>
  <si>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</si>
  <si>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</si>
  <si>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</si>
  <si>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</si>
  <si>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</si>
  <si>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</si>
  <si>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</si>
  <si>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</si>
  <si>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</si>
  <si>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</si>
  <si>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</si>
  <si>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</si>
  <si>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</si>
  <si>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</si>
  <si>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</si>
  <si>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</si>
  <si>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</si>
  <si>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</si>
  <si>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</si>
  <si>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</si>
  <si>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</si>
  <si>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</si>
  <si>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</si>
  <si>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</si>
  <si>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</si>
  <si>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</si>
  <si>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</si>
  <si>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</si>
  <si>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</si>
  <si>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</si>
  <si>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</si>
  <si>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</si>
  <si>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</si>
  <si>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</si>
  <si>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</si>
  <si>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</si>
  <si>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</si>
  <si>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</si>
  <si>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</si>
  <si>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</si>
  <si>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</si>
  <si>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</si>
  <si>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</si>
  <si>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</si>
  <si>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</si>
  <si>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</si>
  <si>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</si>
  <si>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</si>
  <si>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</si>
  <si>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</si>
  <si>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</si>
  <si>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</si>
  <si>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</si>
  <si>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</si>
  <si>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</si>
  <si>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</si>
  <si>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</si>
  <si>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</si>
  <si>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</si>
  <si>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</si>
  <si>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</si>
  <si>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</si>
  <si>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</si>
  <si>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</si>
  <si>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</si>
  <si>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</si>
  <si>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</si>
  <si>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</si>
  <si>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</si>
  <si>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</si>
  <si>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</si>
  <si>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</si>
  <si>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</si>
  <si>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</si>
  <si>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</si>
  <si>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</si>
  <si>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</si>
  <si>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</si>
  <si>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</si>
  <si>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</si>
  <si>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</si>
  <si>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</si>
  <si>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</si>
  <si>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</si>
  <si>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</si>
  <si>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</si>
  <si>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</si>
  <si>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</si>
  <si>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</si>
  <si>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</si>
  <si>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</si>
  <si>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</si>
  <si>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</si>
  <si>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</si>
  <si>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</si>
  <si>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</si>
  <si>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</si>
  <si>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</si>
  <si>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</si>
  <si>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</si>
  <si>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</si>
  <si>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</si>
  <si>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</si>
  <si>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</si>
  <si>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</si>
  <si>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</si>
  <si>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</si>
  <si>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</si>
  <si>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</si>
  <si>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</si>
  <si>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</si>
  <si>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</si>
  <si>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</si>
  <si>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</si>
  <si>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</si>
  <si>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</si>
  <si>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</si>
  <si>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</si>
  <si>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</si>
  <si>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</si>
  <si>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</si>
  <si>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</si>
  <si>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</si>
  <si>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</si>
  <si>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</si>
  <si>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</si>
  <si>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</si>
  <si>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</si>
  <si>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</si>
  <si>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</si>
  <si>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</si>
  <si>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</si>
  <si>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</si>
  <si>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</si>
  <si>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</si>
  <si>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</si>
  <si>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</si>
  <si>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</si>
  <si>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</si>
  <si>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</si>
  <si>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</si>
  <si>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</si>
  <si>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</si>
  <si>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</si>
  <si>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</si>
  <si>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</si>
  <si>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</si>
  <si>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</si>
  <si>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</si>
  <si>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</si>
  <si>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</si>
  <si>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</si>
  <si>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</si>
  <si>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</si>
  <si>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</si>
  <si>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</si>
  <si>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</si>
  <si>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</si>
  <si>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</si>
  <si>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</si>
  <si>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</si>
  <si>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</si>
  <si>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</si>
  <si>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</si>
  <si>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</si>
  <si>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</si>
  <si>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</si>
  <si>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</si>
  <si>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</si>
  <si>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</si>
  <si>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</si>
  <si>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</si>
  <si>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</si>
  <si>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</si>
  <si>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</si>
  <si>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</si>
  <si>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</si>
  <si>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</si>
  <si>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</si>
  <si>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</si>
  <si>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</si>
  <si>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</si>
  <si>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</si>
  <si>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</si>
  <si>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</si>
  <si>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</si>
  <si>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</si>
  <si>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</si>
  <si>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</si>
  <si>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</si>
  <si>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</si>
  <si>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</si>
  <si>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</si>
  <si>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</si>
  <si>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</si>
  <si>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</si>
  <si>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</si>
  <si>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</si>
  <si>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</si>
  <si>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</si>
  <si>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</si>
  <si>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</si>
  <si>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</si>
  <si>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</si>
  <si>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</si>
  <si>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</si>
  <si>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</si>
  <si>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</si>
  <si>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</si>
  <si>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</si>
  <si>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</si>
  <si>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</si>
  <si>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</si>
  <si>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</si>
  <si>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</si>
  <si>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</si>
  <si>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</si>
  <si>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</si>
  <si>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</si>
  <si>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</si>
  <si>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</si>
  <si>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</si>
  <si>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</si>
  <si>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</si>
  <si>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</si>
  <si>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</si>
  <si>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</si>
  <si>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</si>
  <si>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</si>
  <si>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</si>
  <si>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</si>
  <si>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</si>
  <si>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</si>
  <si>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</si>
  <si>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</si>
  <si>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</si>
  <si>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</si>
  <si>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</si>
  <si>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</si>
  <si>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</si>
  <si>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</si>
  <si>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</si>
  <si>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</si>
  <si>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</si>
  <si>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</si>
  <si>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</si>
  <si>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</si>
  <si>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</si>
  <si>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</si>
  <si>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</si>
  <si>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</si>
  <si>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</si>
  <si>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</si>
  <si>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</si>
  <si>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</si>
  <si>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</si>
  <si>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</si>
  <si>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</si>
  <si>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</si>
  <si>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</si>
  <si>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</si>
  <si>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</si>
  <si>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</si>
  <si>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</si>
  <si>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</si>
  <si>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</si>
  <si>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</si>
  <si>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</si>
  <si>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</si>
  <si>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</si>
  <si>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</si>
  <si>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</si>
  <si>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</si>
  <si>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</si>
  <si>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</si>
  <si>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</si>
  <si>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</si>
  <si>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</si>
  <si>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</si>
  <si>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</si>
  <si>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</si>
  <si>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</si>
  <si>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</si>
  <si>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</si>
  <si>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</si>
  <si>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</si>
  <si>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</si>
  <si>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</si>
  <si>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</si>
  <si>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</si>
  <si>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</si>
  <si>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</si>
  <si>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</si>
  <si>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</si>
  <si>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</si>
  <si>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</si>
  <si>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</si>
  <si>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</si>
  <si>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</si>
  <si>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</si>
  <si>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</si>
  <si>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</si>
  <si>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</si>
  <si>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</si>
  <si>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</si>
  <si>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</si>
  <si>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</si>
  <si>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</si>
  <si>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</si>
  <si>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</si>
  <si>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</si>
  <si>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</si>
  <si>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</si>
  <si>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</si>
  <si>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</si>
  <si>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</si>
  <si>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</si>
  <si>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</si>
  <si>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</si>
  <si>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</si>
  <si>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</si>
  <si>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</si>
  <si>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</si>
  <si>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</si>
  <si>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</si>
  <si>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</si>
  <si>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</si>
  <si>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</si>
  <si>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</si>
  <si>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</si>
  <si>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</si>
  <si>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</si>
  <si>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</si>
  <si>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</si>
  <si>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</si>
  <si>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</si>
  <si>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</si>
  <si>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</si>
  <si>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</si>
  <si>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</si>
  <si>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</si>
  <si>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</si>
  <si>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</si>
  <si>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</si>
  <si>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</si>
  <si>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</si>
  <si>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</si>
  <si>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</si>
  <si>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</si>
  <si>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</si>
  <si>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</si>
  <si>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</si>
  <si>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</si>
  <si>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</si>
  <si>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</si>
  <si>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</si>
  <si>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</si>
  <si>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</si>
  <si>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</si>
  <si>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</si>
  <si>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</si>
  <si>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</si>
  <si>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</si>
  <si>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</si>
  <si>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</si>
  <si>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</si>
  <si>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</si>
  <si>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</si>
  <si>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</si>
  <si>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</si>
  <si>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</si>
  <si>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</si>
  <si>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</si>
  <si>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</si>
  <si>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</si>
  <si>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</si>
  <si>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</si>
  <si>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</si>
  <si>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</si>
  <si>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</si>
  <si>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</si>
  <si>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</si>
  <si>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</si>
  <si>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</si>
  <si>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</si>
  <si>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</si>
  <si>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</si>
  <si>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</si>
  <si>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</si>
  <si>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</si>
  <si>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</si>
  <si>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</si>
  <si>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</si>
  <si>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</si>
  <si>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</si>
  <si>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</si>
  <si>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</si>
  <si>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</si>
  <si>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</si>
  <si>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</si>
  <si>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</si>
  <si>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</si>
  <si>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</si>
  <si>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</si>
  <si>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</si>
  <si>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</si>
  <si>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</si>
  <si>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</si>
  <si>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</si>
  <si>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</si>
  <si>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</si>
  <si>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</si>
  <si>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</si>
  <si>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</si>
  <si>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</si>
  <si>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</si>
  <si>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</si>
  <si>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</si>
  <si>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</si>
  <si>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</si>
  <si>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</si>
  <si>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</si>
  <si>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</si>
  <si>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</si>
  <si>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</si>
  <si>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</si>
  <si>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</si>
  <si>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</si>
  <si>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</si>
  <si>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</si>
  <si>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</si>
  <si>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</si>
  <si>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</si>
  <si>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</si>
  <si>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</si>
  <si>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</si>
  <si>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</si>
  <si>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</si>
  <si>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</si>
  <si>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</si>
  <si>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</si>
  <si>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</si>
  <si>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</si>
  <si>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</si>
  <si>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</si>
  <si>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</si>
  <si>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</si>
  <si>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</si>
  <si>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</si>
  <si>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</si>
  <si>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</si>
  <si>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</si>
  <si>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</si>
  <si>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</si>
  <si>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</si>
  <si>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</si>
  <si>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</si>
  <si>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</si>
  <si>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</si>
  <si>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</si>
  <si>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</si>
  <si>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</si>
  <si>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</si>
  <si>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</si>
  <si>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</si>
  <si>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</si>
  <si>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</si>
  <si>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</si>
  <si>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</si>
  <si>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</si>
  <si>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</si>
  <si>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</si>
  <si>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</si>
  <si>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</si>
  <si>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</si>
  <si>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</si>
  <si>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</si>
  <si>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</si>
  <si>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</si>
  <si>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</si>
  <si>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</si>
  <si>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</si>
  <si>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</si>
  <si>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</si>
  <si>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</si>
  <si>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</si>
  <si>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</si>
  <si>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</si>
  <si>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</si>
  <si>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</si>
  <si>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</si>
  <si>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</si>
  <si>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</si>
  <si>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</si>
  <si>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</si>
  <si>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</si>
  <si>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</si>
  <si>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</si>
  <si>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</si>
  <si>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</si>
  <si>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</si>
  <si>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</si>
  <si>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</si>
  <si>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</si>
  <si>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</si>
  <si>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</si>
  <si>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</si>
  <si>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</si>
  <si>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</si>
  <si>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</si>
  <si>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</si>
  <si>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</si>
  <si>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</si>
  <si>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</si>
  <si>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</si>
  <si>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</si>
  <si>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</si>
  <si>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</si>
  <si>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</si>
  <si>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</si>
  <si>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</si>
  <si>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</si>
  <si>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</si>
  <si>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</si>
  <si>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</si>
  <si>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</si>
  <si>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</si>
  <si>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</si>
  <si>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</si>
  <si>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</si>
  <si>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</si>
  <si>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</si>
  <si>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</si>
  <si>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</si>
  <si>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</si>
  <si>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</si>
  <si>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</si>
  <si>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</si>
  <si>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</si>
  <si>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</si>
  <si>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</si>
  <si>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</si>
  <si>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</si>
  <si>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</si>
  <si>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</si>
  <si>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</si>
  <si>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</si>
  <si>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</si>
  <si>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</si>
  <si>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</si>
  <si>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</si>
  <si>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</si>
  <si>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</si>
  <si>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</si>
  <si>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</si>
  <si>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</si>
  <si>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</si>
  <si>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</si>
  <si>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</si>
  <si>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</si>
  <si>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</si>
  <si>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</si>
  <si>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</si>
  <si>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</si>
  <si>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</si>
  <si>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</si>
  <si>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</si>
  <si>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</si>
  <si>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</si>
  <si>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</si>
  <si>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</si>
  <si>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</si>
  <si>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</si>
  <si>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</si>
  <si>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</si>
  <si>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</si>
  <si>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</si>
  <si>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</si>
  <si>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</si>
  <si>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</si>
  <si>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</si>
  <si>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</si>
  <si>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</si>
  <si>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</si>
  <si>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</si>
  <si>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</si>
  <si>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</si>
  <si>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</si>
  <si>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</si>
  <si>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</si>
  <si>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</si>
  <si>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</si>
  <si>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</si>
  <si>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</si>
  <si>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</si>
  <si>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</si>
  <si>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</si>
  <si>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</si>
  <si>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</si>
  <si>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</si>
  <si>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</si>
  <si>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</si>
  <si>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</si>
  <si>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</si>
  <si>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</si>
  <si>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</si>
  <si>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</si>
  <si>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</si>
  <si>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</si>
  <si>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</si>
  <si>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</si>
  <si>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</si>
  <si>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</si>
  <si>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</si>
  <si>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</si>
  <si>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</si>
  <si>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</si>
  <si>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</si>
  <si>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</si>
  <si>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</si>
  <si>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</si>
  <si>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</si>
  <si>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</si>
  <si>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</si>
  <si>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</si>
  <si>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</si>
  <si>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</si>
  <si>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</si>
  <si>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</si>
  <si>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</si>
  <si>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</si>
  <si>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</si>
  <si>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</si>
  <si>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</si>
  <si>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</si>
  <si>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</si>
  <si>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</si>
  <si>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</si>
  <si>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</si>
  <si>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</si>
  <si>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</si>
  <si>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</si>
  <si>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</si>
  <si>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</si>
  <si>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</si>
  <si>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</si>
  <si>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</si>
  <si>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</si>
  <si>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</si>
  <si>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</si>
  <si>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</si>
  <si>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</si>
  <si>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</si>
  <si>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</si>
  <si>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</si>
  <si>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</si>
  <si>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</si>
  <si>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</si>
  <si>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</si>
  <si>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</si>
  <si>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</si>
  <si>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</si>
  <si>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</si>
  <si>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</si>
  <si>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</si>
  <si>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</si>
  <si>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</si>
  <si>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</si>
  <si>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</si>
  <si>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</si>
  <si>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</si>
  <si>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</si>
  <si>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</si>
  <si>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</si>
  <si>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</si>
  <si>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</si>
  <si>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</si>
  <si>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</si>
  <si>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</si>
  <si>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</si>
  <si>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</si>
  <si>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</si>
  <si>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</si>
  <si>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</si>
  <si>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</si>
  <si>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</si>
  <si>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</si>
  <si>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</si>
  <si>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</si>
  <si>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</si>
  <si>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</si>
  <si>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</si>
  <si>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</si>
  <si>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</si>
  <si>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</si>
  <si>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</si>
  <si>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</si>
  <si>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</si>
  <si>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</si>
  <si>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</si>
  <si>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</si>
  <si>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</si>
  <si>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</si>
  <si>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</si>
  <si>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</si>
  <si>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</si>
  <si>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</si>
  <si>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</si>
  <si>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</si>
  <si>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</si>
  <si>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</si>
  <si>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</si>
  <si>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</si>
  <si>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</si>
  <si>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</si>
  <si>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</si>
  <si>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</si>
  <si>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</si>
  <si>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</si>
  <si>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</si>
  <si>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</si>
  <si>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</si>
  <si>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</si>
  <si>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</si>
  <si>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</si>
  <si>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</si>
  <si>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</si>
  <si>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</si>
  <si>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</si>
  <si>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</si>
  <si>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</si>
  <si>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</si>
  <si>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</si>
  <si>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</si>
  <si>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</si>
  <si>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</si>
  <si>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</si>
  <si>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</si>
  <si>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</si>
  <si>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</si>
  <si>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</si>
  <si>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</si>
  <si>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</si>
  <si>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</si>
  <si>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</si>
  <si>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</si>
  <si>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</si>
  <si>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</si>
  <si>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</si>
  <si>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</si>
  <si>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</si>
  <si>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</si>
  <si>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</si>
  <si>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</si>
  <si>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</si>
  <si>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</si>
  <si>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</si>
  <si>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</si>
  <si>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</si>
  <si>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(Arasaka)</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</si>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</sst>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1"/>
  <sheetViews>
    <sheetView tabSelected="1" workbookViewId="0">
      <pane ySplit="1" topLeftCell="A2" activePane="bottomLeft" state="frozen"/>
      <selection pane="bottomLeft" activeCell="K17" sqref="K17"/>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IF(ISNUMBER(MATCH($C7,StackableKinds,0)), TRUE, "")</f>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IF(ISNUMBER(MATCH($C8,StackableKinds,0)), TRUE, "")</f>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IF(ISNUMBER(MATCH($C9,StackableKinds,0)), TRUE, "")</f>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IF(ISNUMBER(MATCH($C10,StackableKinds,0)), TRUE, "")</f>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IF(ISNUMBER(MATCH($C11,StackableKinds,0)), TRUE, "")</f>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IF(ISNUMBER(MATCH($C12,StackableKinds,0)), TRUE, "")</f>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IF(ISNUMBER(MATCH($C13,StackableKinds,0)), TRUE, "")</f>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IF(ISNUMBER(MATCH($C14,StackableKinds,0)), TRUE, "")</f>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IF(ISNUMBER(MATCH($C15,StackableKinds,0)), TRUE, "")</f>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IF(ISNUMBER(MATCH($C16,StackableKinds,0)), TRUE, "")</f>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IF(ISNUMBER(MATCH($C17,StackableKinds,0)), TRUE, "")</f>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IF(ISNUMBER(MATCH($C18,StackableKinds,0)), TRUE, "")</f>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IF(ISNUMBER(MATCH($C19,StackableKinds,0)), TRUE, "")</f>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IF(ISNUMBER(MATCH($C20,StackableKinds,0)), TRUE, "")</f>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IF(ISNUMBER(MATCH($C21,StackableKinds,0)), TRUE, "")</f>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IF(ISNUMBER(MATCH($C22,StackableKinds,0)), TRUE, "")</f>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IF(ISNUMBER(MATCH($C23,StackableKinds,0)), TRUE, "")</f>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IF(ISNUMBER(MATCH($C24,StackableKinds,0)), TRUE, "")</f>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IF(ISNUMBER(MATCH($C25,StackableKinds,0)), TRUE, "")</f>
        <v/>
      </c>
      <c r="Q25" s="7" t="b">
        <v>1</v>
      </c>
    </row>
    <row r="26" spans="1:17" x14ac:dyDescent="0.2">
      <c r="A26" s="19" t="str">
        <f>_xlfn.IFNA(VLOOKUP($B26,Keys!$A:$B,2,FALSE),_xlfn.IFNA(VLOOKUP($B26,Keys!$D:$E,2,FALSE),VLOOKUP($B26,Keys!$G:$H,2,FALSE)))</f>
        <v>0x0000001B0362A0D5</v>
      </c>
      <c r="B26" s="5" t="s">
        <v>4070</v>
      </c>
      <c r="C26" s="5" t="s">
        <v>4</v>
      </c>
      <c r="D26" s="5" t="s">
        <v>16858</v>
      </c>
      <c r="E26" s="5"/>
      <c r="F26" s="5" t="s">
        <v>9249</v>
      </c>
      <c r="G26" s="1"/>
      <c r="H26" s="5" t="s">
        <v>10257</v>
      </c>
      <c r="I26" s="1"/>
      <c r="J26" s="2"/>
      <c r="K26" s="5" t="s">
        <v>10258</v>
      </c>
      <c r="M26" s="18"/>
      <c r="N26" s="5" t="s">
        <v>9251</v>
      </c>
      <c r="O26" s="5" t="s">
        <v>9252</v>
      </c>
      <c r="P26" s="21" t="str">
        <f>IF(ISNUMBER(MATCH($C26,StackableKinds,0)), TRUE, "")</f>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IF(ISNUMBER(MATCH($C27,StackableKinds,0)), TRUE, "")</f>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IF(ISNUMBER(MATCH($C28,StackableKinds,0)), TRUE, "")</f>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IF(ISNUMBER(MATCH($C29,StackableKinds,0)), TRUE, "")</f>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IF(ISNUMBER(MATCH($C30,StackableKinds,0)), TRUE, "")</f>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IF(ISNUMBER(MATCH($C31,StackableKinds,0)), TRUE, "")</f>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IF(ISNUMBER(MATCH($C32,StackableKinds,0)), TRUE, "")</f>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IF(ISNUMBER(MATCH($C33,StackableKinds,0)), TRUE, "")</f>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IF(ISNUMBER(MATCH($C34,StackableKinds,0)), TRUE, "")</f>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IF(ISNUMBER(MATCH($C35,StackableKinds,0)), TRUE, "")</f>
        <v/>
      </c>
      <c r="Q35" s="7" t="b">
        <v>1</v>
      </c>
    </row>
    <row r="36" spans="1:17" x14ac:dyDescent="0.2">
      <c r="A36" s="19" t="str">
        <f>_xlfn.IFNA(VLOOKUP($B36,Keys!$A:$B,2,FALSE),_xlfn.IFNA(VLOOKUP($B36,Keys!$D:$E,2,FALSE),VLOOKUP($B36,Keys!$G:$H,2,FALSE)))</f>
        <v>0x00000018101951B3</v>
      </c>
      <c r="B36" s="5" t="s">
        <v>2798</v>
      </c>
      <c r="C36" s="5" t="s">
        <v>4</v>
      </c>
      <c r="D36" s="5" t="s">
        <v>16858</v>
      </c>
      <c r="E36" s="5"/>
      <c r="F36" s="5" t="s">
        <v>9070</v>
      </c>
      <c r="H36" s="5" t="s">
        <v>10753</v>
      </c>
      <c r="I36" s="1"/>
      <c r="J36" s="2"/>
      <c r="K36" s="5" t="s">
        <v>10758</v>
      </c>
      <c r="L36" s="1"/>
      <c r="M36" s="18"/>
      <c r="N36" s="5" t="s">
        <v>9070</v>
      </c>
      <c r="O36" s="5" t="s">
        <v>9396</v>
      </c>
      <c r="P36" s="21" t="str">
        <f>IF(ISNUMBER(MATCH($C36,StackableKinds,0)), TRUE, "")</f>
        <v/>
      </c>
      <c r="Q36" s="7" t="b">
        <v>1</v>
      </c>
    </row>
    <row r="37" spans="1:17" x14ac:dyDescent="0.2">
      <c r="A37" s="19" t="str">
        <f>_xlfn.IFNA(VLOOKUP($B37,Keys!$A:$B,2,FALSE),_xlfn.IFNA(VLOOKUP($B37,Keys!$D:$E,2,FALSE),VLOOKUP($B37,Keys!$G:$H,2,FALSE)))</f>
        <v>0x00000016CF8B5531</v>
      </c>
      <c r="B37" s="5" t="s">
        <v>1170</v>
      </c>
      <c r="C37" s="5" t="s">
        <v>4</v>
      </c>
      <c r="D37" s="5" t="s">
        <v>16858</v>
      </c>
      <c r="E37" s="5"/>
      <c r="F37" s="5" t="s">
        <v>9070</v>
      </c>
      <c r="H37" s="5" t="s">
        <v>10736</v>
      </c>
      <c r="I37" s="1"/>
      <c r="J37" s="2"/>
      <c r="K37" s="5" t="s">
        <v>10739</v>
      </c>
      <c r="L37" s="1"/>
      <c r="M37" s="18"/>
      <c r="N37" s="5" t="s">
        <v>9070</v>
      </c>
      <c r="O37" s="5" t="s">
        <v>9396</v>
      </c>
      <c r="P37" s="21" t="str">
        <f>IF(ISNUMBER(MATCH($C37,StackableKinds,0)), TRUE, "")</f>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IF(ISNUMBER(MATCH($C38,StackableKinds,0)), TRUE, "")</f>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IF(ISNUMBER(MATCH($C39,StackableKinds,0)), TRUE, "")</f>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IF(ISNUMBER(MATCH($C40,StackableKinds,0)), TRUE, "")</f>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IF(ISNUMBER(MATCH($C41,StackableKinds,0)), TRUE, "")</f>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IF(ISNUMBER(MATCH($C42,StackableKinds,0)), TRUE, "")</f>
        <v/>
      </c>
      <c r="Q42" s="7" t="b">
        <v>1</v>
      </c>
    </row>
    <row r="43" spans="1:17" x14ac:dyDescent="0.2">
      <c r="A43" s="19" t="str">
        <f>_xlfn.IFNA(VLOOKUP($B43,Keys!$A:$B,2,FALSE),_xlfn.IFNA(VLOOKUP($B43,Keys!$D:$E,2,FALSE),VLOOKUP($B43,Keys!$G:$H,2,FALSE)))</f>
        <v>0x0000001C6717B59B</v>
      </c>
      <c r="B43" s="5" t="s">
        <v>3002</v>
      </c>
      <c r="C43" s="5" t="s">
        <v>4</v>
      </c>
      <c r="D43" s="5" t="s">
        <v>16858</v>
      </c>
      <c r="E43" s="5"/>
      <c r="F43" s="5" t="s">
        <v>9512</v>
      </c>
      <c r="H43" s="5" t="s">
        <v>10760</v>
      </c>
      <c r="I43" s="1"/>
      <c r="J43" s="2"/>
      <c r="K43" s="5" t="s">
        <v>10761</v>
      </c>
      <c r="L43" s="1"/>
      <c r="M43" s="18"/>
      <c r="N43" s="5" t="s">
        <v>9512</v>
      </c>
      <c r="O43" s="5" t="s">
        <v>9514</v>
      </c>
      <c r="P43" s="21" t="str">
        <f>IF(ISNUMBER(MATCH($C43,StackableKinds,0)), TRUE, "")</f>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IF(ISNUMBER(MATCH($C44,StackableKinds,0)), TRUE, "")</f>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IF(ISNUMBER(MATCH($C45,StackableKinds,0)), TRUE, "")</f>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IF(ISNUMBER(MATCH($C46,StackableKinds,0)), TRUE, "")</f>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IF(ISNUMBER(MATCH($C47,StackableKinds,0)), TRUE, "")</f>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IF(ISNUMBER(MATCH($C48,StackableKinds,0)), TRUE, "")</f>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IF(ISNUMBER(MATCH($C49,StackableKinds,0)), TRUE, "")</f>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IF(ISNUMBER(MATCH($C50,StackableKinds,0)), TRUE, "")</f>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IF(ISNUMBER(MATCH($C51,StackableKinds,0)), TRUE, "")</f>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IF(ISNUMBER(MATCH($C52,StackableKinds,0)), TRUE, "")</f>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IF(ISNUMBER(MATCH($C53,StackableKinds,0)), TRUE, "")</f>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IF(ISNUMBER(MATCH($C54,StackableKinds,0)), TRUE, "")</f>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IF(ISNUMBER(MATCH($C55,StackableKinds,0)), TRUE, "")</f>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IF(ISNUMBER(MATCH($C56,StackableKinds,0)), TRUE, "")</f>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IF(ISNUMBER(MATCH($C57,StackableKinds,0)), TRUE, "")</f>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IF(ISNUMBER(MATCH($C58,StackableKinds,0)), TRUE, "")</f>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IF(ISNUMBER(MATCH($C59,StackableKinds,0)), TRUE, "")</f>
        <v/>
      </c>
      <c r="Q59" s="7" t="b">
        <v>1</v>
      </c>
    </row>
    <row r="60" spans="1:17" x14ac:dyDescent="0.2">
      <c r="A60" s="19" t="str">
        <f>_xlfn.IFNA(VLOOKUP($B60,Keys!$A:$B,2,FALSE),_xlfn.IFNA(VLOOKUP($B60,Keys!$D:$E,2,FALSE),VLOOKUP($B60,Keys!$G:$H,2,FALSE)))</f>
        <v>0x00000026997C2B08</v>
      </c>
      <c r="B60" s="5" t="s">
        <v>4102</v>
      </c>
      <c r="C60" s="5" t="s">
        <v>4</v>
      </c>
      <c r="D60" s="5" t="s">
        <v>16861</v>
      </c>
      <c r="E60" s="5"/>
      <c r="F60" s="5" t="s">
        <v>9782</v>
      </c>
      <c r="G60" s="1"/>
      <c r="H60" s="5" t="s">
        <v>10257</v>
      </c>
      <c r="I60" s="1"/>
      <c r="J60" s="2"/>
      <c r="K60" s="5" t="s">
        <v>10260</v>
      </c>
      <c r="M60" s="18"/>
      <c r="N60" s="5" t="s">
        <v>9784</v>
      </c>
      <c r="O60" s="1"/>
      <c r="P60" s="21" t="str">
        <f>IF(ISNUMBER(MATCH($C60,StackableKinds,0)), TRUE, "")</f>
        <v/>
      </c>
    </row>
    <row r="61" spans="1:17" x14ac:dyDescent="0.2">
      <c r="A61" s="19" t="str">
        <f>_xlfn.IFNA(VLOOKUP($B61,Keys!$A:$B,2,FALSE),_xlfn.IFNA(VLOOKUP($B61,Keys!$D:$E,2,FALSE),VLOOKUP($B61,Keys!$G:$H,2,FALSE)))</f>
        <v>0x000000246A14EFCD</v>
      </c>
      <c r="B61" s="5" t="s">
        <v>4100</v>
      </c>
      <c r="C61" s="5" t="s">
        <v>4</v>
      </c>
      <c r="D61" s="5" t="s">
        <v>16859</v>
      </c>
      <c r="E61" s="5"/>
      <c r="F61" s="5" t="s">
        <v>9782</v>
      </c>
      <c r="G61" s="1"/>
      <c r="H61" s="5" t="s">
        <v>10257</v>
      </c>
      <c r="I61" s="1"/>
      <c r="J61" s="2"/>
      <c r="K61" s="5" t="s">
        <v>10260</v>
      </c>
      <c r="M61" s="18"/>
      <c r="N61" s="5" t="s">
        <v>9784</v>
      </c>
      <c r="O61" s="1"/>
      <c r="P61" s="21" t="str">
        <f>IF(ISNUMBER(MATCH($C61,StackableKinds,0)), TRUE, "")</f>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IF(ISNUMBER(MATCH($C62,StackableKinds,0)), TRUE, "")</f>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IF(ISNUMBER(MATCH($C63,StackableKinds,0)), TRUE, "")</f>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IF(ISNUMBER(MATCH($C64,StackableKinds,0)), TRUE, "")</f>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IF(ISNUMBER(MATCH($C65,StackableKinds,0)), TRUE, "")</f>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IF(ISNUMBER(MATCH($C66,StackableKinds,0)), TRUE, "")</f>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IF(ISNUMBER(MATCH($C67,StackableKinds,0)), TRUE, "")</f>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IF(ISNUMBER(MATCH($C68,StackableKinds,0)), TRUE, "")</f>
        <v/>
      </c>
      <c r="Q68" s="7" t="b">
        <v>1</v>
      </c>
    </row>
    <row r="69" spans="1:17" x14ac:dyDescent="0.2">
      <c r="A69" s="19" t="str">
        <f>_xlfn.IFNA(VLOOKUP($B69,Keys!$A:$B,2,FALSE),_xlfn.IFNA(VLOOKUP($B69,Keys!$D:$E,2,FALSE),VLOOKUP($B69,Keys!$G:$H,2,FALSE)))</f>
        <v>0x0000001716B3D7ED</v>
      </c>
      <c r="B69" s="5" t="s">
        <v>5203</v>
      </c>
      <c r="C69" s="5" t="s">
        <v>4</v>
      </c>
      <c r="D69" s="5" t="s">
        <v>16858</v>
      </c>
      <c r="E69" s="5"/>
      <c r="F69" s="5" t="s">
        <v>9070</v>
      </c>
      <c r="H69" s="5" t="s">
        <v>10777</v>
      </c>
      <c r="I69" s="1"/>
      <c r="J69" s="2"/>
      <c r="K69" s="5" t="s">
        <v>10781</v>
      </c>
      <c r="L69" s="1"/>
      <c r="M69" s="18"/>
      <c r="N69" s="5" t="s">
        <v>9070</v>
      </c>
      <c r="O69" s="5" t="s">
        <v>9396</v>
      </c>
      <c r="P69" s="21" t="str">
        <f>IF(ISNUMBER(MATCH($C69,StackableKinds,0)), TRUE, "")</f>
        <v/>
      </c>
      <c r="Q69" s="7" t="b">
        <v>1</v>
      </c>
    </row>
    <row r="70" spans="1:17" x14ac:dyDescent="0.2">
      <c r="A70" s="19" t="str">
        <f>_xlfn.IFNA(VLOOKUP($B70,Keys!$A:$B,2,FALSE),_xlfn.IFNA(VLOOKUP($B70,Keys!$D:$E,2,FALSE),VLOOKUP($B70,Keys!$G:$H,2,FALSE)))</f>
        <v>0x00000017E5858446</v>
      </c>
      <c r="B70" s="5" t="s">
        <v>2804</v>
      </c>
      <c r="C70" s="5" t="s">
        <v>4</v>
      </c>
      <c r="D70" s="5" t="s">
        <v>16858</v>
      </c>
      <c r="E70" s="5"/>
      <c r="F70" s="5" t="s">
        <v>9512</v>
      </c>
      <c r="H70" s="5" t="s">
        <v>10753</v>
      </c>
      <c r="I70" s="1"/>
      <c r="J70" s="2"/>
      <c r="K70" s="5" t="s">
        <v>10755</v>
      </c>
      <c r="L70" s="1"/>
      <c r="M70" s="18"/>
      <c r="N70" s="5" t="s">
        <v>9512</v>
      </c>
      <c r="O70" s="5" t="s">
        <v>9514</v>
      </c>
      <c r="P70" s="21" t="str">
        <f>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IF(ISNUMBER(MATCH($C71,StackableKinds,0)), TRUE, "")</f>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IF(ISNUMBER(MATCH($C72,StackableKinds,0)), TRUE, "")</f>
        <v/>
      </c>
      <c r="Q72" s="7" t="b">
        <v>1</v>
      </c>
    </row>
    <row r="73" spans="1:17" x14ac:dyDescent="0.2">
      <c r="A73" s="19" t="str">
        <f>_xlfn.IFNA(VLOOKUP($B73,Keys!$A:$B,2,FALSE),_xlfn.IFNA(VLOOKUP($B73,Keys!$D:$E,2,FALSE),VLOOKUP($B73,Keys!$G:$H,2,FALSE)))</f>
        <v>0x0000001DF5A69956</v>
      </c>
      <c r="B73" s="5" t="s">
        <v>4879</v>
      </c>
      <c r="C73" s="5" t="s">
        <v>4</v>
      </c>
      <c r="D73" s="5" t="s">
        <v>16858</v>
      </c>
      <c r="E73" s="5"/>
      <c r="F73" s="5" t="s">
        <v>9412</v>
      </c>
      <c r="H73" s="5" t="s">
        <v>10771</v>
      </c>
      <c r="I73" s="1"/>
      <c r="J73" s="2"/>
      <c r="K73" s="5" t="s">
        <v>10773</v>
      </c>
      <c r="L73" s="1"/>
      <c r="M73" s="18"/>
      <c r="N73" s="5" t="s">
        <v>9414</v>
      </c>
      <c r="O73" s="5" t="s">
        <v>9415</v>
      </c>
      <c r="P73" s="21" t="str">
        <f>IF(ISNUMBER(MATCH($C73,StackableKinds,0)), TRUE, "")</f>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IF(ISNUMBER(MATCH($C74,StackableKinds,0)), TRUE, "")</f>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IF(ISNUMBER(MATCH($C75,StackableKinds,0)), TRUE, "")</f>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IF(ISNUMBER(MATCH($C76,StackableKinds,0)), TRUE, "")</f>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IF(ISNUMBER(MATCH($C77,StackableKinds,0)), TRUE, "")</f>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IF(ISNUMBER(MATCH($C78,StackableKinds,0)), TRUE, "")</f>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IF(ISNUMBER(MATCH($C79,StackableKinds,0)), TRUE, "")</f>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IF(ISNUMBER(MATCH($C80,StackableKinds,0)), TRUE, "")</f>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IF(ISNUMBER(MATCH($C81,StackableKinds,0)), TRUE, "")</f>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IF(ISNUMBER(MATCH($C82,StackableKinds,0)), TRUE, "")</f>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IF(ISNUMBER(MATCH($C83,StackableKinds,0)), TRUE, "")</f>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IF(ISNUMBER(MATCH($C84,StackableKinds,0)), TRUE, "")</f>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IF(ISNUMBER(MATCH($C85,StackableKinds,0)), TRUE, "")</f>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IF(ISNUMBER(MATCH($C86,StackableKinds,0)), TRUE, "")</f>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IF(ISNUMBER(MATCH($C87,StackableKinds,0)), TRUE, "")</f>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IF(ISNUMBER(MATCH($C88,StackableKinds,0)), TRUE, "")</f>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IF(ISNUMBER(MATCH($C89,StackableKinds,0)), TRUE, "")</f>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IF(ISNUMBER(MATCH($C90,StackableKinds,0)), TRUE, "")</f>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IF(ISNUMBER(MATCH($C91,StackableKinds,0)), TRUE, "")</f>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IF(ISNUMBER(MATCH($C92,StackableKinds,0)), TRUE, "")</f>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IF(ISNUMBER(MATCH($C93,StackableKinds,0)), TRUE, "")</f>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IF(ISNUMBER(MATCH($C94,StackableKinds,0)), TRUE, "")</f>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IF(ISNUMBER(MATCH($C95,StackableKinds,0)), TRUE, "")</f>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IF(ISNUMBER(MATCH($C96,StackableKinds,0)), TRUE, "")</f>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IF(ISNUMBER(MATCH($C97,StackableKinds,0)), TRUE, "")</f>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IF(ISNUMBER(MATCH($C98,StackableKinds,0)), TRUE, "")</f>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IF(ISNUMBER(MATCH($C99,StackableKinds,0)), TRUE, "")</f>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IF(ISNUMBER(MATCH($C100,StackableKinds,0)), TRUE, "")</f>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IF(ISNUMBER(MATCH($C101,StackableKinds,0)), TRUE, "")</f>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IF(ISNUMBER(MATCH($C102,StackableKinds,0)), TRUE, "")</f>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IF(ISNUMBER(MATCH($C103,StackableKinds,0)), TRUE, "")</f>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IF(ISNUMBER(MATCH($C104,StackableKinds,0)), TRUE, "")</f>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IF(ISNUMBER(MATCH($C105,StackableKinds,0)), TRUE, "")</f>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IF(ISNUMBER(MATCH($C106,StackableKinds,0)), TRUE, "")</f>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IF(ISNUMBER(MATCH($C107,StackableKinds,0)), TRUE, "")</f>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IF(ISNUMBER(MATCH($C108,StackableKinds,0)), TRUE, "")</f>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IF(ISNUMBER(MATCH($C109,StackableKinds,0)), TRUE, "")</f>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IF(ISNUMBER(MATCH($C110,StackableKinds,0)), TRUE, "")</f>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IF(ISNUMBER(MATCH($C111,StackableKinds,0)), TRUE, "")</f>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IF(ISNUMBER(MATCH($C112,StackableKinds,0)), TRUE, "")</f>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IF(ISNUMBER(MATCH($C113,StackableKinds,0)), TRUE, "")</f>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IF(ISNUMBER(MATCH($C114,StackableKinds,0)), TRUE, "")</f>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IF(ISNUMBER(MATCH($C115,StackableKinds,0)), TRUE, "")</f>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IF(ISNUMBER(MATCH($C116,StackableKinds,0)), TRUE, "")</f>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IF(ISNUMBER(MATCH($C117,StackableKinds,0)), TRUE, "")</f>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IF(ISNUMBER(MATCH($C118,StackableKinds,0)), TRUE, "")</f>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IF(ISNUMBER(MATCH($C119,StackableKinds,0)), TRUE, "")</f>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IF(ISNUMBER(MATCH($C120,StackableKinds,0)), TRUE, "")</f>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IF(ISNUMBER(MATCH($C121,StackableKinds,0)), TRUE, "")</f>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IF(ISNUMBER(MATCH($C122,StackableKinds,0)), TRUE, "")</f>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IF(ISNUMBER(MATCH($C123,StackableKinds,0)), TRUE, "")</f>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IF(ISNUMBER(MATCH($C124,StackableKinds,0)), TRUE, "")</f>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IF(ISNUMBER(MATCH($C125,StackableKinds,0)), TRUE, "")</f>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IF(ISNUMBER(MATCH($C126,StackableKinds,0)), TRUE, "")</f>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IF(ISNUMBER(MATCH($C127,StackableKinds,0)), TRUE, "")</f>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IF(ISNUMBER(MATCH($C128,StackableKinds,0)), TRUE, "")</f>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IF(ISNUMBER(MATCH($C129,StackableKinds,0)), TRUE, "")</f>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IF(ISNUMBER(MATCH($C130,StackableKinds,0)), TRUE, "")</f>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IF(ISNUMBER(MATCH($C131,StackableKinds,0)), TRUE, "")</f>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IF(ISNUMBER(MATCH($C132,StackableKinds,0)), TRUE, "")</f>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IF(ISNUMBER(MATCH($C133,StackableKinds,0)), TRUE, "")</f>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IF(ISNUMBER(MATCH($C135,StackableKinds,0)), TRUE, "")</f>
        <v/>
      </c>
      <c r="Q135" s="7" t="b">
        <v>1</v>
      </c>
    </row>
    <row r="136" spans="1:17" x14ac:dyDescent="0.2">
      <c r="A136" s="19" t="str">
        <f>_xlfn.IFNA(VLOOKUP($B136,Keys!$A:$B,2,FALSE),_xlfn.IFNA(VLOOKUP($B136,Keys!$D:$E,2,FALSE),VLOOKUP($B136,Keys!$G:$H,2,FALSE)))</f>
        <v>0x0000001CEA243C9E</v>
      </c>
      <c r="B136" s="5" t="s">
        <v>1180</v>
      </c>
      <c r="C136" s="5" t="s">
        <v>4</v>
      </c>
      <c r="D136" s="5" t="s">
        <v>16858</v>
      </c>
      <c r="E136" s="5"/>
      <c r="F136" s="5" t="s">
        <v>9070</v>
      </c>
      <c r="H136" s="5" t="s">
        <v>10741</v>
      </c>
      <c r="I136" s="1"/>
      <c r="J136" s="2"/>
      <c r="K136" s="5" t="s">
        <v>10745</v>
      </c>
      <c r="L136" s="1"/>
      <c r="M136" s="18"/>
      <c r="N136" s="5" t="s">
        <v>9070</v>
      </c>
      <c r="O136" s="5" t="s">
        <v>9396</v>
      </c>
      <c r="P136" s="21" t="str">
        <f>IF(ISNUMBER(MATCH($C136,StackableKinds,0)), TRUE, "")</f>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IF(ISNUMBER(MATCH($C137,StackableKinds,0)), TRUE, "")</f>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IF(ISNUMBER(MATCH($C138,StackableKinds,0)), TRUE, "")</f>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IF(ISNUMBER(MATCH($C139,StackableKinds,0)), TRUE, "")</f>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IF(ISNUMBER(MATCH($C140,StackableKinds,0)), TRUE, "")</f>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IF(ISNUMBER(MATCH($C141,StackableKinds,0)), TRUE, "")</f>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IF(ISNUMBER(MATCH($C142,StackableKinds,0)), TRUE, "")</f>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IF(ISNUMBER(MATCH($C143,StackableKinds,0)), TRUE, "")</f>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IF(ISNUMBER(MATCH($C144,StackableKinds,0)), TRUE, "")</f>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IF(ISNUMBER(MATCH($C145,StackableKinds,0)), TRUE, "")</f>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IF(ISNUMBER(MATCH($C146,StackableKinds,0)), TRUE, "")</f>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IF(ISNUMBER(MATCH($C147,StackableKinds,0)), TRUE, "")</f>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IF(ISNUMBER(MATCH($C148,StackableKinds,0)), TRUE, "")</f>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IF(ISNUMBER(MATCH($C149,StackableKinds,0)), TRUE, "")</f>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IF(ISNUMBER(MATCH($C150,StackableKinds,0)), TRUE, "")</f>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IF(ISNUMBER(MATCH($C151,StackableKinds,0)), TRUE, "")</f>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IF(ISNUMBER(MATCH($C152,StackableKinds,0)), TRUE, "")</f>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IF(ISNUMBER(MATCH($C153,StackableKinds,0)), TRUE, "")</f>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IF(ISNUMBER(MATCH($C154,StackableKinds,0)), TRUE, "")</f>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IF(ISNUMBER(MATCH($C155,StackableKinds,0)), TRUE, "")</f>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IF(ISNUMBER(MATCH($C156,StackableKinds,0)), TRUE, "")</f>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IF(ISNUMBER(MATCH($C157,StackableKinds,0)), TRUE, "")</f>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IF(ISNUMBER(MATCH($C158,StackableKinds,0)), TRUE, "")</f>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IF(ISNUMBER(MATCH($C159,StackableKinds,0)), TRUE, "")</f>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IF(ISNUMBER(MATCH($C160,StackableKinds,0)), TRUE, "")</f>
        <v/>
      </c>
      <c r="Q160" s="7" t="b">
        <v>1</v>
      </c>
    </row>
    <row r="161" spans="1:17" x14ac:dyDescent="0.2">
      <c r="A161" s="19" t="str">
        <f>_xlfn.IFNA(VLOOKUP($B161,Keys!$A:$B,2,FALSE),_xlfn.IFNA(VLOOKUP($B161,Keys!$D:$E,2,FALSE),VLOOKUP($B161,Keys!$G:$H,2,FALSE)))</f>
        <v>0x000000220BE13D99</v>
      </c>
      <c r="B161" s="5" t="s">
        <v>1174</v>
      </c>
      <c r="C161" s="5" t="s">
        <v>4</v>
      </c>
      <c r="D161" s="5" t="s">
        <v>16858</v>
      </c>
      <c r="E161" s="5"/>
      <c r="F161" s="5" t="s">
        <v>9412</v>
      </c>
      <c r="H161" s="5" t="s">
        <v>10741</v>
      </c>
      <c r="I161" s="1"/>
      <c r="J161" s="2"/>
      <c r="K161" s="5" t="s">
        <v>10744</v>
      </c>
      <c r="L161" s="1"/>
      <c r="M161" s="18"/>
      <c r="N161" s="5" t="s">
        <v>9414</v>
      </c>
      <c r="O161" s="5" t="s">
        <v>9415</v>
      </c>
      <c r="P161" s="21" t="str">
        <f>IF(ISNUMBER(MATCH($C161,StackableKinds,0)), TRUE, "")</f>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IF(ISNUMBER(MATCH($C162,StackableKinds,0)), TRUE, "")</f>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IF(ISNUMBER(MATCH($C163,StackableKinds,0)), TRUE, "")</f>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IF(ISNUMBER(MATCH($C164,StackableKinds,0)), TRUE, "")</f>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IF(ISNUMBER(MATCH($C165,StackableKinds,0)), TRUE, "")</f>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IF(ISNUMBER(MATCH($C166,StackableKinds,0)), TRUE, "")</f>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IF(ISNUMBER(MATCH($C167,StackableKinds,0)), TRUE, "")</f>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IF(ISNUMBER(MATCH($C168,StackableKinds,0)), TRUE, "")</f>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IF(ISNUMBER(MATCH($C169,StackableKinds,0)), TRUE, "")</f>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IF(ISNUMBER(MATCH($C170,StackableKinds,0)), TRUE, "")</f>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IF(ISNUMBER(MATCH($C171,StackableKinds,0)), TRUE, "")</f>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IF(ISNUMBER(MATCH($C172,StackableKinds,0)), TRUE, "")</f>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IF(ISNUMBER(MATCH($C173,StackableKinds,0)), TRUE, "")</f>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IF(ISNUMBER(MATCH($C174,StackableKinds,0)), TRUE, "")</f>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IF(ISNUMBER(MATCH($C175,StackableKinds,0)), TRUE, "")</f>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IF(ISNUMBER(MATCH($C176,StackableKinds,0)), TRUE, "")</f>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IF(ISNUMBER(MATCH($C177,StackableKinds,0)), TRUE, "")</f>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IF(ISNUMBER(MATCH($C178,StackableKinds,0)), TRUE, "")</f>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IF(ISNUMBER(MATCH($C179,StackableKinds,0)), TRUE, "")</f>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IF(ISNUMBER(MATCH($C180,StackableKinds,0)), TRUE, "")</f>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IF(ISNUMBER(MATCH($C181,StackableKinds,0)), TRUE, "")</f>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IF(ISNUMBER(MATCH($C182,StackableKinds,0)), TRUE, "")</f>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IF(ISNUMBER(MATCH($C183,StackableKinds,0)), TRUE, "")</f>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IF(ISNUMBER(MATCH($C184,StackableKinds,0)), TRUE, "")</f>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IF(ISNUMBER(MATCH($C185,StackableKinds,0)), TRUE, "")</f>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IF(ISNUMBER(MATCH($C186,StackableKinds,0)), TRUE, "")</f>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IF(ISNUMBER(MATCH($C187,StackableKinds,0)), TRUE, "")</f>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IF(ISNUMBER(MATCH($C188,StackableKinds,0)), TRUE, "")</f>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IF(ISNUMBER(MATCH($C189,StackableKinds,0)), TRUE, "")</f>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IF(ISNUMBER(MATCH($C190,StackableKinds,0)), TRUE, "")</f>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IF(ISNUMBER(MATCH($C191,StackableKinds,0)), TRUE, "")</f>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IF(ISNUMBER(MATCH($C192,StackableKinds,0)), TRUE, "")</f>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IF(ISNUMBER(MATCH($C193,StackableKinds,0)), TRUE, "")</f>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IF(ISNUMBER(MATCH($C194,StackableKinds,0)), TRUE, "")</f>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IF(ISNUMBER(MATCH($C195,StackableKinds,0)), TRUE, "")</f>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IF(ISNUMBER(MATCH($C196,StackableKinds,0)), TRUE, "")</f>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IF(ISNUMBER(MATCH($C197,StackableKinds,0)), TRUE, "")</f>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IF(ISNUMBER(MATCH($C199,StackableKinds,0)), TRUE, "")</f>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IF(ISNUMBER(MATCH($C200,StackableKinds,0)), TRUE, "")</f>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IF(ISNUMBER(MATCH($C201,StackableKinds,0)), TRUE, "")</f>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IF(ISNUMBER(MATCH($C202,StackableKinds,0)), TRUE, "")</f>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IF(ISNUMBER(MATCH($C203,StackableKinds,0)), TRUE, "")</f>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IF(ISNUMBER(MATCH($C204,StackableKinds,0)), TRUE, "")</f>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IF(ISNUMBER(MATCH($C205,StackableKinds,0)), TRUE, "")</f>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IF(ISNUMBER(MATCH($C206,StackableKinds,0)), TRUE, "")</f>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IF(ISNUMBER(MATCH($C207,StackableKinds,0)), TRUE, "")</f>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IF(ISNUMBER(MATCH($C208,StackableKinds,0)), TRUE, "")</f>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IF(ISNUMBER(MATCH($C209,StackableKinds,0)), TRUE, "")</f>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IF(ISNUMBER(MATCH($C210,StackableKinds,0)), TRUE, "")</f>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IF(ISNUMBER(MATCH($C211,StackableKinds,0)), TRUE, "")</f>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IF(ISNUMBER(MATCH($C212,StackableKinds,0)), TRUE, "")</f>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IF(ISNUMBER(MATCH($C213,StackableKinds,0)), TRUE, "")</f>
        <v/>
      </c>
      <c r="Q213" s="7" t="b">
        <v>1</v>
      </c>
    </row>
    <row r="214" spans="1:17" x14ac:dyDescent="0.2">
      <c r="A214" s="19" t="str">
        <f>_xlfn.IFNA(VLOOKUP($B214,Keys!$A:$B,2,FALSE),_xlfn.IFNA(VLOOKUP($B214,Keys!$D:$E,2,FALSE),VLOOKUP($B214,Keys!$G:$H,2,FALSE)))</f>
        <v>0x000000230AE8FADC</v>
      </c>
      <c r="B214" s="5" t="s">
        <v>1172</v>
      </c>
      <c r="C214" s="5" t="s">
        <v>4</v>
      </c>
      <c r="D214" s="5" t="s">
        <v>16858</v>
      </c>
      <c r="E214" s="5"/>
      <c r="F214" s="5" t="s">
        <v>9249</v>
      </c>
      <c r="H214" s="5" t="s">
        <v>10741</v>
      </c>
      <c r="I214" s="1"/>
      <c r="J214" s="2"/>
      <c r="K214" s="5" t="s">
        <v>10743</v>
      </c>
      <c r="L214" s="1"/>
      <c r="M214" s="18"/>
      <c r="N214" s="5" t="s">
        <v>9251</v>
      </c>
      <c r="O214" s="5" t="s">
        <v>9252</v>
      </c>
      <c r="P214" s="21" t="str">
        <f>IF(ISNUMBER(MATCH($C214,StackableKinds,0)), TRUE, "")</f>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IF(ISNUMBER(MATCH($C215,StackableKinds,0)), TRUE, "")</f>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IF(ISNUMBER(MATCH($C216,StackableKinds,0)), TRUE, "")</f>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IF(ISNUMBER(MATCH($C217,StackableKinds,0)), TRUE, "")</f>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IF(ISNUMBER(MATCH($C218,StackableKinds,0)), TRUE, "")</f>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IF(ISNUMBER(MATCH($C219,StackableKinds,0)), TRUE, "")</f>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IF(ISNUMBER(MATCH($C220,StackableKinds,0)), TRUE, "")</f>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IF(ISNUMBER(MATCH($C221,StackableKinds,0)), TRUE, "")</f>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IF(ISNUMBER(MATCH($C222,StackableKinds,0)), TRUE, "")</f>
        <v/>
      </c>
      <c r="Q222" s="7" t="b">
        <v>1</v>
      </c>
    </row>
    <row r="223" spans="1:17" x14ac:dyDescent="0.2">
      <c r="A223" s="19" t="str">
        <f>_xlfn.IFNA(VLOOKUP($B223,Keys!$A:$B,2,FALSE),_xlfn.IFNA(VLOOKUP($B223,Keys!$D:$E,2,FALSE),VLOOKUP($B223,Keys!$G:$H,2,FALSE)))</f>
        <v>0x0000001935EA295F</v>
      </c>
      <c r="B223" s="5" t="s">
        <v>5465</v>
      </c>
      <c r="C223" s="5" t="s">
        <v>4</v>
      </c>
      <c r="D223" s="5" t="s">
        <v>16858</v>
      </c>
      <c r="E223" s="5"/>
      <c r="F223" s="5" t="s">
        <v>9073</v>
      </c>
      <c r="H223" s="5" t="s">
        <v>10783</v>
      </c>
      <c r="I223" s="1"/>
      <c r="J223" s="2"/>
      <c r="K223" s="5" t="s">
        <v>10789</v>
      </c>
      <c r="L223" s="1"/>
      <c r="M223" s="18"/>
      <c r="N223" s="5" t="s">
        <v>9073</v>
      </c>
      <c r="O223" s="5" t="s">
        <v>9075</v>
      </c>
      <c r="P223" s="21" t="str">
        <f>IF(ISNUMBER(MATCH($C223,StackableKinds,0)), TRUE, "")</f>
        <v/>
      </c>
      <c r="Q223" s="7" t="b">
        <v>1</v>
      </c>
    </row>
    <row r="224" spans="1:17" x14ac:dyDescent="0.2">
      <c r="A224" s="19" t="str">
        <f>_xlfn.IFNA(VLOOKUP($B224,Keys!$A:$B,2,FALSE),_xlfn.IFNA(VLOOKUP($B224,Keys!$D:$E,2,FALSE),VLOOKUP($B224,Keys!$G:$H,2,FALSE)))</f>
        <v>0x00000017A12224FF</v>
      </c>
      <c r="B224" s="5" t="s">
        <v>5461</v>
      </c>
      <c r="C224" s="5" t="s">
        <v>4</v>
      </c>
      <c r="D224" s="5" t="s">
        <v>16858</v>
      </c>
      <c r="E224" s="5"/>
      <c r="F224" s="5" t="s">
        <v>9012</v>
      </c>
      <c r="H224" s="5" t="s">
        <v>10783</v>
      </c>
      <c r="I224" s="1"/>
      <c r="J224" s="2"/>
      <c r="K224" s="5" t="s">
        <v>10784</v>
      </c>
      <c r="L224" s="1"/>
      <c r="M224" s="18"/>
      <c r="N224" s="5" t="s">
        <v>9012</v>
      </c>
      <c r="O224" s="5" t="s">
        <v>9014</v>
      </c>
      <c r="P224" s="21" t="str">
        <f>IF(ISNUMBER(MATCH($C224,StackableKinds,0)), TRUE, "")</f>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IF(ISNUMBER(MATCH($C225,StackableKinds,0)), TRUE, "")</f>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IF(ISNUMBER(MATCH($C226,StackableKinds,0)), TRUE, "")</f>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IF(ISNUMBER(MATCH($C227,StackableKinds,0)), TRUE, "")</f>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IF(ISNUMBER(MATCH($C228,StackableKinds,0)), TRUE, "")</f>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IF(ISNUMBER(MATCH($C229,StackableKinds,0)), TRUE, "")</f>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IF(ISNUMBER(MATCH($C230,StackableKinds,0)), TRUE, "")</f>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IF(ISNUMBER(MATCH($C231,StackableKinds,0)), TRUE, "")</f>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IF(ISNUMBER(MATCH($C232,StackableKinds,0)), TRUE, "")</f>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IF(ISNUMBER(MATCH($C233,StackableKinds,0)), TRUE, "")</f>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IF(ISNUMBER(MATCH($C234,StackableKinds,0)), TRUE, "")</f>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IF(ISNUMBER(MATCH($C235,StackableKinds,0)), TRUE, "")</f>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IF(ISNUMBER(MATCH($C236,StackableKinds,0)), TRUE, "")</f>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IF(ISNUMBER(MATCH($C237,StackableKinds,0)), TRUE, "")</f>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IF(ISNUMBER(MATCH($C238,StackableKinds,0)), TRUE, "")</f>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IF(ISNUMBER(MATCH($C239,StackableKinds,0)), TRUE, "")</f>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IF(ISNUMBER(MATCH($C240,StackableKinds,0)), TRUE, "")</f>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IF(ISNUMBER(MATCH($C241,StackableKinds,0)), TRUE, "")</f>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IF(ISNUMBER(MATCH($C242,StackableKinds,0)), TRUE, "")</f>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IF(ISNUMBER(MATCH($C243,StackableKinds,0)), TRUE, "")</f>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IF(ISNUMBER(MATCH($C244,StackableKinds,0)), TRUE, "")</f>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IF(ISNUMBER(MATCH($C245,StackableKinds,0)), TRUE, "")</f>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IF(ISNUMBER(MATCH($C246,StackableKinds,0)), TRUE, "")</f>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IF(ISNUMBER(MATCH($C247,StackableKinds,0)), TRUE, "")</f>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IF(ISNUMBER(MATCH($C248,StackableKinds,0)), TRUE, "")</f>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IF(ISNUMBER(MATCH($C249,StackableKinds,0)), TRUE, "")</f>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IF(ISNUMBER(MATCH($C250,StackableKinds,0)), TRUE, "")</f>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IF(ISNUMBER(MATCH($C251,StackableKinds,0)), TRUE, "")</f>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IF(ISNUMBER(MATCH($C252,StackableKinds,0)), TRUE, "")</f>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IF(ISNUMBER(MATCH($C253,StackableKinds,0)), TRUE, "")</f>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IF(ISNUMBER(MATCH($C254,StackableKinds,0)), TRUE, "")</f>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IF(ISNUMBER(MATCH($C255,StackableKinds,0)), TRUE, "")</f>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IF(ISNUMBER(MATCH($C256,StackableKinds,0)), TRUE, "")</f>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IF(ISNUMBER(MATCH($C257,StackableKinds,0)), TRUE, "")</f>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IF(ISNUMBER(MATCH($C258,StackableKinds,0)), TRUE, "")</f>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IF(ISNUMBER(MATCH($C259,StackableKinds,0)), TRUE, "")</f>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IF(ISNUMBER(MATCH($C260,StackableKinds,0)), TRUE, "")</f>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IF(ISNUMBER(MATCH($C261,StackableKinds,0)), TRUE, "")</f>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16858</v>
      </c>
      <c r="E263" s="5"/>
      <c r="F263" s="5" t="s">
        <v>9249</v>
      </c>
      <c r="H263" s="5" t="s">
        <v>10765</v>
      </c>
      <c r="I263" s="1"/>
      <c r="J263" s="2"/>
      <c r="K263" s="5" t="s">
        <v>10767</v>
      </c>
      <c r="L263" s="1"/>
      <c r="M263" s="18"/>
      <c r="N263" s="5" t="s">
        <v>9251</v>
      </c>
      <c r="O263" s="5" t="s">
        <v>9252</v>
      </c>
      <c r="P263" s="21" t="str">
        <f>IF(ISNUMBER(MATCH($C263,StackableKinds,0)), TRUE, "")</f>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IF(ISNUMBER(MATCH($C264,StackableKinds,0)), TRUE, "")</f>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IF(ISNUMBER(MATCH($C265,StackableKinds,0)), TRUE, "")</f>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IF(ISNUMBER(MATCH($C266,StackableKinds,0)), TRUE, "")</f>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IF(ISNUMBER(MATCH($C267,StackableKinds,0)), TRUE, "")</f>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IF(ISNUMBER(MATCH($C268,StackableKinds,0)), TRUE, "")</f>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IF(ISNUMBER(MATCH($C269,StackableKinds,0)), TRUE, "")</f>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IF(ISNUMBER(MATCH($C270,StackableKinds,0)), TRUE, "")</f>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IF(ISNUMBER(MATCH($C271,StackableKinds,0)), TRUE, "")</f>
        <v/>
      </c>
      <c r="Q271" s="7" t="b">
        <v>1</v>
      </c>
    </row>
    <row r="272" spans="1:17" x14ac:dyDescent="0.2">
      <c r="A272" s="19" t="str">
        <f>_xlfn.IFNA(VLOOKUP($B272,Keys!$A:$B,2,FALSE),_xlfn.IFNA(VLOOKUP($B272,Keys!$D:$E,2,FALSE),VLOOKUP($B272,Keys!$G:$H,2,FALSE)))</f>
        <v>0x0000001CE72CA3FB</v>
      </c>
      <c r="B272" s="5" t="s">
        <v>2998</v>
      </c>
      <c r="C272" s="5" t="s">
        <v>4</v>
      </c>
      <c r="D272" s="5" t="s">
        <v>16858</v>
      </c>
      <c r="E272" s="5"/>
      <c r="F272" s="5" t="s">
        <v>9070</v>
      </c>
      <c r="H272" s="5" t="s">
        <v>10760</v>
      </c>
      <c r="I272" s="1"/>
      <c r="J272" s="2"/>
      <c r="K272" s="5" t="s">
        <v>10763</v>
      </c>
      <c r="L272" s="1"/>
      <c r="M272" s="18"/>
      <c r="N272" s="5" t="s">
        <v>9070</v>
      </c>
      <c r="O272" s="5" t="s">
        <v>9396</v>
      </c>
      <c r="P272" s="21" t="str">
        <f>IF(ISNUMBER(MATCH($C272,StackableKinds,0)), TRUE, "")</f>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IF(ISNUMBER(MATCH($C273,StackableKinds,0)), TRUE, "")</f>
        <v/>
      </c>
      <c r="Q273" s="7" t="b">
        <v>1</v>
      </c>
    </row>
    <row r="274" spans="1:17" x14ac:dyDescent="0.2">
      <c r="A274" s="19" t="str">
        <f>_xlfn.IFNA(VLOOKUP($B274,Keys!$A:$B,2,FALSE),_xlfn.IFNA(VLOOKUP($B274,Keys!$D:$E,2,FALSE),VLOOKUP($B274,Keys!$G:$H,2,FALSE)))</f>
        <v>0x00000018A5DF265A</v>
      </c>
      <c r="B274" s="5" t="s">
        <v>3006</v>
      </c>
      <c r="C274" s="5" t="s">
        <v>4</v>
      </c>
      <c r="D274" s="5" t="s">
        <v>16858</v>
      </c>
      <c r="E274" s="5"/>
      <c r="F274" s="5" t="s">
        <v>9073</v>
      </c>
      <c r="H274" s="5" t="s">
        <v>10765</v>
      </c>
      <c r="I274" s="1"/>
      <c r="J274" s="2"/>
      <c r="K274" s="5" t="s">
        <v>10770</v>
      </c>
      <c r="L274" s="1"/>
      <c r="M274" s="18"/>
      <c r="N274" s="5" t="s">
        <v>9073</v>
      </c>
      <c r="O274" s="5" t="s">
        <v>9075</v>
      </c>
      <c r="P274" s="21" t="str">
        <f>IF(ISNUMBER(MATCH($C274,StackableKinds,0)), TRUE, "")</f>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IF(ISNUMBER(MATCH($C275,StackableKinds,0)), TRUE, "")</f>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IF(ISNUMBER(MATCH($C276,StackableKinds,0)), TRUE, "")</f>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IF(ISNUMBER(MATCH($C277,StackableKinds,0)), TRUE, "")</f>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IF(ISNUMBER(MATCH($C278,StackableKinds,0)), TRUE, "")</f>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IF(ISNUMBER(MATCH($C279,StackableKinds,0)), TRUE, "")</f>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IF(ISNUMBER(MATCH($C280,StackableKinds,0)), TRUE, "")</f>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IF(ISNUMBER(MATCH($C281,StackableKinds,0)), TRUE, "")</f>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IF(ISNUMBER(MATCH($C282,StackableKinds,0)), TRUE, "")</f>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IF(ISNUMBER(MATCH($C283,StackableKinds,0)), TRUE, "")</f>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IF(ISNUMBER(MATCH($C284,StackableKinds,0)), TRUE, "")</f>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IF(ISNUMBER(MATCH($C285,StackableKinds,0)), TRUE, "")</f>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IF(ISNUMBER(MATCH($C286,StackableKinds,0)), TRUE, "")</f>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IF(ISNUMBER(MATCH($C287,StackableKinds,0)), TRUE, "")</f>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IF(ISNUMBER(MATCH($C288,StackableKinds,0)), TRUE, "")</f>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IF(ISNUMBER(MATCH($C289,StackableKinds,0)), TRUE, "")</f>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IF(ISNUMBER(MATCH($C290,StackableKinds,0)), TRUE, "")</f>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IF(ISNUMBER(MATCH($C291,StackableKinds,0)), TRUE, "")</f>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IF(ISNUMBER(MATCH($C292,StackableKinds,0)), TRUE, "")</f>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IF(ISNUMBER(MATCH($C293,StackableKinds,0)), TRUE, "")</f>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IF(ISNUMBER(MATCH($C294,StackableKinds,0)), TRUE, "")</f>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IF(ISNUMBER(MATCH($C295,StackableKinds,0)), TRUE, "")</f>
        <v/>
      </c>
      <c r="Q295" s="7" t="b">
        <v>1</v>
      </c>
    </row>
    <row r="296" spans="1:17" x14ac:dyDescent="0.2">
      <c r="A296" s="19" t="str">
        <f>_xlfn.IFNA(VLOOKUP($B296,Keys!$A:$B,2,FALSE),_xlfn.IFNA(VLOOKUP($B296,Keys!$D:$E,2,FALSE),VLOOKUP($B296,Keys!$G:$H,2,FALSE)))</f>
        <v>0x0000001C8573C7D7</v>
      </c>
      <c r="B296" s="5" t="s">
        <v>4877</v>
      </c>
      <c r="C296" s="5" t="s">
        <v>4</v>
      </c>
      <c r="D296" s="5" t="s">
        <v>16858</v>
      </c>
      <c r="E296" s="5"/>
      <c r="F296" s="5" t="s">
        <v>9070</v>
      </c>
      <c r="H296" s="5" t="s">
        <v>10771</v>
      </c>
      <c r="I296" s="1"/>
      <c r="J296" s="2"/>
      <c r="K296" s="5" t="s">
        <v>10775</v>
      </c>
      <c r="L296" s="1"/>
      <c r="M296" s="18"/>
      <c r="N296" s="5" t="s">
        <v>9070</v>
      </c>
      <c r="O296" s="5" t="s">
        <v>9396</v>
      </c>
      <c r="P296" s="21" t="str">
        <f>IF(ISNUMBER(MATCH($C296,StackableKinds,0)), TRUE, "")</f>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IF(ISNUMBER(MATCH($C297,StackableKinds,0)), TRUE, "")</f>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IF(ISNUMBER(MATCH($C298,StackableKinds,0)), TRUE, "")</f>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IF(ISNUMBER(MATCH($C299,StackableKinds,0)), TRUE, "")</f>
        <v/>
      </c>
      <c r="Q299" s="7" t="b">
        <v>1</v>
      </c>
    </row>
    <row r="300" spans="1:17" x14ac:dyDescent="0.2">
      <c r="A300" s="19" t="str">
        <f>_xlfn.IFNA(VLOOKUP($B300,Keys!$A:$B,2,FALSE),_xlfn.IFNA(VLOOKUP($B300,Keys!$D:$E,2,FALSE),VLOOKUP($B300,Keys!$G:$H,2,FALSE)))</f>
        <v>0x0000001E4A8E4030</v>
      </c>
      <c r="B300" s="5" t="s">
        <v>1460</v>
      </c>
      <c r="C300" s="5" t="s">
        <v>4</v>
      </c>
      <c r="D300" s="5" t="s">
        <v>16858</v>
      </c>
      <c r="E300" s="5"/>
      <c r="F300" s="5" t="s">
        <v>9073</v>
      </c>
      <c r="H300" s="5" t="s">
        <v>10747</v>
      </c>
      <c r="I300" s="1"/>
      <c r="J300" s="2"/>
      <c r="K300" s="5" t="s">
        <v>10752</v>
      </c>
      <c r="L300" s="1"/>
      <c r="M300" s="18"/>
      <c r="N300" s="5" t="s">
        <v>9073</v>
      </c>
      <c r="O300" s="5" t="s">
        <v>9075</v>
      </c>
      <c r="P300" s="21" t="str">
        <f>IF(ISNUMBER(MATCH($C300,StackableKinds,0)), TRUE, "")</f>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IF(ISNUMBER(MATCH($C301,StackableKinds,0)), TRUE, "")</f>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IF(ISNUMBER(MATCH($C302,StackableKinds,0)), TRUE, "")</f>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IF(ISNUMBER(MATCH($C303,StackableKinds,0)), TRUE, "")</f>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IF(ISNUMBER(MATCH($C304,StackableKinds,0)), TRUE, "")</f>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IF(ISNUMBER(MATCH($C305,StackableKinds,0)), TRUE, "")</f>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IF(ISNUMBER(MATCH($C306,StackableKinds,0)), TRUE, "")</f>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IF(ISNUMBER(MATCH($C307,StackableKinds,0)), TRUE, "")</f>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IF(ISNUMBER(MATCH($C308,StackableKinds,0)), TRUE, "")</f>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IF(ISNUMBER(MATCH($C309,StackableKinds,0)), TRUE, "")</f>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IF(ISNUMBER(MATCH($C310,StackableKinds,0)), TRUE, "")</f>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IF(ISNUMBER(MATCH($C311,StackableKinds,0)), TRUE, "")</f>
        <v/>
      </c>
      <c r="Q311" s="7" t="b">
        <v>1</v>
      </c>
    </row>
    <row r="312" spans="1:17" x14ac:dyDescent="0.2">
      <c r="A312" s="19" t="str">
        <f>_xlfn.IFNA(VLOOKUP($B312,Keys!$A:$B,2,FALSE),_xlfn.IFNA(VLOOKUP($B312,Keys!$D:$E,2,FALSE),VLOOKUP($B312,Keys!$G:$H,2,FALSE)))</f>
        <v>0x00000022948B501E</v>
      </c>
      <c r="B312" s="5" t="s">
        <v>1176</v>
      </c>
      <c r="C312" s="5" t="s">
        <v>4</v>
      </c>
      <c r="D312" s="5" t="s">
        <v>16858</v>
      </c>
      <c r="E312" s="5"/>
      <c r="F312" s="5" t="s">
        <v>9073</v>
      </c>
      <c r="H312" s="5" t="s">
        <v>10741</v>
      </c>
      <c r="I312" s="1"/>
      <c r="J312" s="2"/>
      <c r="K312" s="5" t="s">
        <v>10746</v>
      </c>
      <c r="L312" s="1"/>
      <c r="M312" s="18"/>
      <c r="N312" s="5" t="s">
        <v>9073</v>
      </c>
      <c r="O312" s="5" t="s">
        <v>9075</v>
      </c>
      <c r="P312" s="21" t="str">
        <f>IF(ISNUMBER(MATCH($C312,StackableKinds,0)), TRUE, "")</f>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IF(ISNUMBER(MATCH($C313,StackableKinds,0)), TRUE, "")</f>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IF(ISNUMBER(MATCH($C314,StackableKinds,0)), TRUE, "")</f>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IF(ISNUMBER(MATCH($C315,StackableKinds,0)), TRUE, "")</f>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IF(ISNUMBER(MATCH($C316,StackableKinds,0)), TRUE, "")</f>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IF(ISNUMBER(MATCH($C317,StackableKinds,0)), TRUE, "")</f>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IF(ISNUMBER(MATCH($C318,StackableKinds,0)), TRUE, "")</f>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IF(ISNUMBER(MATCH($C319,StackableKinds,0)), TRUE, "")</f>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IF(ISNUMBER(MATCH($C320,StackableKinds,0)), TRUE, "")</f>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IF(ISNUMBER(MATCH($C321,StackableKinds,0)), TRUE, "")</f>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IF(ISNUMBER(MATCH($C322,StackableKinds,0)), TRUE, "")</f>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IF(ISNUMBER(MATCH($C323,StackableKinds,0)), TRUE, "")</f>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IF(ISNUMBER(MATCH($C324,StackableKinds,0)), TRUE, "")</f>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IF(ISNUMBER(MATCH($C325,StackableKinds,0)), TRUE, "")</f>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IF(ISNUMBER(MATCH($C327,StackableKinds,0)), TRUE, "")</f>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IF(ISNUMBER(MATCH($C328,StackableKinds,0)), TRUE, "")</f>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IF(ISNUMBER(MATCH($C329,StackableKinds,0)), TRUE, "")</f>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IF(ISNUMBER(MATCH($C330,StackableKinds,0)), TRUE, "")</f>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IF(ISNUMBER(MATCH($C331,StackableKinds,0)), TRUE, "")</f>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IF(ISNUMBER(MATCH($C332,StackableKinds,0)), TRUE, "")</f>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IF(ISNUMBER(MATCH($C333,StackableKinds,0)), TRUE, "")</f>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IF(ISNUMBER(MATCH($C334,StackableKinds,0)), TRUE, "")</f>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IF(ISNUMBER(MATCH($C335,StackableKinds,0)), TRUE, "")</f>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IF(ISNUMBER(MATCH($C336,StackableKinds,0)), TRUE, "")</f>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IF(ISNUMBER(MATCH($C337,StackableKinds,0)), TRUE, "")</f>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IF(ISNUMBER(MATCH($C338,StackableKinds,0)), TRUE, "")</f>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IF(ISNUMBER(MATCH($C339,StackableKinds,0)), TRUE, "")</f>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IF(ISNUMBER(MATCH($C340,StackableKinds,0)), TRUE, "")</f>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IF(ISNUMBER(MATCH($C341,StackableKinds,0)), TRUE, "")</f>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IF(ISNUMBER(MATCH($C342,StackableKinds,0)), TRUE, "")</f>
        <v/>
      </c>
      <c r="Q342" s="7" t="b">
        <v>1</v>
      </c>
    </row>
    <row r="343" spans="1:17" x14ac:dyDescent="0.2">
      <c r="A343" s="19" t="str">
        <f>_xlfn.IFNA(VLOOKUP($B343,Keys!$A:$B,2,FALSE),_xlfn.IFNA(VLOOKUP($B343,Keys!$D:$E,2,FALSE),VLOOKUP($B343,Keys!$G:$H,2,FALSE)))</f>
        <v>0x000000176FEC3BCF</v>
      </c>
      <c r="B343" s="5" t="s">
        <v>1682</v>
      </c>
      <c r="C343" s="5" t="s">
        <v>4</v>
      </c>
      <c r="D343" s="5" t="s">
        <v>16860</v>
      </c>
      <c r="E343" s="5"/>
      <c r="F343" s="5" t="s">
        <v>9412</v>
      </c>
      <c r="G343" s="5" t="s">
        <v>8971</v>
      </c>
      <c r="H343" s="5" t="s">
        <v>9540</v>
      </c>
      <c r="I343" s="1"/>
      <c r="J343" s="2"/>
      <c r="K343" s="5" t="s">
        <v>9543</v>
      </c>
      <c r="M343" s="20" t="s">
        <v>11161</v>
      </c>
      <c r="N343" s="5" t="s">
        <v>9414</v>
      </c>
      <c r="O343" s="5" t="s">
        <v>9415</v>
      </c>
      <c r="P343" s="21" t="str">
        <f>IF(ISNUMBER(MATCH($C343,StackableKinds,0)), TRUE, "")</f>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IF(ISNUMBER(MATCH($C344,StackableKinds,0)), TRUE, "")</f>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IF(ISNUMBER(MATCH($C345,StackableKinds,0)), TRUE, "")</f>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IF(ISNUMBER(MATCH($C346,StackableKinds,0)), TRUE, "")</f>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IF(ISNUMBER(MATCH($C347,StackableKinds,0)), TRUE, "")</f>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IF(ISNUMBER(MATCH($C348,StackableKinds,0)), TRUE, "")</f>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IF(ISNUMBER(MATCH($C349,StackableKinds,0)), TRUE, "")</f>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IF(ISNUMBER(MATCH($C350,StackableKinds,0)), TRUE, "")</f>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IF(ISNUMBER(MATCH($C351,StackableKinds,0)), TRUE, "")</f>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IF(ISNUMBER(MATCH($C352,StackableKinds,0)), TRUE, "")</f>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IF(ISNUMBER(MATCH($C353,StackableKinds,0)), TRUE, "")</f>
        <v/>
      </c>
      <c r="Q353" s="7" t="b">
        <v>1</v>
      </c>
    </row>
    <row r="354" spans="1:17" x14ac:dyDescent="0.2">
      <c r="A354" s="19" t="str">
        <f>_xlfn.IFNA(VLOOKUP($B354,Keys!$A:$B,2,FALSE),_xlfn.IFNA(VLOOKUP($B354,Keys!$D:$E,2,FALSE),VLOOKUP($B354,Keys!$G:$H,2,FALSE)))</f>
        <v>0x00000017ED8E0E0B</v>
      </c>
      <c r="B354" s="5" t="s">
        <v>5199</v>
      </c>
      <c r="C354" s="5" t="s">
        <v>4</v>
      </c>
      <c r="D354" s="5" t="s">
        <v>16858</v>
      </c>
      <c r="E354" s="5"/>
      <c r="F354" s="5" t="s">
        <v>9073</v>
      </c>
      <c r="H354" s="5" t="s">
        <v>10777</v>
      </c>
      <c r="I354" s="1"/>
      <c r="J354" s="2"/>
      <c r="K354" s="5" t="s">
        <v>10782</v>
      </c>
      <c r="L354" s="1"/>
      <c r="M354" s="18"/>
      <c r="N354" s="5" t="s">
        <v>9073</v>
      </c>
      <c r="O354" s="5" t="s">
        <v>9075</v>
      </c>
      <c r="P354" s="21" t="str">
        <f>IF(ISNUMBER(MATCH($C354,StackableKinds,0)), TRUE, "")</f>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IF(ISNUMBER(MATCH($C355,StackableKinds,0)), TRUE, "")</f>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IF(ISNUMBER(MATCH($C356,StackableKinds,0)), TRUE, "")</f>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IF(ISNUMBER(MATCH($C357,StackableKinds,0)), TRUE, "")</f>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IF(ISNUMBER(MATCH($C358,StackableKinds,0)), TRUE, "")</f>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IF(ISNUMBER(MATCH($C359,StackableKinds,0)), TRUE, "")</f>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IF(ISNUMBER(MATCH($C360,StackableKinds,0)), TRUE, "")</f>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IF(ISNUMBER(MATCH($C361,StackableKinds,0)), TRUE, "")</f>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IF(ISNUMBER(MATCH($C362,StackableKinds,0)), TRUE, "")</f>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IF(ISNUMBER(MATCH($C363,StackableKinds,0)), TRUE, "")</f>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IF(ISNUMBER(MATCH($C364,StackableKinds,0)), TRUE, "")</f>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IF(ISNUMBER(MATCH($C365,StackableKinds,0)), TRUE, "")</f>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IF(ISNUMBER(MATCH($C366,StackableKinds,0)), TRUE, "")</f>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IF(ISNUMBER(MATCH($C367,StackableKinds,0)), TRUE, "")</f>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IF(ISNUMBER(MATCH($C368,StackableKinds,0)), TRUE, "")</f>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IF(ISNUMBER(MATCH($C369,StackableKinds,0)), TRUE, "")</f>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IF(ISNUMBER(MATCH($C370,StackableKinds,0)), TRUE, "")</f>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IF(ISNUMBER(MATCH($C371,StackableKinds,0)), TRUE, "")</f>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IF(ISNUMBER(MATCH($C372,StackableKinds,0)), TRUE, "")</f>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IF(ISNUMBER(MATCH($C373,StackableKinds,0)), TRUE, "")</f>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IF(ISNUMBER(MATCH($C374,StackableKinds,0)), TRUE, "")</f>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IF(ISNUMBER(MATCH($C375,StackableKinds,0)), TRUE, "")</f>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IF(ISNUMBER(MATCH($C376,StackableKinds,0)), TRUE, "")</f>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IF(ISNUMBER(MATCH($C377,StackableKinds,0)), TRUE, "")</f>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IF(ISNUMBER(MATCH($C378,StackableKinds,0)), TRUE, "")</f>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IF(ISNUMBER(MATCH($C379,StackableKinds,0)), TRUE, "")</f>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IF(ISNUMBER(MATCH($C380,StackableKinds,0)), TRUE, "")</f>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IF(ISNUMBER(MATCH($C381,StackableKinds,0)), TRUE, "")</f>
        <v/>
      </c>
      <c r="Q381" s="7" t="b">
        <v>1</v>
      </c>
    </row>
    <row r="382" spans="1:17" x14ac:dyDescent="0.2">
      <c r="A382" s="19" t="str">
        <f>_xlfn.IFNA(VLOOKUP($B382,Keys!$A:$B,2,FALSE),_xlfn.IFNA(VLOOKUP($B382,Keys!$D:$E,2,FALSE),VLOOKUP($B382,Keys!$G:$H,2,FALSE)))</f>
        <v>0x0000001C8F9FDF86</v>
      </c>
      <c r="B382" s="5" t="s">
        <v>3000</v>
      </c>
      <c r="C382" s="5" t="s">
        <v>4</v>
      </c>
      <c r="D382" s="5" t="s">
        <v>16858</v>
      </c>
      <c r="E382" s="5"/>
      <c r="F382" s="5" t="s">
        <v>9073</v>
      </c>
      <c r="H382" s="5" t="s">
        <v>10760</v>
      </c>
      <c r="I382" s="1"/>
      <c r="J382" s="2"/>
      <c r="K382" s="5" t="s">
        <v>10764</v>
      </c>
      <c r="L382" s="1"/>
      <c r="M382" s="18"/>
      <c r="N382" s="5" t="s">
        <v>9073</v>
      </c>
      <c r="O382" s="5" t="s">
        <v>9075</v>
      </c>
      <c r="P382" s="21" t="str">
        <f>IF(ISNUMBER(MATCH($C382,StackableKinds,0)), TRUE, "")</f>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IF(ISNUMBER(MATCH($C383,StackableKinds,0)), TRUE, "")</f>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IF(ISNUMBER(MATCH($C384,StackableKinds,0)), TRUE, "")</f>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IF(ISNUMBER(MATCH($C385,StackableKinds,0)), TRUE, "")</f>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IF(ISNUMBER(MATCH($C386,StackableKinds,0)), TRUE, "")</f>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IF(ISNUMBER(MATCH($C387,StackableKinds,0)), TRUE, "")</f>
        <v/>
      </c>
      <c r="Q387" s="7" t="b">
        <v>1</v>
      </c>
    </row>
    <row r="388" spans="1:17" x14ac:dyDescent="0.2">
      <c r="A388" s="19" t="str">
        <f>_xlfn.IFNA(VLOOKUP($B388,Keys!$A:$B,2,FALSE),_xlfn.IFNA(VLOOKUP($B388,Keys!$D:$E,2,FALSE),VLOOKUP($B388,Keys!$G:$H,2,FALSE)))</f>
        <v>0x0000001979966375</v>
      </c>
      <c r="B388" s="5" t="s">
        <v>1466</v>
      </c>
      <c r="C388" s="5" t="s">
        <v>4</v>
      </c>
      <c r="D388" s="5" t="s">
        <v>16858</v>
      </c>
      <c r="E388" s="5"/>
      <c r="F388" s="5" t="s">
        <v>9412</v>
      </c>
      <c r="H388" s="5" t="s">
        <v>10747</v>
      </c>
      <c r="I388" s="1"/>
      <c r="J388" s="2"/>
      <c r="K388" s="5" t="s">
        <v>10750</v>
      </c>
      <c r="L388" s="1"/>
      <c r="M388" s="18"/>
      <c r="N388" s="5" t="s">
        <v>9414</v>
      </c>
      <c r="O388" s="5" t="s">
        <v>9415</v>
      </c>
      <c r="P388" s="21" t="str">
        <f>IF(ISNUMBER(MATCH($C388,StackableKinds,0)), TRUE, "")</f>
        <v/>
      </c>
      <c r="Q388" s="7" t="b">
        <v>1</v>
      </c>
    </row>
    <row r="389" spans="1:17" x14ac:dyDescent="0.2">
      <c r="A389" s="19" t="str">
        <f>_xlfn.IFNA(VLOOKUP($B389,Keys!$A:$B,2,FALSE),_xlfn.IFNA(VLOOKUP($B389,Keys!$D:$E,2,FALSE),VLOOKUP($B389,Keys!$G:$H,2,FALSE)))</f>
        <v>0x0000001F4DB1482D</v>
      </c>
      <c r="B389" s="5" t="s">
        <v>2996</v>
      </c>
      <c r="C389" s="5" t="s">
        <v>4</v>
      </c>
      <c r="D389" s="5" t="s">
        <v>16858</v>
      </c>
      <c r="E389" s="5"/>
      <c r="F389" s="5" t="s">
        <v>9412</v>
      </c>
      <c r="H389" s="5" t="s">
        <v>10760</v>
      </c>
      <c r="I389" s="1"/>
      <c r="J389" s="2"/>
      <c r="K389" s="5" t="s">
        <v>10762</v>
      </c>
      <c r="L389" s="1"/>
      <c r="M389" s="18"/>
      <c r="N389" s="5" t="s">
        <v>9414</v>
      </c>
      <c r="O389" s="5" t="s">
        <v>9415</v>
      </c>
      <c r="P389" s="21" t="str">
        <f>IF(ISNUMBER(MATCH($C389,StackableKinds,0)), TRUE, "")</f>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16858</v>
      </c>
      <c r="E391" s="5"/>
      <c r="F391" s="5" t="s">
        <v>9412</v>
      </c>
      <c r="H391" s="5" t="s">
        <v>10753</v>
      </c>
      <c r="I391" s="1"/>
      <c r="J391" s="2"/>
      <c r="K391" s="5" t="s">
        <v>10757</v>
      </c>
      <c r="L391" s="1"/>
      <c r="M391" s="18"/>
      <c r="N391" s="5" t="s">
        <v>9414</v>
      </c>
      <c r="O391" s="5" t="s">
        <v>9415</v>
      </c>
      <c r="P391" s="21" t="str">
        <f>IF(ISNUMBER(MATCH($C391,StackableKinds,0)), TRUE, "")</f>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IF(ISNUMBER(MATCH($C392,StackableKinds,0)), TRUE, "")</f>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IF(ISNUMBER(MATCH($C393,StackableKinds,0)), TRUE, "")</f>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IF(ISNUMBER(MATCH($C394,StackableKinds,0)), TRUE, "")</f>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IF(ISNUMBER(MATCH($C395,StackableKinds,0)), TRUE, "")</f>
        <v/>
      </c>
      <c r="Q395" s="7" t="b">
        <v>1</v>
      </c>
    </row>
    <row r="396" spans="1:17" x14ac:dyDescent="0.2">
      <c r="A396" s="19" t="str">
        <f>_xlfn.IFNA(VLOOKUP($B396,Keys!$A:$B,2,FALSE),_xlfn.IFNA(VLOOKUP($B396,Keys!$D:$E,2,FALSE),VLOOKUP($B396,Keys!$G:$H,2,FALSE)))</f>
        <v>0x000000178FBE797D</v>
      </c>
      <c r="B396" s="5" t="s">
        <v>1168</v>
      </c>
      <c r="C396" s="5" t="s">
        <v>4</v>
      </c>
      <c r="D396" s="5" t="s">
        <v>16858</v>
      </c>
      <c r="E396" s="5"/>
      <c r="F396" s="5" t="s">
        <v>9249</v>
      </c>
      <c r="H396" s="5" t="s">
        <v>10736</v>
      </c>
      <c r="I396" s="1"/>
      <c r="J396" s="2"/>
      <c r="K396" s="5" t="s">
        <v>10738</v>
      </c>
      <c r="L396" s="1"/>
      <c r="M396" s="18"/>
      <c r="N396" s="5" t="s">
        <v>9251</v>
      </c>
      <c r="O396" s="5" t="s">
        <v>9252</v>
      </c>
      <c r="P396" s="21" t="str">
        <f>IF(ISNUMBER(MATCH($C396,StackableKinds,0)), TRUE, "")</f>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IF(ISNUMBER(MATCH($C397,StackableKinds,0)), TRUE, "")</f>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IF(ISNUMBER(MATCH($C398,StackableKinds,0)), TRUE, "")</f>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IF(ISNUMBER(MATCH($C399,StackableKinds,0)), TRUE, "")</f>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IF(ISNUMBER(MATCH($C400,StackableKinds,0)), TRUE, "")</f>
        <v/>
      </c>
      <c r="Q400" s="7" t="b">
        <v>1</v>
      </c>
    </row>
    <row r="401" spans="1:17" x14ac:dyDescent="0.2">
      <c r="A401" s="19" t="str">
        <f>_xlfn.IFNA(VLOOKUP($B401,Keys!$A:$B,2,FALSE),_xlfn.IFNA(VLOOKUP($B401,Keys!$D:$E,2,FALSE),VLOOKUP($B401,Keys!$G:$H,2,FALSE)))</f>
        <v>0x000000180002DF00</v>
      </c>
      <c r="B401" s="5" t="s">
        <v>5201</v>
      </c>
      <c r="C401" s="5" t="s">
        <v>4</v>
      </c>
      <c r="D401" s="5" t="s">
        <v>16858</v>
      </c>
      <c r="E401" s="5"/>
      <c r="F401" s="5" t="s">
        <v>9249</v>
      </c>
      <c r="H401" s="5" t="s">
        <v>10777</v>
      </c>
      <c r="I401" s="1"/>
      <c r="J401" s="2"/>
      <c r="K401" s="5" t="s">
        <v>10779</v>
      </c>
      <c r="L401" s="1"/>
      <c r="M401" s="18"/>
      <c r="N401" s="5" t="s">
        <v>9251</v>
      </c>
      <c r="O401" s="5" t="s">
        <v>9252</v>
      </c>
      <c r="P401" s="21" t="str">
        <f>IF(ISNUMBER(MATCH($C401,StackableKinds,0)), TRUE, "")</f>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IF(ISNUMBER(MATCH($C402,StackableKinds,0)), TRUE, "")</f>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IF(ISNUMBER(MATCH($C405,StackableKinds,0)), TRUE, "")</f>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IF(ISNUMBER(MATCH($C406,StackableKinds,0)), TRUE, "")</f>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IF(ISNUMBER(MATCH($C407,StackableKinds,0)), TRUE, "")</f>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IF(ISNUMBER(MATCH($C408,StackableKinds,0)), TRUE, "")</f>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IF(ISNUMBER(MATCH($C409,StackableKinds,0)), TRUE, "")</f>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IF(ISNUMBER(MATCH($C410,StackableKinds,0)), TRUE, "")</f>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IF(ISNUMBER(MATCH($C411,StackableKinds,0)), TRUE, "")</f>
        <v/>
      </c>
      <c r="Q411" s="7" t="b">
        <v>1</v>
      </c>
    </row>
    <row r="412" spans="1:17" x14ac:dyDescent="0.2">
      <c r="A412" s="19" t="str">
        <f>_xlfn.IFNA(VLOOKUP($B412,Keys!$A:$B,2,FALSE),_xlfn.IFNA(VLOOKUP($B412,Keys!$D:$E,2,FALSE),VLOOKUP($B412,Keys!$G:$H,2,FALSE)))</f>
        <v>0x000000184C63DE2F</v>
      </c>
      <c r="B412" s="5" t="s">
        <v>1166</v>
      </c>
      <c r="C412" s="5" t="s">
        <v>4</v>
      </c>
      <c r="D412" s="5" t="s">
        <v>16858</v>
      </c>
      <c r="E412" s="5"/>
      <c r="F412" s="5" t="s">
        <v>9512</v>
      </c>
      <c r="H412" s="5" t="s">
        <v>10736</v>
      </c>
      <c r="I412" s="1"/>
      <c r="J412" s="2"/>
      <c r="K412" s="5" t="s">
        <v>10737</v>
      </c>
      <c r="L412" s="1"/>
      <c r="M412" s="18"/>
      <c r="N412" s="5" t="s">
        <v>9512</v>
      </c>
      <c r="O412" s="5" t="s">
        <v>9514</v>
      </c>
      <c r="P412" s="21" t="str">
        <f>IF(ISNUMBER(MATCH($C412,StackableKinds,0)), TRUE, "")</f>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IF(ISNUMBER(MATCH($C413,StackableKinds,0)), TRUE, "")</f>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IF(ISNUMBER(MATCH($C414,StackableKinds,0)), TRUE, "")</f>
        <v/>
      </c>
      <c r="Q414" s="7" t="b">
        <v>1</v>
      </c>
    </row>
    <row r="415" spans="1:17" x14ac:dyDescent="0.2">
      <c r="A415" s="19" t="str">
        <f>_xlfn.IFNA(VLOOKUP($B415,Keys!$A:$B,2,FALSE),_xlfn.IFNA(VLOOKUP($B415,Keys!$D:$E,2,FALSE),VLOOKUP($B415,Keys!$G:$H,2,FALSE)))</f>
        <v>0x0000001D0B6D8F1B</v>
      </c>
      <c r="B415" s="5" t="s">
        <v>4080</v>
      </c>
      <c r="C415" s="5" t="s">
        <v>4</v>
      </c>
      <c r="D415" s="1" t="s">
        <v>16862</v>
      </c>
      <c r="E415" s="1"/>
      <c r="F415" s="1" t="s">
        <v>9070</v>
      </c>
      <c r="G415" s="1"/>
      <c r="H415" s="1" t="s">
        <v>12083</v>
      </c>
      <c r="I415" s="1"/>
      <c r="J415" s="2"/>
      <c r="K415" s="5" t="s">
        <v>12079</v>
      </c>
      <c r="M415" s="18" t="s">
        <v>12080</v>
      </c>
      <c r="N415" s="1"/>
      <c r="O415" s="1"/>
      <c r="P415" s="21" t="str">
        <f>IF(ISNUMBER(MATCH($C415,StackableKinds,0)), TRUE, "")</f>
        <v/>
      </c>
    </row>
    <row r="416" spans="1:17" x14ac:dyDescent="0.2">
      <c r="A416" s="19" t="str">
        <f>_xlfn.IFNA(VLOOKUP($B416,Keys!$A:$B,2,FALSE),_xlfn.IFNA(VLOOKUP($B416,Keys!$D:$E,2,FALSE),VLOOKUP($B416,Keys!$G:$H,2,FALSE)))</f>
        <v>0x0000001DFCB49EE1</v>
      </c>
      <c r="B416" s="5" t="s">
        <v>4082</v>
      </c>
      <c r="C416" s="5" t="s">
        <v>4</v>
      </c>
      <c r="D416" s="1" t="s">
        <v>16862</v>
      </c>
      <c r="E416" s="1"/>
      <c r="F416" s="1" t="s">
        <v>9412</v>
      </c>
      <c r="G416" s="1"/>
      <c r="H416" s="1" t="s">
        <v>12083</v>
      </c>
      <c r="I416" s="1"/>
      <c r="J416" s="2"/>
      <c r="K416" s="5" t="s">
        <v>12081</v>
      </c>
      <c r="M416" s="18" t="s">
        <v>12082</v>
      </c>
      <c r="N416" s="1"/>
      <c r="O416" s="1"/>
      <c r="P416" s="21" t="str">
        <f>IF(ISNUMBER(MATCH($C416,StackableKinds,0)), TRUE, "")</f>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IF(ISNUMBER(MATCH($C417,StackableKinds,0)), TRUE, "")</f>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IF(ISNUMBER(MATCH($C418,StackableKinds,0)), TRUE, "")</f>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IF(ISNUMBER(MATCH($C419,StackableKinds,0)), TRUE, "")</f>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IF(ISNUMBER(MATCH($C420,StackableKinds,0)), TRUE, "")</f>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IF(ISNUMBER(MATCH($C421,StackableKinds,0)), TRUE, "")</f>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IF(ISNUMBER(MATCH($C422,StackableKinds,0)), TRUE, "")</f>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IF(ISNUMBER(MATCH($C423,StackableKinds,0)), TRUE, "")</f>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IF(ISNUMBER(MATCH($C424,StackableKinds,0)), TRUE, "")</f>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IF(ISNUMBER(MATCH($C425,StackableKinds,0)), TRUE, "")</f>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IF(ISNUMBER(MATCH($C426,StackableKinds,0)), TRUE, "")</f>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IF(ISNUMBER(MATCH($C427,StackableKinds,0)), TRUE, "")</f>
        <v/>
      </c>
      <c r="Q427" s="7" t="b">
        <v>1</v>
      </c>
    </row>
    <row r="428" spans="1:17" x14ac:dyDescent="0.2">
      <c r="A428" s="19" t="str">
        <f>_xlfn.IFNA(VLOOKUP($B428,Keys!$A:$B,2,FALSE),_xlfn.IFNA(VLOOKUP($B428,Keys!$D:$E,2,FALSE),VLOOKUP($B428,Keys!$G:$H,2,FALSE)))</f>
        <v>0x00000019D68C9056</v>
      </c>
      <c r="B428" s="5" t="s">
        <v>4030</v>
      </c>
      <c r="C428" s="5" t="s">
        <v>4</v>
      </c>
      <c r="D428" s="5" t="s">
        <v>16860</v>
      </c>
      <c r="E428" s="5"/>
      <c r="F428" s="5" t="s">
        <v>9512</v>
      </c>
      <c r="G428" s="1"/>
      <c r="H428" s="5" t="s">
        <v>10225</v>
      </c>
      <c r="I428" s="5">
        <v>1</v>
      </c>
      <c r="J428" s="2" t="b">
        <v>1</v>
      </c>
      <c r="K428" s="5" t="s">
        <v>10253</v>
      </c>
      <c r="M428" s="18"/>
      <c r="N428" s="5" t="s">
        <v>9512</v>
      </c>
      <c r="O428" s="5" t="s">
        <v>9514</v>
      </c>
      <c r="P428" s="21" t="str">
        <f>IF(ISNUMBER(MATCH($C428,StackableKinds,0)), TRUE, "")</f>
        <v/>
      </c>
      <c r="Q428" s="7" t="b">
        <v>1</v>
      </c>
    </row>
    <row r="429" spans="1:17" x14ac:dyDescent="0.2">
      <c r="A429" s="19" t="str">
        <f>_xlfn.IFNA(VLOOKUP($B429,Keys!$A:$B,2,FALSE),_xlfn.IFNA(VLOOKUP($B429,Keys!$D:$E,2,FALSE),VLOOKUP($B429,Keys!$G:$H,2,FALSE)))</f>
        <v>0x0000001ED180D4E6</v>
      </c>
      <c r="B429" s="5" t="s">
        <v>4032</v>
      </c>
      <c r="C429" s="5" t="s">
        <v>4</v>
      </c>
      <c r="D429" s="5" t="s">
        <v>16859</v>
      </c>
      <c r="E429" s="5"/>
      <c r="F429" s="5" t="s">
        <v>9512</v>
      </c>
      <c r="G429" s="1"/>
      <c r="H429" s="5" t="s">
        <v>10225</v>
      </c>
      <c r="I429" s="5">
        <v>2</v>
      </c>
      <c r="J429" s="2" t="b">
        <v>1</v>
      </c>
      <c r="K429" s="5" t="s">
        <v>10253</v>
      </c>
      <c r="M429" s="18"/>
      <c r="N429" s="5" t="s">
        <v>9512</v>
      </c>
      <c r="O429" s="5" t="s">
        <v>9514</v>
      </c>
      <c r="P429" s="21" t="str">
        <f>IF(ISNUMBER(MATCH($C429,StackableKinds,0)), TRUE, "")</f>
        <v/>
      </c>
      <c r="Q429" s="7" t="b">
        <v>1</v>
      </c>
    </row>
    <row r="430" spans="1:17" x14ac:dyDescent="0.2">
      <c r="A430" s="19" t="str">
        <f>_xlfn.IFNA(VLOOKUP($B430,Keys!$A:$B,2,FALSE),_xlfn.IFNA(VLOOKUP($B430,Keys!$D:$E,2,FALSE),VLOOKUP($B430,Keys!$G:$H,2,FALSE)))</f>
        <v>0x00000023408BCFA5</v>
      </c>
      <c r="B430" s="5" t="s">
        <v>4034</v>
      </c>
      <c r="C430" s="5" t="s">
        <v>4</v>
      </c>
      <c r="D430" s="5" t="s">
        <v>16858</v>
      </c>
      <c r="E430" s="5"/>
      <c r="F430" s="5" t="s">
        <v>9512</v>
      </c>
      <c r="G430" s="1"/>
      <c r="H430" s="5" t="s">
        <v>10225</v>
      </c>
      <c r="I430" s="5">
        <v>3</v>
      </c>
      <c r="J430" s="2" t="b">
        <v>1</v>
      </c>
      <c r="K430" s="5" t="s">
        <v>10253</v>
      </c>
      <c r="M430" s="18"/>
      <c r="N430" s="5" t="s">
        <v>9512</v>
      </c>
      <c r="O430" s="5" t="s">
        <v>9514</v>
      </c>
      <c r="P430" s="21" t="str">
        <f>IF(ISNUMBER(MATCH($C430,StackableKinds,0)), TRUE, "")</f>
        <v/>
      </c>
      <c r="Q430" s="7" t="b">
        <v>1</v>
      </c>
    </row>
    <row r="431" spans="1:17" x14ac:dyDescent="0.2">
      <c r="A431" s="19" t="str">
        <f>_xlfn.IFNA(VLOOKUP($B431,Keys!$A:$B,2,FALSE),_xlfn.IFNA(VLOOKUP($B431,Keys!$D:$E,2,FALSE),VLOOKUP($B431,Keys!$G:$H,2,FALSE)))</f>
        <v>0x000000173735E841</v>
      </c>
      <c r="B431" s="5" t="s">
        <v>4036</v>
      </c>
      <c r="C431" s="5" t="s">
        <v>4</v>
      </c>
      <c r="D431" s="1" t="s">
        <v>16860</v>
      </c>
      <c r="E431" s="1"/>
      <c r="F431" s="5" t="s">
        <v>9070</v>
      </c>
      <c r="G431" s="1"/>
      <c r="H431" s="5" t="s">
        <v>10225</v>
      </c>
      <c r="I431" s="5">
        <v>1</v>
      </c>
      <c r="J431" s="2" t="b">
        <v>1</v>
      </c>
      <c r="K431" s="5" t="s">
        <v>10254</v>
      </c>
      <c r="M431" s="20" t="s">
        <v>11162</v>
      </c>
      <c r="N431" s="5" t="s">
        <v>9070</v>
      </c>
      <c r="O431" s="5" t="s">
        <v>9396</v>
      </c>
      <c r="P431" s="21" t="str">
        <f>IF(ISNUMBER(MATCH($C431,StackableKinds,0)), TRUE, "")</f>
        <v/>
      </c>
      <c r="Q431" s="7" t="b">
        <v>1</v>
      </c>
    </row>
    <row r="432" spans="1:17" x14ac:dyDescent="0.2">
      <c r="A432" s="19" t="str">
        <f>_xlfn.IFNA(VLOOKUP($B432,Keys!$A:$B,2,FALSE),_xlfn.IFNA(VLOOKUP($B432,Keys!$D:$E,2,FALSE),VLOOKUP($B432,Keys!$G:$H,2,FALSE)))</f>
        <v>0x0000001C20211035</v>
      </c>
      <c r="B432" s="5" t="s">
        <v>4038</v>
      </c>
      <c r="C432" s="5" t="s">
        <v>4</v>
      </c>
      <c r="D432" s="1" t="s">
        <v>16859</v>
      </c>
      <c r="E432" s="1"/>
      <c r="F432" s="5" t="s">
        <v>9070</v>
      </c>
      <c r="G432" s="1"/>
      <c r="H432" s="5" t="s">
        <v>10225</v>
      </c>
      <c r="I432" s="5">
        <v>2</v>
      </c>
      <c r="J432" s="2" t="b">
        <v>1</v>
      </c>
      <c r="K432" s="5" t="s">
        <v>10254</v>
      </c>
      <c r="M432" s="20" t="s">
        <v>11162</v>
      </c>
      <c r="N432" s="5" t="s">
        <v>9070</v>
      </c>
      <c r="O432" s="5" t="s">
        <v>9396</v>
      </c>
      <c r="P432" s="21" t="str">
        <f>IF(ISNUMBER(MATCH($C432,StackableKinds,0)), TRUE, "")</f>
        <v/>
      </c>
      <c r="Q432" s="7" t="b">
        <v>1</v>
      </c>
    </row>
    <row r="433" spans="1:17" x14ac:dyDescent="0.2">
      <c r="A433" s="19" t="str">
        <f>_xlfn.IFNA(VLOOKUP($B433,Keys!$A:$B,2,FALSE),_xlfn.IFNA(VLOOKUP($B433,Keys!$D:$E,2,FALSE),VLOOKUP($B433,Keys!$G:$H,2,FALSE)))</f>
        <v>0x00000021A2EC54D6</v>
      </c>
      <c r="B433" s="5" t="s">
        <v>4040</v>
      </c>
      <c r="C433" s="5" t="s">
        <v>4</v>
      </c>
      <c r="D433" s="1" t="s">
        <v>16858</v>
      </c>
      <c r="E433" s="1"/>
      <c r="F433" s="5" t="s">
        <v>9070</v>
      </c>
      <c r="G433" s="1"/>
      <c r="H433" s="5" t="s">
        <v>10225</v>
      </c>
      <c r="I433" s="5">
        <v>3</v>
      </c>
      <c r="J433" s="2" t="b">
        <v>1</v>
      </c>
      <c r="K433" s="5" t="s">
        <v>10254</v>
      </c>
      <c r="M433" s="20" t="s">
        <v>11162</v>
      </c>
      <c r="N433" s="5" t="s">
        <v>9070</v>
      </c>
      <c r="O433" s="5" t="s">
        <v>9396</v>
      </c>
      <c r="P433" s="21" t="str">
        <f>IF(ISNUMBER(MATCH($C433,StackableKinds,0)), TRUE, "")</f>
        <v/>
      </c>
      <c r="Q433" s="7" t="b">
        <v>1</v>
      </c>
    </row>
    <row r="434" spans="1:17" x14ac:dyDescent="0.2">
      <c r="A434" s="19" t="str">
        <f>_xlfn.IFNA(VLOOKUP($B434,Keys!$A:$B,2,FALSE),_xlfn.IFNA(VLOOKUP($B434,Keys!$D:$E,2,FALSE),VLOOKUP($B434,Keys!$G:$H,2,FALSE)))</f>
        <v>0x000000175F86943C</v>
      </c>
      <c r="B434" s="5" t="s">
        <v>4048</v>
      </c>
      <c r="C434" s="5" t="s">
        <v>4</v>
      </c>
      <c r="D434" s="1" t="s">
        <v>16860</v>
      </c>
      <c r="E434" s="1"/>
      <c r="F434" s="5" t="s">
        <v>9073</v>
      </c>
      <c r="G434" s="1"/>
      <c r="H434" s="5" t="s">
        <v>10225</v>
      </c>
      <c r="I434" s="5">
        <v>1</v>
      </c>
      <c r="J434" s="2" t="b">
        <v>1</v>
      </c>
      <c r="K434" s="5" t="s">
        <v>10256</v>
      </c>
      <c r="M434" s="20" t="s">
        <v>11163</v>
      </c>
      <c r="N434" s="5" t="s">
        <v>9073</v>
      </c>
      <c r="O434" s="5" t="s">
        <v>9075</v>
      </c>
      <c r="P434" s="21" t="str">
        <f>IF(ISNUMBER(MATCH($C434,StackableKinds,0)), TRUE, "")</f>
        <v/>
      </c>
      <c r="Q434" s="7" t="b">
        <v>1</v>
      </c>
    </row>
    <row r="435" spans="1:17" x14ac:dyDescent="0.2">
      <c r="A435" s="19" t="str">
        <f>_xlfn.IFNA(VLOOKUP($B435,Keys!$A:$B,2,FALSE),_xlfn.IFNA(VLOOKUP($B435,Keys!$D:$E,2,FALSE),VLOOKUP($B435,Keys!$G:$H,2,FALSE)))</f>
        <v>0x0000001C6AB68A89</v>
      </c>
      <c r="B435" s="5" t="s">
        <v>4050</v>
      </c>
      <c r="C435" s="5" t="s">
        <v>4</v>
      </c>
      <c r="D435" s="1" t="s">
        <v>16859</v>
      </c>
      <c r="E435" s="1"/>
      <c r="F435" s="5" t="s">
        <v>9073</v>
      </c>
      <c r="G435" s="1"/>
      <c r="H435" s="5" t="s">
        <v>10225</v>
      </c>
      <c r="I435" s="5">
        <v>2</v>
      </c>
      <c r="J435" s="2" t="b">
        <v>1</v>
      </c>
      <c r="K435" s="5" t="s">
        <v>10256</v>
      </c>
      <c r="M435" s="20" t="s">
        <v>11163</v>
      </c>
      <c r="N435" s="5" t="s">
        <v>9073</v>
      </c>
      <c r="O435" s="5" t="s">
        <v>9075</v>
      </c>
      <c r="P435" s="21" t="str">
        <f>IF(ISNUMBER(MATCH($C435,StackableKinds,0)), TRUE, "")</f>
        <v/>
      </c>
      <c r="Q435" s="7" t="b">
        <v>1</v>
      </c>
    </row>
    <row r="436" spans="1:17" x14ac:dyDescent="0.2">
      <c r="A436" s="19" t="str">
        <f>_xlfn.IFNA(VLOOKUP($B436,Keys!$A:$B,2,FALSE),_xlfn.IFNA(VLOOKUP($B436,Keys!$D:$E,2,FALSE),VLOOKUP($B436,Keys!$G:$H,2,FALSE)))</f>
        <v>0x0000002157ECB9F9</v>
      </c>
      <c r="B436" s="5" t="s">
        <v>4052</v>
      </c>
      <c r="C436" s="5" t="s">
        <v>4</v>
      </c>
      <c r="D436" s="1" t="s">
        <v>16858</v>
      </c>
      <c r="E436" s="1"/>
      <c r="F436" s="5" t="s">
        <v>9073</v>
      </c>
      <c r="G436" s="1"/>
      <c r="H436" s="5" t="s">
        <v>10225</v>
      </c>
      <c r="I436" s="5">
        <v>3</v>
      </c>
      <c r="J436" s="2" t="b">
        <v>1</v>
      </c>
      <c r="K436" s="5" t="s">
        <v>10256</v>
      </c>
      <c r="M436" s="20" t="s">
        <v>11163</v>
      </c>
      <c r="N436" s="5" t="s">
        <v>9073</v>
      </c>
      <c r="O436" s="5" t="s">
        <v>9075</v>
      </c>
      <c r="P436" s="21" t="str">
        <f>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16860</v>
      </c>
      <c r="E437" s="1"/>
      <c r="F437" s="5" t="s">
        <v>9412</v>
      </c>
      <c r="G437" s="1"/>
      <c r="H437" s="5" t="s">
        <v>10225</v>
      </c>
      <c r="I437" s="5">
        <v>1</v>
      </c>
      <c r="J437" s="2" t="b">
        <v>1</v>
      </c>
      <c r="K437" s="5" t="s">
        <v>10255</v>
      </c>
      <c r="M437" s="20" t="s">
        <v>11356</v>
      </c>
      <c r="N437" s="5" t="s">
        <v>9414</v>
      </c>
      <c r="O437" s="5" t="s">
        <v>9415</v>
      </c>
      <c r="P437" s="21" t="str">
        <f>IF(ISNUMBER(MATCH($C437,StackableKinds,0)), TRUE, "")</f>
        <v/>
      </c>
      <c r="Q437" s="7" t="b">
        <v>1</v>
      </c>
    </row>
    <row r="438" spans="1:17" x14ac:dyDescent="0.2">
      <c r="A438" s="19" t="str">
        <f>_xlfn.IFNA(VLOOKUP($B438,Keys!$A:$B,2,FALSE),_xlfn.IFNA(VLOOKUP($B438,Keys!$D:$E,2,FALSE),VLOOKUP($B438,Keys!$G:$H,2,FALSE)))</f>
        <v>0x0000001C13A511F6</v>
      </c>
      <c r="B438" s="5" t="s">
        <v>4044</v>
      </c>
      <c r="C438" s="5" t="s">
        <v>4</v>
      </c>
      <c r="D438" s="1" t="s">
        <v>16859</v>
      </c>
      <c r="E438" s="1"/>
      <c r="F438" s="5" t="s">
        <v>9412</v>
      </c>
      <c r="G438" s="1"/>
      <c r="H438" s="5" t="s">
        <v>10225</v>
      </c>
      <c r="I438" s="5">
        <v>2</v>
      </c>
      <c r="J438" s="2" t="b">
        <v>1</v>
      </c>
      <c r="K438" s="5" t="s">
        <v>10255</v>
      </c>
      <c r="M438" s="20" t="s">
        <v>11356</v>
      </c>
      <c r="N438" s="5" t="s">
        <v>9414</v>
      </c>
      <c r="O438" s="5" t="s">
        <v>9415</v>
      </c>
      <c r="P438" s="21" t="str">
        <f>IF(ISNUMBER(MATCH($C438,StackableKinds,0)), TRUE, "")</f>
        <v/>
      </c>
      <c r="Q438" s="7" t="b">
        <v>1</v>
      </c>
    </row>
    <row r="439" spans="1:17" x14ac:dyDescent="0.2">
      <c r="A439" s="19" t="str">
        <f>_xlfn.IFNA(VLOOKUP($B439,Keys!$A:$B,2,FALSE),_xlfn.IFNA(VLOOKUP($B439,Keys!$D:$E,2,FALSE),VLOOKUP($B439,Keys!$G:$H,2,FALSE)))</f>
        <v>0x00000021A6B277D4</v>
      </c>
      <c r="B439" s="5" t="s">
        <v>4046</v>
      </c>
      <c r="C439" s="5" t="s">
        <v>4</v>
      </c>
      <c r="D439" s="1" t="s">
        <v>16858</v>
      </c>
      <c r="E439" s="1"/>
      <c r="F439" s="5" t="s">
        <v>9412</v>
      </c>
      <c r="G439" s="1"/>
      <c r="H439" s="5" t="s">
        <v>10225</v>
      </c>
      <c r="I439" s="5">
        <v>3</v>
      </c>
      <c r="J439" s="2" t="b">
        <v>1</v>
      </c>
      <c r="K439" s="5" t="s">
        <v>10255</v>
      </c>
      <c r="M439" s="20" t="s">
        <v>11356</v>
      </c>
      <c r="N439" s="5" t="s">
        <v>9414</v>
      </c>
      <c r="O439" s="5" t="s">
        <v>9415</v>
      </c>
      <c r="P439" s="21" t="str">
        <f>IF(ISNUMBER(MATCH($C439,StackableKinds,0)), TRUE, "")</f>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IF(ISNUMBER(MATCH($C440,StackableKinds,0)), TRUE, "")</f>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IF(ISNUMBER(MATCH($C441,StackableKinds,0)), TRUE, "")</f>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IF(ISNUMBER(MATCH($C442,StackableKinds,0)), TRUE, "")</f>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IF(ISNUMBER(MATCH($C443,StackableKinds,0)), TRUE, "")</f>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IF(ISNUMBER(MATCH($C444,StackableKinds,0)), TRUE, "")</f>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IF(ISNUMBER(MATCH($C445,StackableKinds,0)), TRUE, "")</f>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IF(ISNUMBER(MATCH($C446,StackableKinds,0)), TRUE, "")</f>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IF(ISNUMBER(MATCH($C447,StackableKinds,0)), TRUE, "")</f>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IF(ISNUMBER(MATCH($C448,StackableKinds,0)), TRUE, "")</f>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IF(ISNUMBER(MATCH($C449,StackableKinds,0)), TRUE, "")</f>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IF(ISNUMBER(MATCH($C450,StackableKinds,0)), TRUE, "")</f>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IF(ISNUMBER(MATCH($C451,StackableKinds,0)), TRUE, "")</f>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IF(ISNUMBER(MATCH($C452,StackableKinds,0)), TRUE, "")</f>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IF(ISNUMBER(MATCH($C453,StackableKinds,0)), TRUE, "")</f>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IF(ISNUMBER(MATCH($C454,StackableKinds,0)), TRUE, "")</f>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IF(ISNUMBER(MATCH($C455,StackableKinds,0)), TRUE, "")</f>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IF(ISNUMBER(MATCH($C456,StackableKinds,0)), TRUE, "")</f>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IF(ISNUMBER(MATCH($C457,StackableKinds,0)), TRUE, "")</f>
        <v/>
      </c>
      <c r="Q457" s="7" t="b">
        <v>1</v>
      </c>
    </row>
    <row r="458" spans="1:17" x14ac:dyDescent="0.2">
      <c r="A458" s="19" t="str">
        <f>_xlfn.IFNA(VLOOKUP($B458,Keys!$A:$B,2,FALSE),_xlfn.IFNA(VLOOKUP($B458,Keys!$D:$E,2,FALSE),VLOOKUP($B458,Keys!$G:$H,2,FALSE)))</f>
        <v>0x00000017114F02D3</v>
      </c>
      <c r="B458" s="5" t="s">
        <v>2806</v>
      </c>
      <c r="C458" s="5" t="s">
        <v>4</v>
      </c>
      <c r="D458" s="5" t="s">
        <v>16858</v>
      </c>
      <c r="E458" s="5"/>
      <c r="F458" s="5" t="s">
        <v>9249</v>
      </c>
      <c r="H458" s="5" t="s">
        <v>10753</v>
      </c>
      <c r="I458" s="1"/>
      <c r="J458" s="2"/>
      <c r="K458" s="5" t="s">
        <v>10756</v>
      </c>
      <c r="L458" s="1"/>
      <c r="M458" s="18"/>
      <c r="N458" s="5" t="s">
        <v>9251</v>
      </c>
      <c r="O458" s="5" t="s">
        <v>9252</v>
      </c>
      <c r="P458" s="21" t="str">
        <f>IF(ISNUMBER(MATCH($C458,StackableKinds,0)), TRUE, "")</f>
        <v/>
      </c>
      <c r="Q458" s="7" t="b">
        <v>1</v>
      </c>
    </row>
    <row r="459" spans="1:17" x14ac:dyDescent="0.2">
      <c r="A459" s="19" t="str">
        <f>_xlfn.IFNA(VLOOKUP($B459,Keys!$A:$B,2,FALSE),_xlfn.IFNA(VLOOKUP($B459,Keys!$D:$E,2,FALSE),VLOOKUP($B459,Keys!$G:$H,2,FALSE)))</f>
        <v>0x0000001817E04D26</v>
      </c>
      <c r="B459" s="5" t="s">
        <v>5469</v>
      </c>
      <c r="C459" s="5" t="s">
        <v>4</v>
      </c>
      <c r="D459" s="5" t="s">
        <v>16858</v>
      </c>
      <c r="E459" s="5"/>
      <c r="F459" s="5" t="s">
        <v>9512</v>
      </c>
      <c r="H459" s="5" t="s">
        <v>10783</v>
      </c>
      <c r="I459" s="1"/>
      <c r="J459" s="2"/>
      <c r="K459" s="5" t="s">
        <v>10785</v>
      </c>
      <c r="L459" s="1"/>
      <c r="M459" s="18"/>
      <c r="N459" s="5" t="s">
        <v>9512</v>
      </c>
      <c r="O459" s="5" t="s">
        <v>9514</v>
      </c>
      <c r="P459" s="21" t="str">
        <f>IF(ISNUMBER(MATCH($C459,StackableKinds,0)), TRUE, "")</f>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IF(ISNUMBER(MATCH($C460,StackableKinds,0)), TRUE, "")</f>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IF(ISNUMBER(MATCH($C461,StackableKinds,0)), TRUE, "")</f>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IF(ISNUMBER(MATCH($C462,StackableKinds,0)), TRUE, "")</f>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IF(ISNUMBER(MATCH($C463,StackableKinds,0)), TRUE, "")</f>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IF(ISNUMBER(MATCH($C464,StackableKinds,0)), TRUE, "")</f>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IF(ISNUMBER(MATCH($C465,StackableKinds,0)), TRUE, "")</f>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IF(ISNUMBER(MATCH($C466,StackableKinds,0)), TRUE, "")</f>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IF(ISNUMBER(MATCH($C467,StackableKinds,0)), TRUE, "")</f>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IF(ISNUMBER(MATCH($C469,StackableKinds,0)), TRUE, "")</f>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IF(ISNUMBER(MATCH($C470,StackableKinds,0)), TRUE, "")</f>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IF(ISNUMBER(MATCH($C471,StackableKinds,0)), TRUE, "")</f>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IF(ISNUMBER(MATCH($C472,StackableKinds,0)), TRUE, "")</f>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IF(ISNUMBER(MATCH($C473,StackableKinds,0)), TRUE, "")</f>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IF(ISNUMBER(MATCH($C474,StackableKinds,0)), TRUE, "")</f>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IF(ISNUMBER(MATCH($C475,StackableKinds,0)), TRUE, "")</f>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IF(ISNUMBER(MATCH($C476,StackableKinds,0)), TRUE, "")</f>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IF(ISNUMBER(MATCH($C477,StackableKinds,0)), TRUE, "")</f>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IF(ISNUMBER(MATCH($C478,StackableKinds,0)), TRUE, "")</f>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IF(ISNUMBER(MATCH($C479,StackableKinds,0)), TRUE, "")</f>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IF(ISNUMBER(MATCH($C480,StackableKinds,0)), TRUE, "")</f>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IF(ISNUMBER(MATCH($C481,StackableKinds,0)), TRUE, "")</f>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IF(ISNUMBER(MATCH($C482,StackableKinds,0)), TRUE, "")</f>
        <v/>
      </c>
      <c r="Q482" s="7" t="b">
        <v>1</v>
      </c>
    </row>
    <row r="483" spans="1:17" x14ac:dyDescent="0.2">
      <c r="A483" s="19" t="str">
        <f>_xlfn.IFNA(VLOOKUP($B483,Keys!$A:$B,2,FALSE),_xlfn.IFNA(VLOOKUP($B483,Keys!$D:$E,2,FALSE),VLOOKUP($B483,Keys!$G:$H,2,FALSE)))</f>
        <v>0x0000001878AA2DCE</v>
      </c>
      <c r="B483" s="5" t="s">
        <v>2802</v>
      </c>
      <c r="C483" s="5" t="s">
        <v>4</v>
      </c>
      <c r="D483" s="5" t="s">
        <v>16858</v>
      </c>
      <c r="E483" s="5"/>
      <c r="F483" s="5" t="s">
        <v>9073</v>
      </c>
      <c r="H483" s="5" t="s">
        <v>10753</v>
      </c>
      <c r="I483" s="1"/>
      <c r="J483" s="2"/>
      <c r="K483" s="5" t="s">
        <v>10759</v>
      </c>
      <c r="L483" s="1"/>
      <c r="M483" s="18"/>
      <c r="N483" s="5" t="s">
        <v>9073</v>
      </c>
      <c r="O483" s="5" t="s">
        <v>9075</v>
      </c>
      <c r="P483" s="21" t="str">
        <f>IF(ISNUMBER(MATCH($C483,StackableKinds,0)), TRUE, "")</f>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IF(ISNUMBER(MATCH($C484,StackableKinds,0)), TRUE, "")</f>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IF(ISNUMBER(MATCH($C485,StackableKinds,0)), TRUE, "")</f>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IF(ISNUMBER(MATCH($C486,StackableKinds,0)), TRUE, "")</f>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IF(ISNUMBER(MATCH($C487,StackableKinds,0)), TRUE, "")</f>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IF(ISNUMBER(MATCH($C488,StackableKinds,0)), TRUE, "")</f>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IF(ISNUMBER(MATCH($C489,StackableKinds,0)), TRUE, "")</f>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IF(ISNUMBER(MATCH($C490,StackableKinds,0)), TRUE, "")</f>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IF(ISNUMBER(MATCH($C491,StackableKinds,0)), TRUE, "")</f>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IF(ISNUMBER(MATCH($C492,StackableKinds,0)), TRUE, "")</f>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IF(ISNUMBER(MATCH($C493,StackableKinds,0)), TRUE, "")</f>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IF(ISNUMBER(MATCH($C494,StackableKinds,0)), TRUE, "")</f>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IF(ISNUMBER(MATCH($C495,StackableKinds,0)), TRUE, "")</f>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IF(ISNUMBER(MATCH($C496,StackableKinds,0)), TRUE, "")</f>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IF(ISNUMBER(MATCH($C497,StackableKinds,0)), TRUE, "")</f>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IF(ISNUMBER(MATCH($C498,StackableKinds,0)), TRUE, "")</f>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IF(ISNUMBER(MATCH($C499,StackableKinds,0)), TRUE, "")</f>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IF(ISNUMBER(MATCH($C501,StackableKinds,0)), TRUE, "")</f>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IF(ISNUMBER(MATCH($C502,StackableKinds,0)), TRUE, "")</f>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IF(ISNUMBER(MATCH($C503,StackableKinds,0)), TRUE, "")</f>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IF(ISNUMBER(MATCH($C504,StackableKinds,0)), TRUE, "")</f>
        <v/>
      </c>
      <c r="Q504" s="7" t="b">
        <v>1</v>
      </c>
    </row>
    <row r="505" spans="1:17" x14ac:dyDescent="0.2">
      <c r="A505" s="19" t="str">
        <f>_xlfn.IFNA(VLOOKUP($B505,Keys!$A:$B,2,FALSE),_xlfn.IFNA(VLOOKUP($B505,Keys!$D:$E,2,FALSE),VLOOKUP($B505,Keys!$G:$H,2,FALSE)))</f>
        <v>0x00000017E37B2C86</v>
      </c>
      <c r="B505" s="5" t="s">
        <v>3010</v>
      </c>
      <c r="C505" s="5" t="s">
        <v>4</v>
      </c>
      <c r="D505" s="5" t="s">
        <v>16858</v>
      </c>
      <c r="E505" s="5"/>
      <c r="F505" s="5" t="s">
        <v>9512</v>
      </c>
      <c r="H505" s="5" t="s">
        <v>10765</v>
      </c>
      <c r="I505" s="1"/>
      <c r="J505" s="2"/>
      <c r="K505" s="5" t="s">
        <v>10766</v>
      </c>
      <c r="L505" s="1"/>
      <c r="M505" s="18"/>
      <c r="N505" s="5" t="s">
        <v>9512</v>
      </c>
      <c r="O505" s="5" t="s">
        <v>9514</v>
      </c>
      <c r="P505" s="21" t="str">
        <f>IF(ISNUMBER(MATCH($C505,StackableKinds,0)), TRUE, "")</f>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IF(ISNUMBER(MATCH($C506,StackableKinds,0)), TRUE, "")</f>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IF(ISNUMBER(MATCH($C507,StackableKinds,0)), TRUE, "")</f>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IF(ISNUMBER(MATCH($C508,StackableKinds,0)), TRUE, "")</f>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16858</v>
      </c>
      <c r="E511" s="5"/>
      <c r="F511" s="5" t="s">
        <v>9012</v>
      </c>
      <c r="H511" s="5" t="s">
        <v>10753</v>
      </c>
      <c r="I511" s="1"/>
      <c r="J511" s="2"/>
      <c r="K511" s="5" t="s">
        <v>10754</v>
      </c>
      <c r="L511" s="1"/>
      <c r="M511" s="18"/>
      <c r="N511" s="5" t="s">
        <v>9012</v>
      </c>
      <c r="O511" s="5" t="s">
        <v>9014</v>
      </c>
      <c r="P511" s="21" t="str">
        <f>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IF(ISNUMBER(MATCH($C512,StackableKinds,0)), TRUE, "")</f>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IF(ISNUMBER(MATCH($C513,StackableKinds,0)), TRUE, "")</f>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IF(ISNUMBER(MATCH($C514,StackableKinds,0)), TRUE, "")</f>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IF(ISNUMBER(MATCH($C515,StackableKinds,0)), TRUE, "")</f>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IF(ISNUMBER(MATCH($C516,StackableKinds,0)), TRUE, "")</f>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IF(ISNUMBER(MATCH($C517,StackableKinds,0)), TRUE, "")</f>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IF(ISNUMBER(MATCH($C518,StackableKinds,0)), TRUE, "")</f>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IF(ISNUMBER(MATCH($C519,StackableKinds,0)), TRUE, "")</f>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IF(ISNUMBER(MATCH($C520,StackableKinds,0)), TRUE, "")</f>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IF(ISNUMBER(MATCH($C521,StackableKinds,0)), TRUE, "")</f>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IF(ISNUMBER(MATCH($C522,StackableKinds,0)), TRUE, "")</f>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IF(ISNUMBER(MATCH($C523,StackableKinds,0)), TRUE, "")</f>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IF(ISNUMBER(MATCH($C524,StackableKinds,0)), TRUE, "")</f>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IF(ISNUMBER(MATCH($C525,StackableKinds,0)), TRUE, "")</f>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IF(ISNUMBER(MATCH($C526,StackableKinds,0)), TRUE, "")</f>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IF(ISNUMBER(MATCH($C527,StackableKinds,0)), TRUE, "")</f>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IF(ISNUMBER(MATCH($C528,StackableKinds,0)), TRUE, "")</f>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IF(ISNUMBER(MATCH($C529,StackableKinds,0)), TRUE, "")</f>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IF(ISNUMBER(MATCH($C530,StackableKinds,0)), TRUE, "")</f>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IF(ISNUMBER(MATCH($C531,StackableKinds,0)), TRUE, "")</f>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IF(ISNUMBER(MATCH($C532,StackableKinds,0)), TRUE, "")</f>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IF(ISNUMBER(MATCH($C533,StackableKinds,0)), TRUE, "")</f>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IF(ISNUMBER(MATCH($C534,StackableKinds,0)), TRUE, "")</f>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IF(ISNUMBER(MATCH($C535,StackableKinds,0)), TRUE, "")</f>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IF(ISNUMBER(MATCH($C536,StackableKinds,0)), TRUE, "")</f>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IF(ISNUMBER(MATCH($C537,StackableKinds,0)), TRUE, "")</f>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IF(ISNUMBER(MATCH($C538,StackableKinds,0)), TRUE, "")</f>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IF(ISNUMBER(MATCH($C539,StackableKinds,0)), TRUE, "")</f>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IF(ISNUMBER(MATCH($C540,StackableKinds,0)), TRUE, "")</f>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IF(ISNUMBER(MATCH($C541,StackableKinds,0)), TRUE, "")</f>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IF(ISNUMBER(MATCH($C542,StackableKinds,0)), TRUE, "")</f>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IF(ISNUMBER(MATCH($C543,StackableKinds,0)), TRUE, "")</f>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IF(ISNUMBER(MATCH($C544,StackableKinds,0)), TRUE, "")</f>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IF(ISNUMBER(MATCH($C545,StackableKinds,0)), TRUE, "")</f>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IF(ISNUMBER(MATCH($C546,StackableKinds,0)), TRUE, "")</f>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IF(ISNUMBER(MATCH($C547,StackableKinds,0)), TRUE, "")</f>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IF(ISNUMBER(MATCH($C548,StackableKinds,0)), TRUE, "")</f>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IF(ISNUMBER(MATCH($C549,StackableKinds,0)), TRUE, "")</f>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IF(ISNUMBER(MATCH($C550,StackableKinds,0)), TRUE, "")</f>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IF(ISNUMBER(MATCH($C551,StackableKinds,0)), TRUE, "")</f>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16851</v>
      </c>
      <c r="I552" s="1"/>
      <c r="J552" s="2"/>
      <c r="K552" s="5" t="s">
        <v>10632</v>
      </c>
      <c r="L552" s="1"/>
      <c r="M552" s="18"/>
      <c r="N552" s="5" t="s">
        <v>9251</v>
      </c>
      <c r="O552" s="5" t="s">
        <v>9252</v>
      </c>
      <c r="P552" s="21" t="str">
        <f>IF(ISNUMBER(MATCH($C552,StackableKinds,0)), TRUE, "")</f>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IF(ISNUMBER(MATCH($C553,StackableKinds,0)), TRUE, "")</f>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IF(ISNUMBER(MATCH($C554,StackableKinds,0)), TRUE, "")</f>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IF(ISNUMBER(MATCH($C555,StackableKinds,0)), TRUE, "")</f>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IF(ISNUMBER(MATCH($C556,StackableKinds,0)), TRUE, "")</f>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IF(ISNUMBER(MATCH($C557,StackableKinds,0)), TRUE, "")</f>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IF(ISNUMBER(MATCH($C558,StackableKinds,0)), TRUE, "")</f>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IF(ISNUMBER(MATCH($C559,StackableKinds,0)), TRUE, "")</f>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IF(ISNUMBER(MATCH($C560,StackableKinds,0)), TRUE, "")</f>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IF(ISNUMBER(MATCH($C561,StackableKinds,0)), TRUE, "")</f>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16851</v>
      </c>
      <c r="I562" s="1"/>
      <c r="J562" s="2"/>
      <c r="K562" s="5" t="s">
        <v>10639</v>
      </c>
      <c r="L562" s="1"/>
      <c r="M562" s="18"/>
      <c r="N562" s="5" t="s">
        <v>9251</v>
      </c>
      <c r="O562" s="5" t="s">
        <v>9252</v>
      </c>
      <c r="P562" s="21" t="str">
        <f>IF(ISNUMBER(MATCH($C562,StackableKinds,0)), TRUE, "")</f>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16851</v>
      </c>
      <c r="I563" s="1"/>
      <c r="J563" s="2"/>
      <c r="K563" s="5" t="s">
        <v>9785</v>
      </c>
      <c r="M563" s="18"/>
      <c r="N563" s="5" t="s">
        <v>9784</v>
      </c>
      <c r="O563" s="1"/>
      <c r="P563" s="21" t="str">
        <f>IF(ISNUMBER(MATCH($C563,StackableKinds,0)), TRUE, "")</f>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16851</v>
      </c>
      <c r="I564" s="1"/>
      <c r="J564" s="2"/>
      <c r="K564" s="5" t="s">
        <v>10434</v>
      </c>
      <c r="M564" s="18"/>
      <c r="N564" s="5" t="s">
        <v>9512</v>
      </c>
      <c r="O564" s="5" t="s">
        <v>9514</v>
      </c>
      <c r="P564" s="21" t="str">
        <f>IF(ISNUMBER(MATCH($C564,StackableKinds,0)), TRUE, "")</f>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16851</v>
      </c>
      <c r="I565" s="1"/>
      <c r="J565" s="2"/>
      <c r="K565" s="5" t="s">
        <v>10589</v>
      </c>
      <c r="L565" s="1"/>
      <c r="M565" s="18"/>
      <c r="N565" s="5" t="s">
        <v>9251</v>
      </c>
      <c r="O565" s="5" t="s">
        <v>9252</v>
      </c>
      <c r="P565" s="21" t="str">
        <f>IF(ISNUMBER(MATCH($C565,StackableKinds,0)), TRUE, "")</f>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IF(ISNUMBER(MATCH($C566,StackableKinds,0)), TRUE, "")</f>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IF(ISNUMBER(MATCH($C567,StackableKinds,0)), TRUE, "")</f>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IF(ISNUMBER(MATCH($C568,StackableKinds,0)), TRUE, "")</f>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IF(ISNUMBER(MATCH($C569,StackableKinds,0)), TRUE, "")</f>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IF(ISNUMBER(MATCH($C570,StackableKinds,0)), TRUE, "")</f>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IF(ISNUMBER(MATCH($C571,StackableKinds,0)), TRUE, "")</f>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IF(ISNUMBER(MATCH($C572,StackableKinds,0)), TRUE, "")</f>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IF(ISNUMBER(MATCH($C573,StackableKinds,0)), TRUE, "")</f>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IF(ISNUMBER(MATCH($C574,StackableKinds,0)), TRUE, "")</f>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IF(ISNUMBER(MATCH($C576,StackableKinds,0)), TRUE, "")</f>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IF(ISNUMBER(MATCH($C577,StackableKinds,0)), TRUE, "")</f>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IF(ISNUMBER(MATCH($C578,StackableKinds,0)), TRUE, "")</f>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IF(ISNUMBER(MATCH($C579,StackableKinds,0)), TRUE, "")</f>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IF(ISNUMBER(MATCH($C580,StackableKinds,0)), TRUE, "")</f>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IF(ISNUMBER(MATCH($C581,StackableKinds,0)), TRUE, "")</f>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IF(ISNUMBER(MATCH($C582,StackableKinds,0)), TRUE, "")</f>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IF(ISNUMBER(MATCH($C583,StackableKinds,0)), TRUE, "")</f>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IF(ISNUMBER(MATCH($C584,StackableKinds,0)), TRUE, "")</f>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IF(ISNUMBER(MATCH($C585,StackableKinds,0)), TRUE, "")</f>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IF(ISNUMBER(MATCH($C586,StackableKinds,0)), TRUE, "")</f>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IF(ISNUMBER(MATCH($C587,StackableKinds,0)), TRUE, "")</f>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IF(ISNUMBER(MATCH($C588,StackableKinds,0)), TRUE, "")</f>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IF(ISNUMBER(MATCH($C589,StackableKinds,0)), TRUE, "")</f>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IF(ISNUMBER(MATCH($C590,StackableKinds,0)), TRUE, "")</f>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IF(ISNUMBER(MATCH($C591,StackableKinds,0)), TRUE, "")</f>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IF(ISNUMBER(MATCH($C592,StackableKinds,0)), TRUE, "")</f>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IF(ISNUMBER(MATCH($C593,StackableKinds,0)), TRUE, "")</f>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IF(ISNUMBER(MATCH($C594,StackableKinds,0)), TRUE, "")</f>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IF(ISNUMBER(MATCH($C595,StackableKinds,0)), TRUE, "")</f>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IF(ISNUMBER(MATCH($C596,StackableKinds,0)), TRUE, "")</f>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IF(ISNUMBER(MATCH($C597,StackableKinds,0)), TRUE, "")</f>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IF(ISNUMBER(MATCH($C598,StackableKinds,0)), TRUE, "")</f>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IF(ISNUMBER(MATCH($C599,StackableKinds,0)), TRUE, "")</f>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IF(ISNUMBER(MATCH($C600,StackableKinds,0)), TRUE, "")</f>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IF(ISNUMBER(MATCH($C601,StackableKinds,0)), TRUE, "")</f>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IF(ISNUMBER(MATCH($C602,StackableKinds,0)), TRUE, "")</f>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IF(ISNUMBER(MATCH($C603,StackableKinds,0)), TRUE, "")</f>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IF(ISNUMBER(MATCH($C604,StackableKinds,0)), TRUE, "")</f>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IF(ISNUMBER(MATCH($C605,StackableKinds,0)), TRUE, "")</f>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IF(ISNUMBER(MATCH($C606,StackableKinds,0)), TRUE, "")</f>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IF(ISNUMBER(MATCH($C607,StackableKinds,0)), TRUE, "")</f>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IF(ISNUMBER(MATCH($C608,StackableKinds,0)), TRUE, "")</f>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IF(ISNUMBER(MATCH($C609,StackableKinds,0)), TRUE, "")</f>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IF(ISNUMBER(MATCH($C610,StackableKinds,0)), TRUE, "")</f>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IF(ISNUMBER(MATCH($C611,StackableKinds,0)), TRUE, "")</f>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IF(ISNUMBER(MATCH($C612,StackableKinds,0)), TRUE, "")</f>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IF(ISNUMBER(MATCH($C613,StackableKinds,0)), TRUE, "")</f>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IF(ISNUMBER(MATCH($C614,StackableKinds,0)), TRUE, "")</f>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IF(ISNUMBER(MATCH($C615,StackableKinds,0)), TRUE, "")</f>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IF(ISNUMBER(MATCH($C616,StackableKinds,0)), TRUE, "")</f>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IF(ISNUMBER(MATCH($C617,StackableKinds,0)), TRUE, "")</f>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IF(ISNUMBER(MATCH($C618,StackableKinds,0)), TRUE, "")</f>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IF(ISNUMBER(MATCH($C619,StackableKinds,0)), TRUE, "")</f>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IF(ISNUMBER(MATCH($C620,StackableKinds,0)), TRUE, "")</f>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IF(ISNUMBER(MATCH($C621,StackableKinds,0)), TRUE, "")</f>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IF(ISNUMBER(MATCH($C622,StackableKinds,0)), TRUE, "")</f>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IF(ISNUMBER(MATCH($C623,StackableKinds,0)), TRUE, "")</f>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IF(ISNUMBER(MATCH($C624,StackableKinds,0)), TRUE, "")</f>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IF(ISNUMBER(MATCH($C625,StackableKinds,0)), TRUE, "")</f>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IF(ISNUMBER(MATCH($C626,StackableKinds,0)), TRUE, "")</f>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IF(ISNUMBER(MATCH($C627,StackableKinds,0)), TRUE, "")</f>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IF(ISNUMBER(MATCH($C628,StackableKinds,0)), TRUE, "")</f>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IF(ISNUMBER(MATCH($C629,StackableKinds,0)), TRUE, "")</f>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IF(ISNUMBER(MATCH($C630,StackableKinds,0)), TRUE, "")</f>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IF(ISNUMBER(MATCH($C631,StackableKinds,0)), TRUE, "")</f>
        <v/>
      </c>
      <c r="Q631" s="7" t="b">
        <v>1</v>
      </c>
    </row>
    <row r="632" spans="1:17" x14ac:dyDescent="0.2">
      <c r="A632" s="19" t="str">
        <f>_xlfn.IFNA(VLOOKUP($B632,Keys!$A:$B,2,FALSE),_xlfn.IFNA(VLOOKUP($B632,Keys!$D:$E,2,FALSE),VLOOKUP($B632,Keys!$G:$H,2,FALSE)))</f>
        <v>0x0000001AF8AD735D</v>
      </c>
      <c r="B632" s="5" t="s">
        <v>1462</v>
      </c>
      <c r="C632" s="5" t="s">
        <v>4</v>
      </c>
      <c r="D632" s="5" t="s">
        <v>16858</v>
      </c>
      <c r="E632" s="5"/>
      <c r="F632" s="5" t="s">
        <v>9512</v>
      </c>
      <c r="H632" s="5" t="s">
        <v>10747</v>
      </c>
      <c r="I632" s="1"/>
      <c r="J632" s="2"/>
      <c r="K632" s="5" t="s">
        <v>10748</v>
      </c>
      <c r="L632" s="1"/>
      <c r="M632" s="18"/>
      <c r="N632" s="5" t="s">
        <v>9512</v>
      </c>
      <c r="O632" s="5" t="s">
        <v>9514</v>
      </c>
      <c r="P632" s="21" t="str">
        <f>IF(ISNUMBER(MATCH($C632,StackableKinds,0)), TRUE, "")</f>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16851</v>
      </c>
      <c r="I633" s="1"/>
      <c r="J633" s="2"/>
      <c r="K633" s="5" t="s">
        <v>10596</v>
      </c>
      <c r="L633" s="1"/>
      <c r="M633" s="18"/>
      <c r="N633" s="5" t="s">
        <v>9251</v>
      </c>
      <c r="O633" s="5" t="s">
        <v>9252</v>
      </c>
      <c r="P633" s="21" t="str">
        <f>IF(ISNUMBER(MATCH($C633,StackableKinds,0)), TRUE, "")</f>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16851</v>
      </c>
      <c r="I634" s="1"/>
      <c r="J634" s="2"/>
      <c r="K634" s="5" t="s">
        <v>9614</v>
      </c>
      <c r="M634" s="18"/>
      <c r="N634" s="5" t="s">
        <v>9012</v>
      </c>
      <c r="O634" s="5" t="s">
        <v>9014</v>
      </c>
      <c r="P634" s="21" t="str">
        <f>IF(ISNUMBER(MATCH($C634,StackableKinds,0)), TRUE, "")</f>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c r="I635" s="1"/>
      <c r="J635" s="2"/>
      <c r="K635" s="5" t="s">
        <v>16852</v>
      </c>
      <c r="M635" s="18" t="s">
        <v>16853</v>
      </c>
      <c r="N635" s="1"/>
      <c r="O635" s="1"/>
      <c r="P635" s="21" t="str">
        <f>IF(ISNUMBER(MATCH($C635,StackableKinds,0)), TRUE, "")</f>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IF(ISNUMBER(MATCH($C636,StackableKinds,0)), TRUE, "")</f>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IF(ISNUMBER(MATCH($C637,StackableKinds,0)), TRUE, "")</f>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IF(ISNUMBER(MATCH($C638,StackableKinds,0)), TRUE, "")</f>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IF(ISNUMBER(MATCH($C640,StackableKinds,0)), TRUE, "")</f>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IF(ISNUMBER(MATCH($C641,StackableKinds,0)), TRUE, "")</f>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IF(ISNUMBER(MATCH($C642,StackableKinds,0)), TRUE, "")</f>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IF(ISNUMBER(MATCH($C643,StackableKinds,0)), TRUE, "")</f>
        <v/>
      </c>
      <c r="Q643" s="7" t="b">
        <v>1</v>
      </c>
    </row>
    <row r="644" spans="1:17" x14ac:dyDescent="0.2">
      <c r="A644" s="19" t="str">
        <f>_xlfn.IFNA(VLOOKUP($B644,Keys!$A:$B,2,FALSE),_xlfn.IFNA(VLOOKUP($B644,Keys!$D:$E,2,FALSE),VLOOKUP($B644,Keys!$G:$H,2,FALSE)))</f>
        <v>0x00000018E32ACBB3</v>
      </c>
      <c r="B644" s="5" t="s">
        <v>5471</v>
      </c>
      <c r="C644" s="5" t="s">
        <v>4</v>
      </c>
      <c r="D644" s="5" t="s">
        <v>16858</v>
      </c>
      <c r="E644" s="5"/>
      <c r="F644" s="5" t="s">
        <v>9249</v>
      </c>
      <c r="H644" s="5" t="s">
        <v>10783</v>
      </c>
      <c r="I644" s="1"/>
      <c r="J644" s="2"/>
      <c r="K644" s="5" t="s">
        <v>10787</v>
      </c>
      <c r="L644" s="1"/>
      <c r="M644" s="18"/>
      <c r="N644" s="5" t="s">
        <v>9251</v>
      </c>
      <c r="O644" s="5" t="s">
        <v>9252</v>
      </c>
      <c r="P644" s="21" t="str">
        <f>IF(ISNUMBER(MATCH($C644,StackableKinds,0)), TRUE, "")</f>
        <v/>
      </c>
      <c r="Q644" s="7" t="b">
        <v>1</v>
      </c>
    </row>
    <row r="645" spans="1:17" x14ac:dyDescent="0.2">
      <c r="A645" s="19" t="str">
        <f>_xlfn.IFNA(VLOOKUP($B645,Keys!$A:$B,2,FALSE),_xlfn.IFNA(VLOOKUP($B645,Keys!$D:$E,2,FALSE),VLOOKUP($B645,Keys!$G:$H,2,FALSE)))</f>
        <v>0x000000192F1DB0BE</v>
      </c>
      <c r="B645" s="5" t="s">
        <v>3014</v>
      </c>
      <c r="C645" s="5" t="s">
        <v>4</v>
      </c>
      <c r="D645" s="5" t="s">
        <v>16858</v>
      </c>
      <c r="E645" s="5"/>
      <c r="F645" s="5" t="s">
        <v>9412</v>
      </c>
      <c r="H645" s="5" t="s">
        <v>10765</v>
      </c>
      <c r="I645" s="1"/>
      <c r="J645" s="2"/>
      <c r="K645" s="5" t="s">
        <v>10768</v>
      </c>
      <c r="L645" s="1"/>
      <c r="M645" s="18"/>
      <c r="N645" s="5" t="s">
        <v>9414</v>
      </c>
      <c r="O645" s="5" t="s">
        <v>9415</v>
      </c>
      <c r="P645" s="21" t="str">
        <f>IF(ISNUMBER(MATCH($C645,StackableKinds,0)), TRUE, "")</f>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IF(ISNUMBER(MATCH($C646,StackableKinds,0)), TRUE, "")</f>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IF(ISNUMBER(MATCH($C647,StackableKinds,0)), TRUE, "")</f>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IF(ISNUMBER(MATCH($C648,StackableKinds,0)), TRUE, "")</f>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IF(ISNUMBER(MATCH($C649,StackableKinds,0)), TRUE, "")</f>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IF(ISNUMBER(MATCH($C650,StackableKinds,0)), TRUE, "")</f>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IF(ISNUMBER(MATCH($C651,StackableKinds,0)), TRUE, "")</f>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IF(ISNUMBER(MATCH($C652,StackableKinds,0)), TRUE, "")</f>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IF(ISNUMBER(MATCH($C653,StackableKinds,0)), TRUE, "")</f>
        <v/>
      </c>
      <c r="Q653" s="7" t="b">
        <v>1</v>
      </c>
    </row>
    <row r="654" spans="1:17" x14ac:dyDescent="0.2">
      <c r="A654" s="19" t="str">
        <f>_xlfn.IFNA(VLOOKUP($B654,Keys!$A:$B,2,FALSE),_xlfn.IFNA(VLOOKUP($B654,Keys!$D:$E,2,FALSE),VLOOKUP($B654,Keys!$G:$H,2,FALSE)))</f>
        <v>0x00000020EA1AF2E0</v>
      </c>
      <c r="B654" s="5" t="s">
        <v>4076</v>
      </c>
      <c r="C654" s="5" t="s">
        <v>4</v>
      </c>
      <c r="D654" s="1" t="s">
        <v>16859</v>
      </c>
      <c r="E654" s="1"/>
      <c r="F654" s="1" t="s">
        <v>9249</v>
      </c>
      <c r="G654" s="1"/>
      <c r="H654" s="1" t="s">
        <v>12096</v>
      </c>
      <c r="I654" s="1"/>
      <c r="J654" s="2"/>
      <c r="K654" s="5" t="s">
        <v>12054</v>
      </c>
      <c r="M654" s="18" t="s">
        <v>12055</v>
      </c>
      <c r="N654" s="1"/>
      <c r="O654" s="1"/>
      <c r="P654" s="21" t="str">
        <f>IF(ISNUMBER(MATCH($C654,StackableKinds,0)), TRUE, "")</f>
        <v/>
      </c>
      <c r="Q654" s="2"/>
    </row>
    <row r="655" spans="1:17" x14ac:dyDescent="0.2">
      <c r="A655" s="19" t="str">
        <f>_xlfn.IFNA(VLOOKUP($B655,Keys!$A:$B,2,FALSE),_xlfn.IFNA(VLOOKUP($B655,Keys!$D:$E,2,FALSE),VLOOKUP($B655,Keys!$G:$H,2,FALSE)))</f>
        <v>0x00000020D27C2810</v>
      </c>
      <c r="B655" s="5" t="s">
        <v>4078</v>
      </c>
      <c r="C655" s="5" t="s">
        <v>4</v>
      </c>
      <c r="D655" s="1" t="s">
        <v>16859</v>
      </c>
      <c r="E655" s="1"/>
      <c r="F655" s="1" t="s">
        <v>9073</v>
      </c>
      <c r="G655" s="1"/>
      <c r="H655" s="1" t="s">
        <v>12096</v>
      </c>
      <c r="I655" s="1"/>
      <c r="J655" s="2"/>
      <c r="K655" s="5" t="s">
        <v>12086</v>
      </c>
      <c r="M655" s="18" t="s">
        <v>12087</v>
      </c>
      <c r="N655" s="1"/>
      <c r="O655" s="1"/>
      <c r="P655" s="21" t="str">
        <f>IF(ISNUMBER(MATCH($C655,StackableKinds,0)), TRUE, "")</f>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IF(ISNUMBER(MATCH($C656,StackableKinds,0)), TRUE, "")</f>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IF(ISNUMBER(MATCH($C657,StackableKinds,0)), TRUE, "")</f>
        <v/>
      </c>
      <c r="Q657" s="7" t="b">
        <v>1</v>
      </c>
    </row>
    <row r="658" spans="1:17" x14ac:dyDescent="0.2">
      <c r="A658" s="19" t="str">
        <f>_xlfn.IFNA(VLOOKUP($B658,Keys!$A:$B,2,FALSE),_xlfn.IFNA(VLOOKUP($B658,Keys!$D:$E,2,FALSE),VLOOKUP($B658,Keys!$G:$H,2,FALSE)))</f>
        <v>0x0000001866F51789</v>
      </c>
      <c r="B658" s="5" t="s">
        <v>1464</v>
      </c>
      <c r="C658" s="5" t="s">
        <v>4</v>
      </c>
      <c r="D658" s="5" t="s">
        <v>16858</v>
      </c>
      <c r="E658" s="5"/>
      <c r="F658" s="5" t="s">
        <v>9070</v>
      </c>
      <c r="H658" s="5" t="s">
        <v>10747</v>
      </c>
      <c r="I658" s="1"/>
      <c r="J658" s="2"/>
      <c r="K658" s="5" t="s">
        <v>10751</v>
      </c>
      <c r="L658" s="1"/>
      <c r="M658" s="18"/>
      <c r="N658" s="5" t="s">
        <v>9070</v>
      </c>
      <c r="O658" s="5" t="s">
        <v>9396</v>
      </c>
      <c r="P658" s="21" t="str">
        <f>IF(ISNUMBER(MATCH($C658,StackableKinds,0)), TRUE, "")</f>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IF(ISNUMBER(MATCH($C659,StackableKinds,0)), TRUE, "")</f>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IF(ISNUMBER(MATCH($C660,StackableKinds,0)), TRUE, "")</f>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IF(ISNUMBER(MATCH($C661,StackableKinds,0)), TRUE, "")</f>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IF(ISNUMBER(MATCH($C662,StackableKinds,0)), TRUE, "")</f>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IF(ISNUMBER(MATCH($C663,StackableKinds,0)), TRUE, "")</f>
        <v/>
      </c>
      <c r="Q663" s="7" t="b">
        <v>1</v>
      </c>
    </row>
    <row r="664" spans="1:17" x14ac:dyDescent="0.2">
      <c r="A664" s="19" t="str">
        <f>_xlfn.IFNA(VLOOKUP($B664,Keys!$A:$B,2,FALSE),_xlfn.IFNA(VLOOKUP($B664,Keys!$D:$E,2,FALSE),VLOOKUP($B664,Keys!$G:$H,2,FALSE)))</f>
        <v>0x0000001C7E4E1E31</v>
      </c>
      <c r="B664" s="5" t="s">
        <v>4871</v>
      </c>
      <c r="C664" s="5" t="s">
        <v>4</v>
      </c>
      <c r="D664" s="5" t="s">
        <v>16858</v>
      </c>
      <c r="E664" s="5"/>
      <c r="F664" s="5" t="s">
        <v>9073</v>
      </c>
      <c r="H664" s="5" t="s">
        <v>10771</v>
      </c>
      <c r="I664" s="1"/>
      <c r="J664" s="2"/>
      <c r="K664" s="5" t="s">
        <v>10776</v>
      </c>
      <c r="L664" s="1"/>
      <c r="M664" s="18"/>
      <c r="N664" s="5" t="s">
        <v>9073</v>
      </c>
      <c r="O664" s="5" t="s">
        <v>9075</v>
      </c>
      <c r="P664" s="21" t="str">
        <f>IF(ISNUMBER(MATCH($C664,StackableKinds,0)), TRUE, "")</f>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IF(ISNUMBER(MATCH($C665,StackableKinds,0)), TRUE, "")</f>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IF(ISNUMBER(MATCH($C666,StackableKinds,0)), TRUE, "")</f>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IF(ISNUMBER(MATCH($C667,StackableKinds,0)), TRUE, "")</f>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IF(ISNUMBER(MATCH($C668,StackableKinds,0)), TRUE, "")</f>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IF(ISNUMBER(MATCH($C669,StackableKinds,0)), TRUE, "")</f>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IF(ISNUMBER(MATCH($C670,StackableKinds,0)), TRUE, "")</f>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IF(ISNUMBER(MATCH($C671,StackableKinds,0)), TRUE, "")</f>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IF(ISNUMBER(MATCH($C672,StackableKinds,0)), TRUE, "")</f>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IF(ISNUMBER(MATCH($C673,StackableKinds,0)), TRUE, "")</f>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IF(ISNUMBER(MATCH($C674,StackableKinds,0)), TRUE, "")</f>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IF(ISNUMBER(MATCH($C675,StackableKinds,0)), TRUE, "")</f>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IF(ISNUMBER(MATCH($C676,StackableKinds,0)), TRUE, "")</f>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IF(ISNUMBER(MATCH($C677,StackableKinds,0)), TRUE, "")</f>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IF(ISNUMBER(MATCH($C678,StackableKinds,0)), TRUE, "")</f>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IF(ISNUMBER(MATCH($C679,StackableKinds,0)), TRUE, "")</f>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IF(ISNUMBER(MATCH($C680,StackableKinds,0)), TRUE, "")</f>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IF(ISNUMBER(MATCH($C681,StackableKinds,0)), TRUE, "")</f>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IF(ISNUMBER(MATCH($C682,StackableKinds,0)), TRUE, "")</f>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IF(ISNUMBER(MATCH($C683,StackableKinds,0)), TRUE, "")</f>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IF(ISNUMBER(MATCH($C684,StackableKinds,0)), TRUE, "")</f>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IF(ISNUMBER(MATCH($C685,StackableKinds,0)), TRUE, "")</f>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IF(ISNUMBER(MATCH($C686,StackableKinds,0)), TRUE, "")</f>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IF(ISNUMBER(MATCH($C687,StackableKinds,0)), TRUE, "")</f>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IF(ISNUMBER(MATCH($C688,StackableKinds,0)), TRUE, "")</f>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IF(ISNUMBER(MATCH($C689,StackableKinds,0)), TRUE, "")</f>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IF(ISNUMBER(MATCH($C690,StackableKinds,0)), TRUE, "")</f>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IF(ISNUMBER(MATCH($C691,StackableKinds,0)), TRUE, "")</f>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IF(ISNUMBER(MATCH($C692,StackableKinds,0)), TRUE, "")</f>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IF(ISNUMBER(MATCH($C693,StackableKinds,0)), TRUE, "")</f>
        <v/>
      </c>
      <c r="Q693" s="7" t="b">
        <v>1</v>
      </c>
    </row>
    <row r="694" spans="1:17" x14ac:dyDescent="0.2">
      <c r="A694" s="19" t="str">
        <f>_xlfn.IFNA(VLOOKUP($B694,Keys!$A:$B,2,FALSE),_xlfn.IFNA(VLOOKUP($B694,Keys!$D:$E,2,FALSE),VLOOKUP($B694,Keys!$G:$H,2,FALSE)))</f>
        <v>0x0000001DC69DC6A2</v>
      </c>
      <c r="B694" s="5" t="s">
        <v>4875</v>
      </c>
      <c r="C694" s="5" t="s">
        <v>4</v>
      </c>
      <c r="D694" s="5" t="s">
        <v>16858</v>
      </c>
      <c r="E694" s="5"/>
      <c r="F694" s="5" t="s">
        <v>9249</v>
      </c>
      <c r="H694" s="5" t="s">
        <v>10771</v>
      </c>
      <c r="I694" s="1"/>
      <c r="J694" s="2"/>
      <c r="K694" s="5" t="s">
        <v>10774</v>
      </c>
      <c r="L694" s="1"/>
      <c r="M694" s="18"/>
      <c r="N694" s="5" t="s">
        <v>9251</v>
      </c>
      <c r="O694" s="5" t="s">
        <v>9252</v>
      </c>
      <c r="P694" s="21" t="str">
        <f>IF(ISNUMBER(MATCH($C694,StackableKinds,0)), TRUE, "")</f>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IF(ISNUMBER(MATCH($C695,StackableKinds,0)), TRUE, "")</f>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IF(ISNUMBER(MATCH($C696,StackableKinds,0)), TRUE, "")</f>
        <v/>
      </c>
      <c r="Q696" s="7" t="b">
        <v>1</v>
      </c>
    </row>
    <row r="697" spans="1:17" x14ac:dyDescent="0.2">
      <c r="A697" s="19" t="str">
        <f>_xlfn.IFNA(VLOOKUP($B697,Keys!$A:$B,2,FALSE),_xlfn.IFNA(VLOOKUP($B697,Keys!$D:$E,2,FALSE),VLOOKUP($B697,Keys!$G:$H,2,FALSE)))</f>
        <v>0x000000195D595522</v>
      </c>
      <c r="B697" s="5" t="s">
        <v>5463</v>
      </c>
      <c r="C697" s="5" t="s">
        <v>4</v>
      </c>
      <c r="D697" s="5" t="s">
        <v>16858</v>
      </c>
      <c r="E697" s="5"/>
      <c r="F697" s="5" t="s">
        <v>9070</v>
      </c>
      <c r="H697" s="5" t="s">
        <v>10783</v>
      </c>
      <c r="I697" s="1"/>
      <c r="J697" s="2"/>
      <c r="K697" s="5" t="s">
        <v>10788</v>
      </c>
      <c r="L697" s="1"/>
      <c r="M697" s="18"/>
      <c r="N697" s="5" t="s">
        <v>9070</v>
      </c>
      <c r="O697" s="5" t="s">
        <v>9396</v>
      </c>
      <c r="P697" s="21" t="str">
        <f>IF(ISNUMBER(MATCH($C697,StackableKinds,0)), TRUE, "")</f>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IF(ISNUMBER(MATCH($C698,StackableKinds,0)), TRUE, "")</f>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IF(ISNUMBER(MATCH($C699,StackableKinds,0)), TRUE, "")</f>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IF(ISNUMBER(MATCH($C700,StackableKinds,0)), TRUE, "")</f>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IF(ISNUMBER(MATCH($C701,StackableKinds,0)), TRUE, "")</f>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IF(ISNUMBER(MATCH($C702,StackableKinds,0)), TRUE, "")</f>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IF(ISNUMBER(MATCH($C704,StackableKinds,0)), TRUE, "")</f>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IF(ISNUMBER(MATCH($C705,StackableKinds,0)), TRUE, "")</f>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IF(ISNUMBER(MATCH($C706,StackableKinds,0)), TRUE, "")</f>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IF(ISNUMBER(MATCH($C707,StackableKinds,0)), TRUE, "")</f>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IF(ISNUMBER(MATCH($C708,StackableKinds,0)), TRUE, "")</f>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IF(ISNUMBER(MATCH($C709,StackableKinds,0)), TRUE, "")</f>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IF(ISNUMBER(MATCH($C710,StackableKinds,0)), TRUE, "")</f>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IF(ISNUMBER(MATCH($C711,StackableKinds,0)), TRUE, "")</f>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IF(ISNUMBER(MATCH($C712,StackableKinds,0)), TRUE, "")</f>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IF(ISNUMBER(MATCH($C713,StackableKinds,0)), TRUE, "")</f>
        <v/>
      </c>
      <c r="Q713" s="7" t="b">
        <v>1</v>
      </c>
    </row>
    <row r="714" spans="1:17" x14ac:dyDescent="0.2">
      <c r="A714" s="19" t="str">
        <f>_xlfn.IFNA(VLOOKUP($B714,Keys!$A:$B,2,FALSE),_xlfn.IFNA(VLOOKUP($B714,Keys!$D:$E,2,FALSE),VLOOKUP($B714,Keys!$G:$H,2,FALSE)))</f>
        <v>0x0000001A1EC93CB6</v>
      </c>
      <c r="B714" s="5" t="s">
        <v>4909</v>
      </c>
      <c r="C714" s="5" t="s">
        <v>4</v>
      </c>
      <c r="D714" s="5" t="s">
        <v>16860</v>
      </c>
      <c r="E714" s="5"/>
      <c r="F714" s="5" t="s">
        <v>9249</v>
      </c>
      <c r="G714" s="1"/>
      <c r="H714" s="5" t="s">
        <v>10225</v>
      </c>
      <c r="I714" s="5">
        <v>1</v>
      </c>
      <c r="J714" s="2" t="b">
        <v>1</v>
      </c>
      <c r="K714" s="5" t="s">
        <v>10418</v>
      </c>
      <c r="M714" s="20" t="s">
        <v>11165</v>
      </c>
      <c r="N714" s="5" t="s">
        <v>9251</v>
      </c>
      <c r="O714" s="5" t="s">
        <v>9252</v>
      </c>
      <c r="P714" s="21" t="str">
        <f>IF(ISNUMBER(MATCH($C714,StackableKinds,0)), TRUE, "")</f>
        <v/>
      </c>
      <c r="Q714" s="7" t="b">
        <v>1</v>
      </c>
    </row>
    <row r="715" spans="1:17" x14ac:dyDescent="0.2">
      <c r="A715" s="19" t="str">
        <f>_xlfn.IFNA(VLOOKUP($B715,Keys!$A:$B,2,FALSE),_xlfn.IFNA(VLOOKUP($B715,Keys!$D:$E,2,FALSE),VLOOKUP($B715,Keys!$G:$H,2,FALSE)))</f>
        <v>0x0000001F8B9BA7E9</v>
      </c>
      <c r="B715" s="5" t="s">
        <v>4911</v>
      </c>
      <c r="C715" s="5" t="s">
        <v>4</v>
      </c>
      <c r="D715" s="5" t="s">
        <v>16859</v>
      </c>
      <c r="E715" s="5"/>
      <c r="F715" s="5" t="s">
        <v>9249</v>
      </c>
      <c r="G715" s="1"/>
      <c r="H715" s="5" t="s">
        <v>10225</v>
      </c>
      <c r="I715" s="5">
        <v>2</v>
      </c>
      <c r="J715" s="2" t="b">
        <v>1</v>
      </c>
      <c r="K715" s="5" t="s">
        <v>10418</v>
      </c>
      <c r="M715" s="20" t="s">
        <v>11165</v>
      </c>
      <c r="N715" s="5" t="s">
        <v>9251</v>
      </c>
      <c r="O715" s="5" t="s">
        <v>9252</v>
      </c>
      <c r="P715" s="21" t="str">
        <f>IF(ISNUMBER(MATCH($C715,StackableKinds,0)), TRUE, "")</f>
        <v/>
      </c>
      <c r="Q715" s="7" t="b">
        <v>1</v>
      </c>
    </row>
    <row r="716" spans="1:17" x14ac:dyDescent="0.2">
      <c r="A716" s="19" t="str">
        <f>_xlfn.IFNA(VLOOKUP($B716,Keys!$A:$B,2,FALSE),_xlfn.IFNA(VLOOKUP($B716,Keys!$D:$E,2,FALSE),VLOOKUP($B716,Keys!$G:$H,2,FALSE)))</f>
        <v>0x00000024EB76AE49</v>
      </c>
      <c r="B716" s="5" t="s">
        <v>4913</v>
      </c>
      <c r="C716" s="5" t="s">
        <v>4</v>
      </c>
      <c r="D716" s="5" t="s">
        <v>16858</v>
      </c>
      <c r="E716" s="5"/>
      <c r="F716" s="5" t="s">
        <v>9249</v>
      </c>
      <c r="G716" s="1"/>
      <c r="H716" s="5" t="s">
        <v>10225</v>
      </c>
      <c r="I716" s="5">
        <v>3</v>
      </c>
      <c r="J716" s="2" t="b">
        <v>1</v>
      </c>
      <c r="K716" s="5" t="s">
        <v>10418</v>
      </c>
      <c r="M716" s="20" t="s">
        <v>11165</v>
      </c>
      <c r="N716" s="5" t="s">
        <v>9251</v>
      </c>
      <c r="O716" s="5" t="s">
        <v>9252</v>
      </c>
      <c r="P716" s="21" t="str">
        <f>IF(ISNUMBER(MATCH($C716,StackableKinds,0)), TRUE, "")</f>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IF(ISNUMBER(MATCH($C717,StackableKinds,0)), TRUE, "")</f>
        <v/>
      </c>
      <c r="Q717" s="7" t="b">
        <v>1</v>
      </c>
    </row>
    <row r="718" spans="1:17" x14ac:dyDescent="0.2">
      <c r="A718" s="19" t="str">
        <f>_xlfn.IFNA(VLOOKUP($B718,Keys!$A:$B,2,FALSE),_xlfn.IFNA(VLOOKUP($B718,Keys!$D:$E,2,FALSE),VLOOKUP($B718,Keys!$G:$H,2,FALSE)))</f>
        <v>0x00000014DF0BCB33</v>
      </c>
      <c r="B718" s="5" t="s">
        <v>7849</v>
      </c>
      <c r="C718" s="5" t="s">
        <v>4</v>
      </c>
      <c r="D718" s="1" t="s">
        <v>16859</v>
      </c>
      <c r="E718" s="1"/>
      <c r="F718" s="1" t="s">
        <v>9073</v>
      </c>
      <c r="G718" s="1"/>
      <c r="H718" s="1" t="s">
        <v>12096</v>
      </c>
      <c r="I718" s="1"/>
      <c r="J718" s="2"/>
      <c r="K718" s="5" t="s">
        <v>12069</v>
      </c>
      <c r="L718" s="19" t="s">
        <v>12085</v>
      </c>
      <c r="M718" s="18" t="s">
        <v>12068</v>
      </c>
      <c r="N718" s="1"/>
      <c r="O718" s="1"/>
      <c r="P718" s="21" t="str">
        <f>IF(ISNUMBER(MATCH($C718,StackableKinds,0)), TRUE, "")</f>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IF(ISNUMBER(MATCH($C719,StackableKinds,0)), TRUE, "")</f>
        <v/>
      </c>
      <c r="Q719" s="7" t="b">
        <v>1</v>
      </c>
    </row>
    <row r="720" spans="1:17" x14ac:dyDescent="0.2">
      <c r="A720" s="19" t="str">
        <f>_xlfn.IFNA(VLOOKUP($B720,Keys!$A:$B,2,FALSE),_xlfn.IFNA(VLOOKUP($B720,Keys!$D:$E,2,FALSE),VLOOKUP($B720,Keys!$G:$H,2,FALSE)))</f>
        <v>0x0000001FE706FD4D</v>
      </c>
      <c r="B720" s="5" t="s">
        <v>4897</v>
      </c>
      <c r="C720" s="1" t="s">
        <v>4</v>
      </c>
      <c r="D720" s="1" t="s">
        <v>16860</v>
      </c>
      <c r="E720" s="1"/>
      <c r="F720" s="1" t="s">
        <v>9412</v>
      </c>
      <c r="G720" s="1"/>
      <c r="H720" s="1" t="s">
        <v>12074</v>
      </c>
      <c r="I720" s="1"/>
      <c r="J720" s="2"/>
      <c r="K720" s="5" t="s">
        <v>12075</v>
      </c>
      <c r="M720" s="18" t="s">
        <v>12076</v>
      </c>
      <c r="N720" s="1"/>
      <c r="O720" s="1"/>
      <c r="P720" s="21" t="str">
        <f>IF(ISNUMBER(MATCH($C720,StackableKinds,0)), TRUE, "")</f>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IF(ISNUMBER(MATCH($C721,StackableKinds,0)), TRUE, "")</f>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IF(ISNUMBER(MATCH($C722,StackableKinds,0)), TRUE, "")</f>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IF(ISNUMBER(MATCH($C723,StackableKinds,0)), TRUE, "")</f>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IF(ISNUMBER(MATCH($C724,StackableKinds,0)), TRUE, "")</f>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IF(ISNUMBER(MATCH($C725,StackableKinds,0)), TRUE, "")</f>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IF(ISNUMBER(MATCH($C726,StackableKinds,0)), TRUE, "")</f>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IF(ISNUMBER(MATCH($C727,StackableKinds,0)), TRUE, "")</f>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IF(ISNUMBER(MATCH($C728,StackableKinds,0)), TRUE, "")</f>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IF(ISNUMBER(MATCH($C729,StackableKinds,0)), TRUE, "")</f>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IF(ISNUMBER(MATCH($C730,StackableKinds,0)), TRUE, "")</f>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IF(ISNUMBER(MATCH($C731,StackableKinds,0)), TRUE, "")</f>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IF(ISNUMBER(MATCH($C732,StackableKinds,0)), TRUE, "")</f>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IF(ISNUMBER(MATCH($C733,StackableKinds,0)), TRUE, "")</f>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IF(ISNUMBER(MATCH($C734,StackableKinds,0)), TRUE, "")</f>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IF(ISNUMBER(MATCH($C735,StackableKinds,0)), TRUE, "")</f>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IF(ISNUMBER(MATCH($C736,StackableKinds,0)), TRUE, "")</f>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IF(ISNUMBER(MATCH($C737,StackableKinds,0)), TRUE, "")</f>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IF(ISNUMBER(MATCH($C738,StackableKinds,0)), TRUE, "")</f>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IF(ISNUMBER(MATCH($C739,StackableKinds,0)), TRUE, "")</f>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IF(ISNUMBER(MATCH($C740,StackableKinds,0)), TRUE, "")</f>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IF(ISNUMBER(MATCH($C741,StackableKinds,0)), TRUE, "")</f>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IF(ISNUMBER(MATCH($C742,StackableKinds,0)), TRUE, "")</f>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IF(ISNUMBER(MATCH($C743,StackableKinds,0)), TRUE, "")</f>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IF(ISNUMBER(MATCH($C744,StackableKinds,0)), TRUE, "")</f>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IF(ISNUMBER(MATCH($C745,StackableKinds,0)), TRUE, "")</f>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IF(ISNUMBER(MATCH($C746,StackableKinds,0)), TRUE, "")</f>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IF(ISNUMBER(MATCH($C747,StackableKinds,0)), TRUE, "")</f>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IF(ISNUMBER(MATCH($C748,StackableKinds,0)), TRUE, "")</f>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IF(ISNUMBER(MATCH($C749,StackableKinds,0)), TRUE, "")</f>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IF(ISNUMBER(MATCH($C750,StackableKinds,0)), TRUE, "")</f>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IF(ISNUMBER(MATCH($C751,StackableKinds,0)), TRUE, "")</f>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IF(ISNUMBER(MATCH($C752,StackableKinds,0)), TRUE, "")</f>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IF(ISNUMBER(MATCH($C753,StackableKinds,0)), TRUE, "")</f>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IF(ISNUMBER(MATCH($C754,StackableKinds,0)), TRUE, "")</f>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IF(ISNUMBER(MATCH($C755,StackableKinds,0)), TRUE, "")</f>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IF(ISNUMBER(MATCH($C756,StackableKinds,0)), TRUE, "")</f>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IF(ISNUMBER(MATCH($C757,StackableKinds,0)), TRUE, "")</f>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IF(ISNUMBER(MATCH($C758,StackableKinds,0)), TRUE, "")</f>
        <v/>
      </c>
      <c r="Q758" s="7" t="b">
        <v>1</v>
      </c>
    </row>
    <row r="759" spans="1:17" x14ac:dyDescent="0.2">
      <c r="A759" s="19" t="str">
        <f>_xlfn.IFNA(VLOOKUP($B759,Keys!$A:$B,2,FALSE),_xlfn.IFNA(VLOOKUP($B759,Keys!$D:$E,2,FALSE),VLOOKUP($B759,Keys!$G:$H,2,FALSE)))</f>
        <v>0x0000001E5A4632D5</v>
      </c>
      <c r="B759" s="5" t="s">
        <v>4873</v>
      </c>
      <c r="C759" s="5" t="s">
        <v>4</v>
      </c>
      <c r="D759" s="5" t="s">
        <v>16858</v>
      </c>
      <c r="E759" s="5"/>
      <c r="F759" s="5" t="s">
        <v>9512</v>
      </c>
      <c r="H759" s="5" t="s">
        <v>10771</v>
      </c>
      <c r="I759" s="1"/>
      <c r="J759" s="2"/>
      <c r="K759" s="5" t="s">
        <v>10772</v>
      </c>
      <c r="L759" s="1"/>
      <c r="M759" s="18"/>
      <c r="N759" s="5" t="s">
        <v>9512</v>
      </c>
      <c r="O759" s="5" t="s">
        <v>9514</v>
      </c>
      <c r="P759" s="21" t="str">
        <f>IF(ISNUMBER(MATCH($C759,StackableKinds,0)), TRUE, "")</f>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IF(ISNUMBER(MATCH($C760,StackableKinds,0)), TRUE, "")</f>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IF(ISNUMBER(MATCH($C761,StackableKinds,0)), TRUE, "")</f>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IF(ISNUMBER(MATCH($C762,StackableKinds,0)), TRUE, "")</f>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IF(ISNUMBER(MATCH($C763,StackableKinds,0)), TRUE, "")</f>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IF(ISNUMBER(MATCH($C764,StackableKinds,0)), TRUE, "")</f>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IF(ISNUMBER(MATCH($C765,StackableKinds,0)), TRUE, "")</f>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IF(ISNUMBER(MATCH($C766,StackableKinds,0)), TRUE, "")</f>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IF(ISNUMBER(MATCH($C768,StackableKinds,0)), TRUE, "")</f>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IF(ISNUMBER(MATCH($C769,StackableKinds,0)), TRUE, "")</f>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IF(ISNUMBER(MATCH($C770,StackableKinds,0)), TRUE, "")</f>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IF(ISNUMBER(MATCH($C771,StackableKinds,0)), TRUE, "")</f>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IF(ISNUMBER(MATCH($C772,StackableKinds,0)), TRUE, "")</f>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IF(ISNUMBER(MATCH($C773,StackableKinds,0)), TRUE, "")</f>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IF(ISNUMBER(MATCH($C774,StackableKinds,0)), TRUE, "")</f>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IF(ISNUMBER(MATCH($C775,StackableKinds,0)), TRUE, "")</f>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IF(ISNUMBER(MATCH($C776,StackableKinds,0)), TRUE, "")</f>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IF(ISNUMBER(MATCH($C777,StackableKinds,0)), TRUE, "")</f>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IF(ISNUMBER(MATCH($C778,StackableKinds,0)), TRUE, "")</f>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IF(ISNUMBER(MATCH($C779,StackableKinds,0)), TRUE, "")</f>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IF(ISNUMBER(MATCH($C780,StackableKinds,0)), TRUE, "")</f>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IF(ISNUMBER(MATCH($C781,StackableKinds,0)), TRUE, "")</f>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IF(ISNUMBER(MATCH($C782,StackableKinds,0)), TRUE, "")</f>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IF(ISNUMBER(MATCH($C783,StackableKinds,0)), TRUE, "")</f>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IF(ISNUMBER(MATCH($C784,StackableKinds,0)), TRUE, "")</f>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IF(ISNUMBER(MATCH($C785,StackableKinds,0)), TRUE, "")</f>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IF(ISNUMBER(MATCH($C786,StackableKinds,0)), TRUE, "")</f>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IF(ISNUMBER(MATCH($C787,StackableKinds,0)), TRUE, "")</f>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IF(ISNUMBER(MATCH($C788,StackableKinds,0)), TRUE, "")</f>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IF(ISNUMBER(MATCH($C789,StackableKinds,0)), TRUE, "")</f>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IF(ISNUMBER(MATCH($C790,StackableKinds,0)), TRUE, "")</f>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IF(ISNUMBER(MATCH($C791,StackableKinds,0)), TRUE, "")</f>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IF(ISNUMBER(MATCH($C792,StackableKinds,0)), TRUE, "")</f>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IF(ISNUMBER(MATCH($C793,StackableKinds,0)), TRUE, "")</f>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IF(ISNUMBER(MATCH($C794,StackableKinds,0)), TRUE, "")</f>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IF(ISNUMBER(MATCH($C795,StackableKinds,0)), TRUE, "")</f>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IF(ISNUMBER(MATCH($C796,StackableKinds,0)), TRUE, "")</f>
        <v/>
      </c>
      <c r="Q796" s="7" t="b">
        <v>1</v>
      </c>
    </row>
    <row r="797" spans="1:17" x14ac:dyDescent="0.2">
      <c r="A797" s="19" t="str">
        <f>_xlfn.IFNA(VLOOKUP($B797,Keys!$A:$B,2,FALSE),_xlfn.IFNA(VLOOKUP($B797,Keys!$D:$E,2,FALSE),VLOOKUP($B797,Keys!$G:$H,2,FALSE)))</f>
        <v>0x0000001B28752808</v>
      </c>
      <c r="B797" s="5" t="s">
        <v>4098</v>
      </c>
      <c r="C797" s="5" t="s">
        <v>4</v>
      </c>
      <c r="D797" s="5" t="s">
        <v>16860</v>
      </c>
      <c r="E797" s="5"/>
      <c r="F797" s="5" t="s">
        <v>9012</v>
      </c>
      <c r="G797" s="1"/>
      <c r="H797" s="5" t="s">
        <v>10257</v>
      </c>
      <c r="I797" s="1"/>
      <c r="J797" s="2"/>
      <c r="K797" s="5" t="s">
        <v>10259</v>
      </c>
      <c r="M797" s="18"/>
      <c r="N797" s="5" t="s">
        <v>9012</v>
      </c>
      <c r="O797" s="1"/>
      <c r="P797" s="21" t="str">
        <f>IF(ISNUMBER(MATCH($C797,StackableKinds,0)), TRUE, "")</f>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IF(ISNUMBER(MATCH($C798,StackableKinds,0)), TRUE, "")</f>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IF(ISNUMBER(MATCH($C799,StackableKinds,0)), TRUE, "")</f>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IF(ISNUMBER(MATCH($C800,StackableKinds,0)), TRUE, "")</f>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IF(ISNUMBER(MATCH($C801,StackableKinds,0)), TRUE, "")</f>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IF(ISNUMBER(MATCH($C802,StackableKinds,0)), TRUE, "")</f>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IF(ISNUMBER(MATCH($C803,StackableKinds,0)), TRUE, "")</f>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IF(ISNUMBER(MATCH($C804,StackableKinds,0)), TRUE, "")</f>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IF(ISNUMBER(MATCH($C805,StackableKinds,0)), TRUE, "")</f>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IF(ISNUMBER(MATCH($C806,StackableKinds,0)), TRUE, "")</f>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IF(ISNUMBER(MATCH($C807,StackableKinds,0)), TRUE, "")</f>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IF(ISNUMBER(MATCH($C808,StackableKinds,0)), TRUE, "")</f>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IF(ISNUMBER(MATCH($C809,StackableKinds,0)), TRUE, "")</f>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IF(ISNUMBER(MATCH($C810,StackableKinds,0)), TRUE, "")</f>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IF(ISNUMBER(MATCH($C811,StackableKinds,0)), TRUE, "")</f>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IF(ISNUMBER(MATCH($C812,StackableKinds,0)), TRUE, "")</f>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IF(ISNUMBER(MATCH($C813,StackableKinds,0)), TRUE, "")</f>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IF(ISNUMBER(MATCH($C814,StackableKinds,0)), TRUE, "")</f>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IF(ISNUMBER(MATCH($C815,StackableKinds,0)), TRUE, "")</f>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IF(ISNUMBER(MATCH($C816,StackableKinds,0)), TRUE, "")</f>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IF(ISNUMBER(MATCH($C817,StackableKinds,0)), TRUE, "")</f>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IF(ISNUMBER(MATCH($C818,StackableKinds,0)), TRUE, "")</f>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IF(ISNUMBER(MATCH($C819,StackableKinds,0)), TRUE, "")</f>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IF(ISNUMBER(MATCH($C820,StackableKinds,0)), TRUE, "")</f>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IF(ISNUMBER(MATCH($C821,StackableKinds,0)), TRUE, "")</f>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IF(ISNUMBER(MATCH($C822,StackableKinds,0)), TRUE, "")</f>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IF(ISNUMBER(MATCH($C823,StackableKinds,0)), TRUE, "")</f>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IF(ISNUMBER(MATCH($C824,StackableKinds,0)), TRUE, "")</f>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IF(ISNUMBER(MATCH($C825,StackableKinds,0)), TRUE, "")</f>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IF(ISNUMBER(MATCH($C826,StackableKinds,0)), TRUE, "")</f>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IF(ISNUMBER(MATCH($C827,StackableKinds,0)), TRUE, "")</f>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IF(ISNUMBER(MATCH($C828,StackableKinds,0)), TRUE, "")</f>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IF(ISNUMBER(MATCH($C829,StackableKinds,0)), TRUE, "")</f>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IF(ISNUMBER(MATCH($C830,StackableKinds,0)), TRUE, "")</f>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IF(ISNUMBER(MATCH($C832,StackableKinds,0)), TRUE, "")</f>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IF(ISNUMBER(MATCH($C833,StackableKinds,0)), TRUE, "")</f>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IF(ISNUMBER(MATCH($C834,StackableKinds,0)), TRUE, "")</f>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IF(ISNUMBER(MATCH($C835,StackableKinds,0)), TRUE, "")</f>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IF(ISNUMBER(MATCH($C836,StackableKinds,0)), TRUE, "")</f>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IF(ISNUMBER(MATCH($C837,StackableKinds,0)), TRUE, "")</f>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IF(ISNUMBER(MATCH($C838,StackableKinds,0)), TRUE, "")</f>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IF(ISNUMBER(MATCH($C839,StackableKinds,0)), TRUE, "")</f>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IF(ISNUMBER(MATCH($C840,StackableKinds,0)), TRUE, "")</f>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IF(ISNUMBER(MATCH($C841,StackableKinds,0)), TRUE, "")</f>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IF(ISNUMBER(MATCH($C842,StackableKinds,0)), TRUE, "")</f>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IF(ISNUMBER(MATCH($C843,StackableKinds,0)), TRUE, "")</f>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IF(ISNUMBER(MATCH($C844,StackableKinds,0)), TRUE, "")</f>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IF(ISNUMBER(MATCH($C845,StackableKinds,0)), TRUE, "")</f>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IF(ISNUMBER(MATCH($C846,StackableKinds,0)), TRUE, "")</f>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IF(ISNUMBER(MATCH($C847,StackableKinds,0)), TRUE, "")</f>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IF(ISNUMBER(MATCH($C848,StackableKinds,0)), TRUE, "")</f>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IF(ISNUMBER(MATCH($C849,StackableKinds,0)), TRUE, "")</f>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IF(ISNUMBER(MATCH($C850,StackableKinds,0)), TRUE, "")</f>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IF(ISNUMBER(MATCH($C851,StackableKinds,0)), TRUE, "")</f>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IF(ISNUMBER(MATCH($C852,StackableKinds,0)), TRUE, "")</f>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IF(ISNUMBER(MATCH($C853,StackableKinds,0)), TRUE, "")</f>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IF(ISNUMBER(MATCH($C854,StackableKinds,0)), TRUE, "")</f>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IF(ISNUMBER(MATCH($C855,StackableKinds,0)), TRUE, "")</f>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IF(ISNUMBER(MATCH($C856,StackableKinds,0)), TRUE, "")</f>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IF(ISNUMBER(MATCH($C857,StackableKinds,0)), TRUE, "")</f>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IF(ISNUMBER(MATCH($C858,StackableKinds,0)), TRUE, "")</f>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IF(ISNUMBER(MATCH($C859,StackableKinds,0)), TRUE, "")</f>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IF(ISNUMBER(MATCH($C860,StackableKinds,0)), TRUE, "")</f>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IF(ISNUMBER(MATCH($C861,StackableKinds,0)), TRUE, "")</f>
        <v/>
      </c>
      <c r="Q861" s="7" t="b">
        <v>1</v>
      </c>
    </row>
    <row r="862" spans="1:17" x14ac:dyDescent="0.2">
      <c r="A862" s="19" t="str">
        <f>_xlfn.IFNA(VLOOKUP($B862,Keys!$A:$B,2,FALSE),_xlfn.IFNA(VLOOKUP($B862,Keys!$D:$E,2,FALSE),VLOOKUP($B862,Keys!$G:$H,2,FALSE)))</f>
        <v>0x0000001E5192825A</v>
      </c>
      <c r="B862" s="5" t="s">
        <v>1178</v>
      </c>
      <c r="C862" s="5" t="s">
        <v>4</v>
      </c>
      <c r="D862" s="5" t="s">
        <v>16858</v>
      </c>
      <c r="E862" s="5"/>
      <c r="F862" s="5" t="s">
        <v>9512</v>
      </c>
      <c r="H862" s="5" t="s">
        <v>10741</v>
      </c>
      <c r="I862" s="1"/>
      <c r="J862" s="2"/>
      <c r="K862" s="5" t="s">
        <v>10742</v>
      </c>
      <c r="L862" s="1"/>
      <c r="M862" s="18"/>
      <c r="N862" s="5" t="s">
        <v>9512</v>
      </c>
      <c r="O862" s="5" t="s">
        <v>9514</v>
      </c>
      <c r="P862" s="21" t="str">
        <f>IF(ISNUMBER(MATCH($C862,StackableKinds,0)), TRUE, "")</f>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IF(ISNUMBER(MATCH($C863,StackableKinds,0)), TRUE, "")</f>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IF(ISNUMBER(MATCH($C864,StackableKinds,0)), TRUE, "")</f>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IF(ISNUMBER(MATCH($C865,StackableKinds,0)), TRUE, "")</f>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IF(ISNUMBER(MATCH($C866,StackableKinds,0)), TRUE, "")</f>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IF(ISNUMBER(MATCH($C867,StackableKinds,0)), TRUE, "")</f>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IF(ISNUMBER(MATCH($C868,StackableKinds,0)), TRUE, "")</f>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IF(ISNUMBER(MATCH($C869,StackableKinds,0)), TRUE, "")</f>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IF(ISNUMBER(MATCH($C870,StackableKinds,0)), TRUE, "")</f>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IF(ISNUMBER(MATCH($C871,StackableKinds,0)), TRUE, "")</f>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IF(ISNUMBER(MATCH($C872,StackableKinds,0)), TRUE, "")</f>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IF(ISNUMBER(MATCH($C873,StackableKinds,0)), TRUE, "")</f>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IF(ISNUMBER(MATCH($C874,StackableKinds,0)), TRUE, "")</f>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IF(ISNUMBER(MATCH($C875,StackableKinds,0)), TRUE, "")</f>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IF(ISNUMBER(MATCH($C876,StackableKinds,0)), TRUE, "")</f>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IF(ISNUMBER(MATCH($C877,StackableKinds,0)), TRUE, "")</f>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IF(ISNUMBER(MATCH($C878,StackableKinds,0)), TRUE, "")</f>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IF(ISNUMBER(MATCH($C879,StackableKinds,0)), TRUE, "")</f>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IF(ISNUMBER(MATCH($C880,StackableKinds,0)), TRUE, "")</f>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IF(ISNUMBER(MATCH($C881,StackableKinds,0)), TRUE, "")</f>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IF(ISNUMBER(MATCH($C882,StackableKinds,0)), TRUE, "")</f>
        <v/>
      </c>
      <c r="Q882" s="7" t="b">
        <v>1</v>
      </c>
    </row>
    <row r="883" spans="1:17" x14ac:dyDescent="0.2">
      <c r="A883" s="19" t="str">
        <f>_xlfn.IFNA(VLOOKUP($B883,Keys!$A:$B,2,FALSE),_xlfn.IFNA(VLOOKUP($B883,Keys!$D:$E,2,FALSE),VLOOKUP($B883,Keys!$G:$H,2,FALSE)))</f>
        <v>0x0000001A38A9B557</v>
      </c>
      <c r="B883" s="5" t="s">
        <v>5467</v>
      </c>
      <c r="C883" s="5" t="s">
        <v>4</v>
      </c>
      <c r="D883" s="5" t="s">
        <v>16858</v>
      </c>
      <c r="E883" s="5"/>
      <c r="F883" s="5" t="s">
        <v>9412</v>
      </c>
      <c r="H883" s="5" t="s">
        <v>10783</v>
      </c>
      <c r="I883" s="1"/>
      <c r="J883" s="2"/>
      <c r="K883" s="5" t="s">
        <v>10786</v>
      </c>
      <c r="L883" s="1"/>
      <c r="M883" s="18"/>
      <c r="N883" s="5" t="s">
        <v>9414</v>
      </c>
      <c r="O883" s="5" t="s">
        <v>9415</v>
      </c>
      <c r="P883" s="21" t="str">
        <f>IF(ISNUMBER(MATCH($C883,StackableKinds,0)), TRUE, "")</f>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IF(ISNUMBER(MATCH($C884,StackableKinds,0)), TRUE, "")</f>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IF(ISNUMBER(MATCH($C885,StackableKinds,0)), TRUE, "")</f>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IF(ISNUMBER(MATCH($C886,StackableKinds,0)), TRUE, "")</f>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IF(ISNUMBER(MATCH($C887,StackableKinds,0)), TRUE, "")</f>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IF(ISNUMBER(MATCH($C888,StackableKinds,0)), TRUE, "")</f>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IF(ISNUMBER(MATCH($C889,StackableKinds,0)), TRUE, "")</f>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IF(ISNUMBER(MATCH($C890,StackableKinds,0)), TRUE, "")</f>
        <v/>
      </c>
      <c r="Q890" s="7" t="b">
        <v>1</v>
      </c>
    </row>
    <row r="891" spans="1:17" x14ac:dyDescent="0.2">
      <c r="A891" s="19" t="str">
        <f>_xlfn.IFNA(VLOOKUP($B891,Keys!$A:$B,2,FALSE),_xlfn.IFNA(VLOOKUP($B891,Keys!$D:$E,2,FALSE),VLOOKUP($B891,Keys!$G:$H,2,FALSE)))</f>
        <v>0x000000179688C18D</v>
      </c>
      <c r="B891" s="5" t="s">
        <v>5207</v>
      </c>
      <c r="C891" s="5" t="s">
        <v>4</v>
      </c>
      <c r="D891" s="5" t="s">
        <v>16858</v>
      </c>
      <c r="E891" s="5"/>
      <c r="F891" s="5" t="s">
        <v>9512</v>
      </c>
      <c r="H891" s="5" t="s">
        <v>10777</v>
      </c>
      <c r="I891" s="1"/>
      <c r="J891" s="2"/>
      <c r="K891" s="5" t="s">
        <v>10778</v>
      </c>
      <c r="L891" s="1"/>
      <c r="M891" s="18"/>
      <c r="N891" s="5" t="s">
        <v>9512</v>
      </c>
      <c r="O891" s="5" t="s">
        <v>9514</v>
      </c>
      <c r="P891" s="21" t="str">
        <f>IF(ISNUMBER(MATCH($C891,StackableKinds,0)), TRUE, "")</f>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IF(ISNUMBER(MATCH($C892,StackableKinds,0)), TRUE, "")</f>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IF(ISNUMBER(MATCH($C893,StackableKinds,0)), TRUE, "")</f>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IF(ISNUMBER(MATCH($C894,StackableKinds,0)), TRUE, "")</f>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IF(ISNUMBER(MATCH($C896,StackableKinds,0)), TRUE, "")</f>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IF(ISNUMBER(MATCH($C897,StackableKinds,0)), TRUE, "")</f>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IF(ISNUMBER(MATCH($C898,StackableKinds,0)), TRUE, "")</f>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IF(ISNUMBER(MATCH($C899,StackableKinds,0)), TRUE, "")</f>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IF(ISNUMBER(MATCH($C900,StackableKinds,0)), TRUE, "")</f>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IF(ISNUMBER(MATCH($C901,StackableKinds,0)), TRUE, "")</f>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IF(ISNUMBER(MATCH($C902,StackableKinds,0)), TRUE, "")</f>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IF(ISNUMBER(MATCH($C903,StackableKinds,0)), TRUE, "")</f>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IF(ISNUMBER(MATCH($C904,StackableKinds,0)), TRUE, "")</f>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IF(ISNUMBER(MATCH($C905,StackableKinds,0)), TRUE, "")</f>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IF(ISNUMBER(MATCH($C906,StackableKinds,0)), TRUE, "")</f>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IF(ISNUMBER(MATCH($C907,StackableKinds,0)), TRUE, "")</f>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IF(ISNUMBER(MATCH($C908,StackableKinds,0)), TRUE, "")</f>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IF(ISNUMBER(MATCH($C909,StackableKinds,0)), TRUE, "")</f>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IF(ISNUMBER(MATCH($C910,StackableKinds,0)), TRUE, "")</f>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IF(ISNUMBER(MATCH($C911,StackableKinds,0)), TRUE, "")</f>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IF(ISNUMBER(MATCH($C912,StackableKinds,0)), TRUE, "")</f>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IF(ISNUMBER(MATCH($C913,StackableKinds,0)), TRUE, "")</f>
        <v/>
      </c>
      <c r="Q913" s="7" t="b">
        <v>1</v>
      </c>
    </row>
    <row r="914" spans="1:17" x14ac:dyDescent="0.2">
      <c r="A914" s="19" t="str">
        <f>_xlfn.IFNA(VLOOKUP($B914,Keys!$A:$B,2,FALSE),_xlfn.IFNA(VLOOKUP($B914,Keys!$D:$E,2,FALSE),VLOOKUP($B914,Keys!$G:$H,2,FALSE)))</f>
        <v>0x0000001733ECFA3B</v>
      </c>
      <c r="B914" s="5" t="s">
        <v>1458</v>
      </c>
      <c r="C914" s="5" t="s">
        <v>4</v>
      </c>
      <c r="D914" s="5" t="s">
        <v>16858</v>
      </c>
      <c r="E914" s="5"/>
      <c r="F914" s="5" t="s">
        <v>9249</v>
      </c>
      <c r="H914" s="5" t="s">
        <v>10747</v>
      </c>
      <c r="I914" s="1"/>
      <c r="J914" s="2"/>
      <c r="K914" s="5" t="s">
        <v>10749</v>
      </c>
      <c r="L914" s="1"/>
      <c r="M914" s="18"/>
      <c r="N914" s="5" t="s">
        <v>9251</v>
      </c>
      <c r="O914" s="5" t="s">
        <v>9252</v>
      </c>
      <c r="P914" s="21" t="str">
        <f>IF(ISNUMBER(MATCH($C914,StackableKinds,0)), TRUE, "")</f>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IF(ISNUMBER(MATCH($C915,StackableKinds,0)), TRUE, "")</f>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IF(ISNUMBER(MATCH($C916,StackableKinds,0)), TRUE, "")</f>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IF(ISNUMBER(MATCH($C917,StackableKinds,0)), TRUE, "")</f>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IF(ISNUMBER(MATCH($C918,StackableKinds,0)), TRUE, "")</f>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IF(ISNUMBER(MATCH($C919,StackableKinds,0)), TRUE, "")</f>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IF(ISNUMBER(MATCH($C920,StackableKinds,0)), TRUE, "")</f>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IF(ISNUMBER(MATCH($C921,StackableKinds,0)), TRUE, "")</f>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IF(ISNUMBER(MATCH($C922,StackableKinds,0)), TRUE, "")</f>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IF(ISNUMBER(MATCH($C923,StackableKinds,0)), TRUE, "")</f>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IF(ISNUMBER(MATCH($C924,StackableKinds,0)), TRUE, "")</f>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IF(ISNUMBER(MATCH($C925,StackableKinds,0)), TRUE, "")</f>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IF(ISNUMBER(MATCH($C926,StackableKinds,0)), TRUE, "")</f>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IF(ISNUMBER(MATCH($C927,StackableKinds,0)), TRUE, "")</f>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IF(ISNUMBER(MATCH($C928,StackableKinds,0)), TRUE, "")</f>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IF(ISNUMBER(MATCH($C929,StackableKinds,0)), TRUE, "")</f>
        <v/>
      </c>
      <c r="Q929" s="7" t="b">
        <v>1</v>
      </c>
    </row>
    <row r="930" spans="1:17" x14ac:dyDescent="0.2">
      <c r="A930" s="19" t="str">
        <f>_xlfn.IFNA(VLOOKUP($B930,Keys!$A:$B,2,FALSE),_xlfn.IFNA(VLOOKUP($B930,Keys!$D:$E,2,FALSE),VLOOKUP($B930,Keys!$G:$H,2,FALSE)))</f>
        <v>0x000000185EE2FFBC</v>
      </c>
      <c r="B930" s="5" t="s">
        <v>3012</v>
      </c>
      <c r="C930" s="5" t="s">
        <v>4</v>
      </c>
      <c r="D930" s="5" t="s">
        <v>16858</v>
      </c>
      <c r="E930" s="5"/>
      <c r="F930" s="5" t="s">
        <v>9070</v>
      </c>
      <c r="H930" s="5" t="s">
        <v>10765</v>
      </c>
      <c r="I930" s="1"/>
      <c r="J930" s="2"/>
      <c r="K930" s="5" t="s">
        <v>10769</v>
      </c>
      <c r="L930" s="1"/>
      <c r="M930" s="18"/>
      <c r="N930" s="5" t="s">
        <v>9070</v>
      </c>
      <c r="O930" s="5" t="s">
        <v>9396</v>
      </c>
      <c r="P930" s="21" t="str">
        <f>IF(ISNUMBER(MATCH($C930,StackableKinds,0)), TRUE, "")</f>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IF(ISNUMBER(MATCH($C931,StackableKinds,0)), TRUE, "")</f>
        <v/>
      </c>
      <c r="Q931" s="7" t="b">
        <v>1</v>
      </c>
    </row>
    <row r="932" spans="1:17" x14ac:dyDescent="0.2">
      <c r="A932" s="19" t="str">
        <f>_xlfn.IFNA(VLOOKUP($B932,Keys!$A:$B,2,FALSE),_xlfn.IFNA(VLOOKUP($B932,Keys!$D:$E,2,FALSE),VLOOKUP($B932,Keys!$G:$H,2,FALSE)))</f>
        <v>0x00000018333980F4</v>
      </c>
      <c r="B932" s="5" t="s">
        <v>5205</v>
      </c>
      <c r="C932" s="5" t="s">
        <v>4</v>
      </c>
      <c r="D932" s="5" t="s">
        <v>16858</v>
      </c>
      <c r="E932" s="5"/>
      <c r="F932" s="5" t="s">
        <v>9412</v>
      </c>
      <c r="H932" s="5" t="s">
        <v>10777</v>
      </c>
      <c r="I932" s="1"/>
      <c r="J932" s="2"/>
      <c r="K932" s="5" t="s">
        <v>10780</v>
      </c>
      <c r="L932" s="1"/>
      <c r="M932" s="18"/>
      <c r="N932" s="5" t="s">
        <v>9414</v>
      </c>
      <c r="O932" s="5" t="s">
        <v>9415</v>
      </c>
      <c r="P932" s="21" t="str">
        <f>IF(ISNUMBER(MATCH($C932,StackableKinds,0)), TRUE, "")</f>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IF(ISNUMBER(MATCH($C933,StackableKinds,0)), TRUE, "")</f>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IF(ISNUMBER(MATCH($C934,StackableKinds,0)), TRUE, "")</f>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IF(ISNUMBER(MATCH($C935,StackableKinds,0)), TRUE, "")</f>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IF(ISNUMBER(MATCH($C936,StackableKinds,0)), TRUE, "")</f>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IF(ISNUMBER(MATCH($C937,StackableKinds,0)), TRUE, "")</f>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IF(ISNUMBER(MATCH($C938,StackableKinds,0)), TRUE, "")</f>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IF(ISNUMBER(MATCH($C939,StackableKinds,0)), TRUE, "")</f>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IF(ISNUMBER(MATCH($C940,StackableKinds,0)), TRUE, "")</f>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IF(ISNUMBER(MATCH($C941,StackableKinds,0)), TRUE, "")</f>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IF(ISNUMBER(MATCH($C942,StackableKinds,0)), TRUE, "")</f>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IF(ISNUMBER(MATCH($C943,StackableKinds,0)), TRUE, "")</f>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IF(ISNUMBER(MATCH($C944,StackableKinds,0)), TRUE, "")</f>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IF(ISNUMBER(MATCH($C945,StackableKinds,0)), TRUE, "")</f>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IF(ISNUMBER(MATCH($C946,StackableKinds,0)), TRUE, "")</f>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IF(ISNUMBER(MATCH($C947,StackableKinds,0)), TRUE, "")</f>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IF(ISNUMBER(MATCH($C948,StackableKinds,0)), TRUE, "")</f>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IF(ISNUMBER(MATCH($C949,StackableKinds,0)), TRUE, "")</f>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IF(ISNUMBER(MATCH($C950,StackableKinds,0)), TRUE, "")</f>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IF(ISNUMBER(MATCH($C951,StackableKinds,0)), TRUE, "")</f>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IF(ISNUMBER(MATCH($C952,StackableKinds,0)), TRUE, "")</f>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IF(ISNUMBER(MATCH($C953,StackableKinds,0)), TRUE, "")</f>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IF(ISNUMBER(MATCH($C954,StackableKinds,0)), TRUE, "")</f>
        <v/>
      </c>
      <c r="Q954" s="7" t="b">
        <v>1</v>
      </c>
    </row>
    <row r="955" spans="1:17" x14ac:dyDescent="0.2">
      <c r="A955" s="19" t="str">
        <f>_xlfn.IFNA(VLOOKUP($B955,Keys!$A:$B,2,FALSE),_xlfn.IFNA(VLOOKUP($B955,Keys!$D:$E,2,FALSE),VLOOKUP($B955,Keys!$G:$H,2,FALSE)))</f>
        <v>0x000000199E2F6C62</v>
      </c>
      <c r="B955" s="5" t="s">
        <v>4094</v>
      </c>
      <c r="C955" s="5" t="s">
        <v>4</v>
      </c>
      <c r="D955" s="1" t="s">
        <v>16859</v>
      </c>
      <c r="E955" s="1"/>
      <c r="F955" s="1" t="s">
        <v>9070</v>
      </c>
      <c r="G955" s="1"/>
      <c r="H955" s="1" t="s">
        <v>12084</v>
      </c>
      <c r="I955" s="1"/>
      <c r="J955" s="2"/>
      <c r="K955" s="5" t="s">
        <v>12066</v>
      </c>
      <c r="M955" s="18" t="s">
        <v>12067</v>
      </c>
      <c r="N955" s="1"/>
      <c r="O955" s="1"/>
      <c r="P955" s="21" t="str">
        <f>IF(ISNUMBER(MATCH($C955,StackableKinds,0)), TRUE, "")</f>
        <v/>
      </c>
    </row>
    <row r="956" spans="1:17" x14ac:dyDescent="0.2">
      <c r="A956" s="19" t="str">
        <f>_xlfn.IFNA(VLOOKUP($B956,Keys!$A:$B,2,FALSE),_xlfn.IFNA(VLOOKUP($B956,Keys!$D:$E,2,FALSE),VLOOKUP($B956,Keys!$G:$H,2,FALSE)))</f>
        <v>0x000000113AB907E7</v>
      </c>
      <c r="B956" s="5" t="s">
        <v>4028</v>
      </c>
      <c r="C956" s="5" t="s">
        <v>4</v>
      </c>
      <c r="D956" s="5" t="s">
        <v>16862</v>
      </c>
      <c r="E956" s="5"/>
      <c r="F956" s="5" t="s">
        <v>9412</v>
      </c>
      <c r="G956" s="5"/>
      <c r="H956" s="1" t="s">
        <v>10202</v>
      </c>
      <c r="I956" s="1"/>
      <c r="J956" s="2"/>
      <c r="K956" s="5" t="s">
        <v>10252</v>
      </c>
      <c r="M956" s="18"/>
      <c r="N956" s="5" t="s">
        <v>9414</v>
      </c>
      <c r="O956" s="5" t="s">
        <v>9415</v>
      </c>
      <c r="P956" s="21" t="str">
        <f>IF(ISNUMBER(MATCH($C956,StackableKinds,0)), TRUE, "")</f>
        <v/>
      </c>
      <c r="Q956" s="7" t="b">
        <v>1</v>
      </c>
    </row>
    <row r="957" spans="1:17" x14ac:dyDescent="0.2">
      <c r="A957" s="19" t="str">
        <f>_xlfn.IFNA(VLOOKUP($B957,Keys!$A:$B,2,FALSE),_xlfn.IFNA(VLOOKUP($B957,Keys!$D:$E,2,FALSE),VLOOKUP($B957,Keys!$G:$H,2,FALSE)))</f>
        <v>0x0000001B82F00914</v>
      </c>
      <c r="B957" s="5" t="s">
        <v>4092</v>
      </c>
      <c r="C957" s="5" t="s">
        <v>4</v>
      </c>
      <c r="D957" s="1" t="s">
        <v>16860</v>
      </c>
      <c r="E957" s="1"/>
      <c r="F957" s="1" t="s">
        <v>9512</v>
      </c>
      <c r="G957" s="1"/>
      <c r="H957" s="1" t="s">
        <v>12084</v>
      </c>
      <c r="I957" s="1"/>
      <c r="J957" s="2"/>
      <c r="K957" s="5" t="s">
        <v>12062</v>
      </c>
      <c r="M957" s="18" t="s">
        <v>12063</v>
      </c>
      <c r="N957" s="1"/>
      <c r="O957" s="1"/>
      <c r="P957" s="21" t="str">
        <f>IF(ISNUMBER(MATCH($C957,StackableKinds,0)), TRUE, "")</f>
        <v/>
      </c>
    </row>
    <row r="958" spans="1:17" x14ac:dyDescent="0.2">
      <c r="A958" s="19" t="str">
        <f>_xlfn.IFNA(VLOOKUP($B958,Keys!$A:$B,2,FALSE),_xlfn.IFNA(VLOOKUP($B958,Keys!$D:$E,2,FALSE),VLOOKUP($B958,Keys!$G:$H,2,FALSE)))</f>
        <v>0x000000196512B584</v>
      </c>
      <c r="B958" s="5" t="s">
        <v>4090</v>
      </c>
      <c r="C958" s="5" t="s">
        <v>4</v>
      </c>
      <c r="D958" s="1" t="s">
        <v>16859</v>
      </c>
      <c r="E958" s="1"/>
      <c r="F958" s="1" t="s">
        <v>9073</v>
      </c>
      <c r="G958" s="1"/>
      <c r="H958" s="1" t="s">
        <v>12084</v>
      </c>
      <c r="I958" s="1"/>
      <c r="J958" s="2"/>
      <c r="K958" s="5" t="s">
        <v>12072</v>
      </c>
      <c r="M958" s="18" t="s">
        <v>12073</v>
      </c>
      <c r="N958" s="1"/>
      <c r="O958" s="1"/>
      <c r="P958" s="21" t="str">
        <f>IF(ISNUMBER(MATCH($C958,StackableKinds,0)), TRUE, "")</f>
        <v/>
      </c>
    </row>
    <row r="959" spans="1:17" x14ac:dyDescent="0.2">
      <c r="A959" s="19" t="str">
        <f>_xlfn.IFNA(VLOOKUP($B959,Keys!$A:$B,2,FALSE),_xlfn.IFNA(VLOOKUP($B959,Keys!$D:$E,2,FALSE),VLOOKUP($B959,Keys!$G:$H,2,FALSE)))</f>
        <v>0x00000019CB7A2415</v>
      </c>
      <c r="B959" s="5" t="s">
        <v>4084</v>
      </c>
      <c r="C959" s="5" t="s">
        <v>4</v>
      </c>
      <c r="D959" s="1" t="s">
        <v>16860</v>
      </c>
      <c r="E959" s="1"/>
      <c r="F959" s="1" t="s">
        <v>9073</v>
      </c>
      <c r="G959" s="1"/>
      <c r="H959" s="1" t="s">
        <v>12090</v>
      </c>
      <c r="I959" s="1"/>
      <c r="J959" s="2"/>
      <c r="K959" s="5" t="s">
        <v>12089</v>
      </c>
      <c r="M959" s="18" t="s">
        <v>12091</v>
      </c>
      <c r="N959" s="1"/>
      <c r="O959" s="1"/>
      <c r="P959" s="21" t="str">
        <f>IF(ISNUMBER(MATCH($C959,StackableKinds,0)), TRUE, "")</f>
        <v/>
      </c>
    </row>
    <row r="960" spans="1:17" x14ac:dyDescent="0.2">
      <c r="A960" s="19" t="str">
        <f>_xlfn.IFNA(VLOOKUP($B960,Keys!$A:$B,2,FALSE),_xlfn.IFNA(VLOOKUP($B960,Keys!$D:$E,2,FALSE),VLOOKUP($B960,Keys!$G:$H,2,FALSE)))</f>
        <v>0x000000193047FDF3</v>
      </c>
      <c r="B960" s="5" t="s">
        <v>4086</v>
      </c>
      <c r="C960" s="5" t="s">
        <v>4</v>
      </c>
      <c r="D960" s="1" t="s">
        <v>16859</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16862</v>
      </c>
      <c r="E961" s="5"/>
      <c r="F961" s="5" t="s">
        <v>9073</v>
      </c>
      <c r="G961" s="1"/>
      <c r="H961" s="5" t="s">
        <v>10202</v>
      </c>
      <c r="I961" s="1"/>
      <c r="J961" s="2"/>
      <c r="K961" s="5" t="s">
        <v>10243</v>
      </c>
      <c r="M961" s="18"/>
      <c r="N961" s="5" t="s">
        <v>9073</v>
      </c>
      <c r="O961" s="5" t="s">
        <v>9075</v>
      </c>
      <c r="P961" s="21" t="str">
        <f>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16862</v>
      </c>
      <c r="E962" s="5"/>
      <c r="F962" s="5" t="s">
        <v>9070</v>
      </c>
      <c r="G962" s="1"/>
      <c r="H962" s="5" t="s">
        <v>10202</v>
      </c>
      <c r="I962" s="1"/>
      <c r="J962" s="2"/>
      <c r="K962" s="5" t="s">
        <v>10245</v>
      </c>
      <c r="M962" s="18"/>
      <c r="N962" s="5" t="s">
        <v>9070</v>
      </c>
      <c r="O962" s="5" t="s">
        <v>9396</v>
      </c>
      <c r="P962" s="21" t="str">
        <f>IF(ISNUMBER(MATCH($C962,StackableKinds,0)), TRUE, "")</f>
        <v/>
      </c>
      <c r="Q962" s="7" t="b">
        <v>1</v>
      </c>
    </row>
    <row r="963" spans="1:17" x14ac:dyDescent="0.2">
      <c r="A963" s="19" t="str">
        <f>_xlfn.IFNA(VLOOKUP($B963,Keys!$A:$B,2,FALSE),_xlfn.IFNA(VLOOKUP($B963,Keys!$D:$E,2,FALSE),VLOOKUP($B963,Keys!$G:$H,2,FALSE)))</f>
        <v>0x0000001D3FB32D3B</v>
      </c>
      <c r="B963" s="5" t="s">
        <v>3993</v>
      </c>
      <c r="C963" s="5" t="s">
        <v>4</v>
      </c>
      <c r="D963" s="5" t="s">
        <v>16862</v>
      </c>
      <c r="E963" s="5"/>
      <c r="F963" s="5" t="s">
        <v>9249</v>
      </c>
      <c r="G963" s="1"/>
      <c r="H963" s="5" t="s">
        <v>10202</v>
      </c>
      <c r="I963" s="1"/>
      <c r="J963" s="2"/>
      <c r="K963" s="5" t="s">
        <v>10240</v>
      </c>
      <c r="M963" s="18"/>
      <c r="N963" s="5" t="s">
        <v>9251</v>
      </c>
      <c r="O963" s="5" t="s">
        <v>9252</v>
      </c>
      <c r="P963" s="21" t="str">
        <f>IF(ISNUMBER(MATCH($C963,StackableKinds,0)), TRUE, "")</f>
        <v/>
      </c>
      <c r="Q963" s="2"/>
    </row>
    <row r="964" spans="1:17" x14ac:dyDescent="0.2">
      <c r="A964" s="19" t="str">
        <f>_xlfn.IFNA(VLOOKUP($B964,Keys!$A:$B,2,FALSE),_xlfn.IFNA(VLOOKUP($B964,Keys!$D:$E,2,FALSE),VLOOKUP($B964,Keys!$G:$H,2,FALSE)))</f>
        <v>0x0000001C7AF44D36</v>
      </c>
      <c r="B964" s="5" t="s">
        <v>3997</v>
      </c>
      <c r="C964" s="5" t="s">
        <v>4</v>
      </c>
      <c r="D964" s="5" t="s">
        <v>16862</v>
      </c>
      <c r="E964" s="5"/>
      <c r="F964" s="5" t="s">
        <v>9073</v>
      </c>
      <c r="G964" s="1"/>
      <c r="H964" s="5" t="s">
        <v>10202</v>
      </c>
      <c r="I964" s="1"/>
      <c r="J964" s="2"/>
      <c r="K964" s="5" t="s">
        <v>10242</v>
      </c>
      <c r="M964" s="18"/>
      <c r="N964" s="5" t="s">
        <v>9073</v>
      </c>
      <c r="O964" s="5" t="s">
        <v>9075</v>
      </c>
      <c r="P964" s="21" t="str">
        <f>IF(ISNUMBER(MATCH($C964,StackableKinds,0)), TRUE, "")</f>
        <v/>
      </c>
      <c r="Q964" s="7" t="b">
        <v>1</v>
      </c>
    </row>
    <row r="965" spans="1:17" x14ac:dyDescent="0.2">
      <c r="A965" s="19" t="str">
        <f>_xlfn.IFNA(VLOOKUP($B965,Keys!$A:$B,2,FALSE),_xlfn.IFNA(VLOOKUP($B965,Keys!$D:$E,2,FALSE),VLOOKUP($B965,Keys!$G:$H,2,FALSE)))</f>
        <v>0x0000001C1247314B</v>
      </c>
      <c r="B965" s="5" t="s">
        <v>3995</v>
      </c>
      <c r="C965" s="5" t="s">
        <v>4</v>
      </c>
      <c r="D965" s="5" t="s">
        <v>16862</v>
      </c>
      <c r="E965" s="5"/>
      <c r="F965" s="5" t="s">
        <v>9070</v>
      </c>
      <c r="G965" s="1"/>
      <c r="H965" s="5" t="s">
        <v>10202</v>
      </c>
      <c r="I965" s="1"/>
      <c r="J965" s="2"/>
      <c r="K965" s="5" t="s">
        <v>10241</v>
      </c>
      <c r="M965" s="18"/>
      <c r="N965" s="5" t="s">
        <v>9070</v>
      </c>
      <c r="O965" s="5" t="s">
        <v>9396</v>
      </c>
      <c r="P965" s="21" t="str">
        <f>IF(ISNUMBER(MATCH($C965,StackableKinds,0)), TRUE, "")</f>
        <v/>
      </c>
      <c r="Q965" s="7" t="b">
        <v>1</v>
      </c>
    </row>
    <row r="966" spans="1:17" x14ac:dyDescent="0.2">
      <c r="A966" s="19" t="str">
        <f>_xlfn.IFNA(VLOOKUP($B966,Keys!$A:$B,2,FALSE),_xlfn.IFNA(VLOOKUP($B966,Keys!$D:$E,2,FALSE),VLOOKUP($B966,Keys!$G:$H,2,FALSE)))</f>
        <v>0x0000001729B34891</v>
      </c>
      <c r="B966" s="5" t="s">
        <v>4004</v>
      </c>
      <c r="C966" s="5" t="s">
        <v>4</v>
      </c>
      <c r="D966" s="5" t="s">
        <v>16862</v>
      </c>
      <c r="E966" s="5"/>
      <c r="F966" s="5" t="s">
        <v>9412</v>
      </c>
      <c r="G966" s="1"/>
      <c r="H966" s="5" t="s">
        <v>10202</v>
      </c>
      <c r="I966" s="1"/>
      <c r="J966" s="2"/>
      <c r="K966" s="5" t="s">
        <v>10246</v>
      </c>
      <c r="M966" s="18"/>
      <c r="N966" s="5" t="s">
        <v>9414</v>
      </c>
      <c r="O966" s="5" t="s">
        <v>9415</v>
      </c>
      <c r="P966" s="21" t="str">
        <f>IF(ISNUMBER(MATCH($C966,StackableKinds,0)), TRUE, "")</f>
        <v/>
      </c>
      <c r="Q966" s="7" t="b">
        <v>1</v>
      </c>
    </row>
    <row r="967" spans="1:17" x14ac:dyDescent="0.2">
      <c r="A967" s="19" t="str">
        <f>_xlfn.IFNA(VLOOKUP($B967,Keys!$A:$B,2,FALSE),_xlfn.IFNA(VLOOKUP($B967,Keys!$D:$E,2,FALSE),VLOOKUP($B967,Keys!$G:$H,2,FALSE)))</f>
        <v>0x000000102078EFE1</v>
      </c>
      <c r="B967" s="5" t="s">
        <v>4024</v>
      </c>
      <c r="C967" s="5" t="s">
        <v>4</v>
      </c>
      <c r="D967" s="5" t="s">
        <v>16862</v>
      </c>
      <c r="E967" s="5"/>
      <c r="F967" s="5" t="s">
        <v>9070</v>
      </c>
      <c r="G967" s="1"/>
      <c r="H967" s="5" t="s">
        <v>10202</v>
      </c>
      <c r="I967" s="1"/>
      <c r="J967" s="2"/>
      <c r="K967" s="5" t="s">
        <v>10250</v>
      </c>
      <c r="M967" s="18"/>
      <c r="N967" s="5" t="s">
        <v>9070</v>
      </c>
      <c r="O967" s="5" t="s">
        <v>9396</v>
      </c>
      <c r="P967" s="21" t="str">
        <f>IF(ISNUMBER(MATCH($C967,StackableKinds,0)), TRUE, "")</f>
        <v/>
      </c>
      <c r="Q967" s="7" t="b">
        <v>1</v>
      </c>
    </row>
    <row r="968" spans="1:17" x14ac:dyDescent="0.2">
      <c r="A968" s="19" t="str">
        <f>_xlfn.IFNA(VLOOKUP($B968,Keys!$A:$B,2,FALSE),_xlfn.IFNA(VLOOKUP($B968,Keys!$D:$E,2,FALSE),VLOOKUP($B968,Keys!$G:$H,2,FALSE)))</f>
        <v>0x0000001A4EB682FE</v>
      </c>
      <c r="B968" s="5" t="s">
        <v>4096</v>
      </c>
      <c r="C968" s="5" t="s">
        <v>4</v>
      </c>
      <c r="D968" s="1" t="s">
        <v>16859</v>
      </c>
      <c r="E968" s="1"/>
      <c r="F968" s="1" t="s">
        <v>9412</v>
      </c>
      <c r="G968" s="1"/>
      <c r="H968" s="1" t="s">
        <v>12084</v>
      </c>
      <c r="I968" s="1"/>
      <c r="J968" s="2"/>
      <c r="K968" s="5" t="s">
        <v>12065</v>
      </c>
      <c r="M968" s="18" t="s">
        <v>12064</v>
      </c>
      <c r="N968" s="1"/>
      <c r="O968" s="1"/>
      <c r="P968" s="21" t="str">
        <f>IF(ISNUMBER(MATCH($C968,StackableKinds,0)), TRUE, "")</f>
        <v/>
      </c>
    </row>
    <row r="969" spans="1:17" x14ac:dyDescent="0.2">
      <c r="A969" s="19" t="str">
        <f>_xlfn.IFNA(VLOOKUP($B969,Keys!$A:$B,2,FALSE),_xlfn.IFNA(VLOOKUP($B969,Keys!$D:$E,2,FALSE),VLOOKUP($B969,Keys!$G:$H,2,FALSE)))</f>
        <v>0x0000001048CB939C</v>
      </c>
      <c r="B969" s="5" t="s">
        <v>4026</v>
      </c>
      <c r="C969" s="5" t="s">
        <v>4</v>
      </c>
      <c r="D969" s="5" t="s">
        <v>16862</v>
      </c>
      <c r="E969" s="5"/>
      <c r="F969" s="5" t="s">
        <v>9073</v>
      </c>
      <c r="G969" s="5"/>
      <c r="H969" s="1" t="s">
        <v>10202</v>
      </c>
      <c r="I969" s="1"/>
      <c r="J969" s="2"/>
      <c r="K969" s="5" t="s">
        <v>10251</v>
      </c>
      <c r="M969" s="18"/>
      <c r="N969" s="5" t="s">
        <v>9073</v>
      </c>
      <c r="O969" s="5" t="s">
        <v>9075</v>
      </c>
      <c r="P969" s="21" t="str">
        <f>IF(ISNUMBER(MATCH($C969,StackableKinds,0)), TRUE, "")</f>
        <v/>
      </c>
      <c r="Q969" s="7" t="b">
        <v>1</v>
      </c>
    </row>
    <row r="970" spans="1:17" x14ac:dyDescent="0.2">
      <c r="A970" s="19" t="str">
        <f>_xlfn.IFNA(VLOOKUP($B970,Keys!$A:$B,2,FALSE),_xlfn.IFNA(VLOOKUP($B970,Keys!$D:$E,2,FALSE),VLOOKUP($B970,Keys!$G:$H,2,FALSE)))</f>
        <v>0x0000001BCC508217</v>
      </c>
      <c r="B970" s="5" t="s">
        <v>4016</v>
      </c>
      <c r="C970" s="5" t="s">
        <v>4</v>
      </c>
      <c r="D970" s="5" t="s">
        <v>16862</v>
      </c>
      <c r="E970" s="5"/>
      <c r="F970" s="5" t="s">
        <v>9412</v>
      </c>
      <c r="G970" s="1"/>
      <c r="H970" s="5" t="s">
        <v>10202</v>
      </c>
      <c r="I970" s="1"/>
      <c r="J970" s="2"/>
      <c r="K970" s="5" t="s">
        <v>10249</v>
      </c>
      <c r="M970" s="18"/>
      <c r="N970" s="5" t="s">
        <v>9414</v>
      </c>
      <c r="O970" s="5" t="s">
        <v>9415</v>
      </c>
      <c r="P970" s="21" t="str">
        <f>IF(ISNUMBER(MATCH($C970,StackableKinds,0)), TRUE, "")</f>
        <v/>
      </c>
      <c r="Q970" s="7" t="b">
        <v>1</v>
      </c>
    </row>
    <row r="971" spans="1:17" x14ac:dyDescent="0.2">
      <c r="A971" s="19" t="str">
        <f>_xlfn.IFNA(VLOOKUP($B971,Keys!$A:$B,2,FALSE),_xlfn.IFNA(VLOOKUP($B971,Keys!$D:$E,2,FALSE),VLOOKUP($B971,Keys!$G:$H,2,FALSE)))</f>
        <v>0x0000001A18683849</v>
      </c>
      <c r="B971" s="5" t="s">
        <v>4014</v>
      </c>
      <c r="C971" s="5" t="s">
        <v>4</v>
      </c>
      <c r="D971" s="5" t="s">
        <v>16862</v>
      </c>
      <c r="E971" s="5"/>
      <c r="F971" s="5" t="s">
        <v>9073</v>
      </c>
      <c r="G971" s="1"/>
      <c r="H971" s="5" t="s">
        <v>10202</v>
      </c>
      <c r="I971" s="1"/>
      <c r="J971" s="2"/>
      <c r="K971" s="5" t="s">
        <v>10248</v>
      </c>
      <c r="M971" s="18"/>
      <c r="N971" s="5" t="s">
        <v>9073</v>
      </c>
      <c r="O971" s="5" t="s">
        <v>9075</v>
      </c>
      <c r="P971" s="21" t="str">
        <f>IF(ISNUMBER(MATCH($C971,StackableKinds,0)), TRUE, "")</f>
        <v/>
      </c>
      <c r="Q971" s="7" t="b">
        <v>1</v>
      </c>
    </row>
    <row r="972" spans="1:17" x14ac:dyDescent="0.2">
      <c r="A972" s="19" t="str">
        <f>_xlfn.IFNA(VLOOKUP($B972,Keys!$A:$B,2,FALSE),_xlfn.IFNA(VLOOKUP($B972,Keys!$D:$E,2,FALSE),VLOOKUP($B972,Keys!$G:$H,2,FALSE)))</f>
        <v>0x0000001A70DB4434</v>
      </c>
      <c r="B972" s="5" t="s">
        <v>4012</v>
      </c>
      <c r="C972" s="5" t="s">
        <v>4</v>
      </c>
      <c r="D972" s="5" t="s">
        <v>16862</v>
      </c>
      <c r="E972" s="5"/>
      <c r="F972" s="5" t="s">
        <v>9070</v>
      </c>
      <c r="G972" s="1"/>
      <c r="H972" s="5" t="s">
        <v>10202</v>
      </c>
      <c r="I972" s="1"/>
      <c r="J972" s="2"/>
      <c r="K972" s="5" t="s">
        <v>10247</v>
      </c>
      <c r="M972" s="18"/>
      <c r="N972" s="5" t="s">
        <v>9070</v>
      </c>
      <c r="O972" s="5" t="s">
        <v>9396</v>
      </c>
      <c r="P972" s="21" t="str">
        <f>IF(ISNUMBER(MATCH($C972,StackableKinds,0)), TRUE, "")</f>
        <v/>
      </c>
      <c r="Q972" s="7" t="b">
        <v>1</v>
      </c>
    </row>
    <row r="973" spans="1:17" x14ac:dyDescent="0.2">
      <c r="A973" s="19" t="str">
        <f>_xlfn.IFNA(VLOOKUP($B973,Keys!$A:$B,2,FALSE),_xlfn.IFNA(VLOOKUP($B973,Keys!$D:$E,2,FALSE),VLOOKUP($B973,Keys!$G:$H,2,FALSE)))</f>
        <v>0x0000001AC91049BD</v>
      </c>
      <c r="B973" s="5" t="s">
        <v>4088</v>
      </c>
      <c r="C973" s="5" t="s">
        <v>4</v>
      </c>
      <c r="D973" s="1" t="s">
        <v>16860</v>
      </c>
      <c r="E973" s="1"/>
      <c r="F973" s="1" t="s">
        <v>9412</v>
      </c>
      <c r="G973" s="1"/>
      <c r="H973" s="1" t="s">
        <v>12090</v>
      </c>
      <c r="I973" s="1"/>
      <c r="J973" s="2"/>
      <c r="K973" s="5" t="s">
        <v>12088</v>
      </c>
      <c r="M973" s="18" t="s">
        <v>12092</v>
      </c>
      <c r="N973" s="1"/>
      <c r="O973" s="1"/>
      <c r="P973" s="21" t="str">
        <f>IF(ISNUMBER(MATCH($C973,StackableKinds,0)), TRUE, "")</f>
        <v/>
      </c>
    </row>
    <row r="974" spans="1:17" x14ac:dyDescent="0.2">
      <c r="A974" s="19" t="str">
        <f>_xlfn.IFNA(VLOOKUP($B974,Keys!$A:$B,2,FALSE),_xlfn.IFNA(VLOOKUP($B974,Keys!$D:$E,2,FALSE),VLOOKUP($B974,Keys!$G:$H,2,FALSE)))</f>
        <v>0x0000001DE24034F3</v>
      </c>
      <c r="B974" s="5" t="s">
        <v>4009</v>
      </c>
      <c r="C974" s="5" t="s">
        <v>4</v>
      </c>
      <c r="D974" s="5" t="s">
        <v>16862</v>
      </c>
      <c r="E974" s="5"/>
      <c r="F974" s="5" t="s">
        <v>9249</v>
      </c>
      <c r="G974" s="1"/>
      <c r="H974" s="5" t="s">
        <v>10202</v>
      </c>
      <c r="I974" s="1"/>
      <c r="J974" s="2"/>
      <c r="K974" s="5" t="s">
        <v>10244</v>
      </c>
      <c r="M974" s="18"/>
      <c r="N974" s="5" t="s">
        <v>9251</v>
      </c>
      <c r="O974" s="1"/>
      <c r="P974" s="21" t="str">
        <f>IF(ISNUMBER(MATCH($C974,StackableKinds,0)), TRUE, "")</f>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IF(ISNUMBER(MATCH($C975,StackableKinds,0)), TRUE, "")</f>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IF(ISNUMBER(MATCH($C976,StackableKinds,0)), TRUE, "")</f>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IF(ISNUMBER(MATCH($C977,StackableKinds,0)), TRUE, "")</f>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IF(ISNUMBER(MATCH($C978,StackableKinds,0)), TRUE, "")</f>
        <v/>
      </c>
      <c r="Q978" s="7" t="b">
        <v>1</v>
      </c>
    </row>
    <row r="979" spans="1:17" x14ac:dyDescent="0.2">
      <c r="A979" s="19" t="str">
        <f>_xlfn.IFNA(VLOOKUP($B979,Keys!$A:$B,2,FALSE),_xlfn.IFNA(VLOOKUP($B979,Keys!$D:$E,2,FALSE),VLOOKUP($B979,Keys!$G:$H,2,FALSE)))</f>
        <v>0x0000001634B68CD7</v>
      </c>
      <c r="B979" s="5" t="s">
        <v>1164</v>
      </c>
      <c r="C979" s="5" t="s">
        <v>4</v>
      </c>
      <c r="D979" s="5" t="s">
        <v>16858</v>
      </c>
      <c r="E979" s="5"/>
      <c r="F979" s="5" t="s">
        <v>9073</v>
      </c>
      <c r="H979" s="5" t="s">
        <v>10736</v>
      </c>
      <c r="I979" s="1"/>
      <c r="J979" s="2"/>
      <c r="K979" s="5" t="s">
        <v>10740</v>
      </c>
      <c r="L979" s="1"/>
      <c r="M979" s="18"/>
      <c r="N979" s="5" t="s">
        <v>9073</v>
      </c>
      <c r="O979" s="5" t="s">
        <v>9075</v>
      </c>
      <c r="P979" s="21" t="str">
        <f>IF(ISNUMBER(MATCH($C979,StackableKinds,0)), TRUE, "")</f>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IF(ISNUMBER(MATCH($C980,StackableKinds,0)), TRUE, "")</f>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IF(ISNUMBER(MATCH($C981,StackableKinds,0)), TRUE, "")</f>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IF(ISNUMBER(MATCH($C982,StackableKinds,0)), TRUE, "")</f>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IF(ISNUMBER(MATCH($C983,StackableKinds,0)), TRUE, "")</f>
        <v/>
      </c>
      <c r="Q983" s="7" t="b">
        <v>1</v>
      </c>
    </row>
    <row r="984" spans="1:17" x14ac:dyDescent="0.2">
      <c r="A984" s="19" t="str">
        <f>_xlfn.IFNA(VLOOKUP($B984,Keys!$A:$B,2,FALSE),_xlfn.IFNA(VLOOKUP($B984,Keys!$D:$E,2,FALSE),VLOOKUP($B984,Keys!$G:$H,2,FALSE)))</f>
        <v>0x00000014466B42A7</v>
      </c>
      <c r="B984" s="5" t="s">
        <v>1678</v>
      </c>
      <c r="C984" s="5" t="s">
        <v>4</v>
      </c>
      <c r="D984" s="5" t="s">
        <v>16860</v>
      </c>
      <c r="E984" s="5"/>
      <c r="F984" s="5" t="s">
        <v>9249</v>
      </c>
      <c r="G984" s="5" t="s">
        <v>8971</v>
      </c>
      <c r="H984" s="5" t="s">
        <v>9540</v>
      </c>
      <c r="I984" s="1"/>
      <c r="J984" s="2"/>
      <c r="K984" s="5" t="s">
        <v>9541</v>
      </c>
      <c r="M984" s="20" t="s">
        <v>11159</v>
      </c>
      <c r="N984" s="5" t="s">
        <v>9251</v>
      </c>
      <c r="O984" s="5" t="s">
        <v>9252</v>
      </c>
      <c r="P984" s="21" t="str">
        <f>IF(ISNUMBER(MATCH($C984,StackableKinds,0)), TRUE, "")</f>
        <v/>
      </c>
      <c r="Q984" s="7" t="b">
        <v>1</v>
      </c>
    </row>
    <row r="985" spans="1:17" x14ac:dyDescent="0.2">
      <c r="A985" s="19" t="str">
        <f>_xlfn.IFNA(VLOOKUP($B985,Keys!$A:$B,2,FALSE),_xlfn.IFNA(VLOOKUP($B985,Keys!$D:$E,2,FALSE),VLOOKUP($B985,Keys!$G:$H,2,FALSE)))</f>
        <v>0x0000001475501D53</v>
      </c>
      <c r="B985" s="5" t="s">
        <v>1680</v>
      </c>
      <c r="C985" s="5" t="s">
        <v>4</v>
      </c>
      <c r="D985" s="5" t="s">
        <v>16860</v>
      </c>
      <c r="E985" s="5"/>
      <c r="F985" s="5" t="s">
        <v>9412</v>
      </c>
      <c r="G985" s="5" t="s">
        <v>8971</v>
      </c>
      <c r="H985" s="5" t="s">
        <v>9540</v>
      </c>
      <c r="I985" s="1"/>
      <c r="J985" s="2"/>
      <c r="K985" s="5" t="s">
        <v>9542</v>
      </c>
      <c r="M985" s="20" t="s">
        <v>11160</v>
      </c>
      <c r="N985" s="5" t="s">
        <v>9414</v>
      </c>
      <c r="O985" s="5" t="s">
        <v>9415</v>
      </c>
      <c r="P985" s="21" t="str">
        <f>IF(ISNUMBER(MATCH($C985,StackableKinds,0)), TRUE, "")</f>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IF(ISNUMBER(MATCH($C986,StackableKinds,0)), TRUE, "")</f>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IF(ISNUMBER(MATCH($C987,StackableKinds,0)), TRUE, "")</f>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IF(ISNUMBER(MATCH($C988,StackableKinds,0)), TRUE, "")</f>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IF(ISNUMBER(MATCH($C989,StackableKinds,0)), TRUE, "")</f>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IF(ISNUMBER(MATCH($C990,StackableKinds,0)), TRUE, "")</f>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IF(ISNUMBER(MATCH($C991,StackableKinds,0)), TRUE, "")</f>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IF(ISNUMBER(MATCH($C992,StackableKinds,0)), TRUE, "")</f>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IF(ISNUMBER(MATCH($C993,StackableKinds,0)), TRUE, "")</f>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IF(ISNUMBER(MATCH($C994,StackableKinds,0)), TRUE, "")</f>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IF(ISNUMBER(MATCH($C995,StackableKinds,0)), TRUE, "")</f>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IF(ISNUMBER(MATCH($C996,StackableKinds,0)), TRUE, "")</f>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IF(ISNUMBER(MATCH($C997,StackableKinds,0)), TRUE, "")</f>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IF(ISNUMBER(MATCH($C998,StackableKinds,0)), TRUE, "")</f>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IF(ISNUMBER(MATCH($C999,StackableKinds,0)), TRUE, "")</f>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IF(ISNUMBER(MATCH($C1000,StackableKinds,0)), TRUE, "")</f>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IF(ISNUMBER(MATCH($C1001,StackableKinds,0)), TRUE, "")</f>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IF(ISNUMBER(MATCH($C1002,StackableKinds,0)), TRUE, "")</f>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IF(ISNUMBER(MATCH($C1003,StackableKinds,0)), TRUE, "")</f>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IF(ISNUMBER(MATCH($C1004,StackableKinds,0)), TRUE, "")</f>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IF(ISNUMBER(MATCH($C1005,StackableKinds,0)), TRUE, "")</f>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IF(ISNUMBER(MATCH($C1006,StackableKinds,0)), TRUE, "")</f>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IF(ISNUMBER(MATCH($C1007,StackableKinds,0)), TRUE, "")</f>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IF(ISNUMBER(MATCH($C1008,StackableKinds,0)), TRUE, "")</f>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IF(ISNUMBER(MATCH($C1009,StackableKinds,0)), TRUE, "")</f>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IF(ISNUMBER(MATCH($C1010,StackableKinds,0)), TRUE, "")</f>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IF(ISNUMBER(MATCH($C1011,StackableKinds,0)), TRUE, "")</f>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IF(ISNUMBER(MATCH($C1012,StackableKinds,0)), TRUE, "")</f>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IF(ISNUMBER(MATCH($C1013,StackableKinds,0)), TRUE, "")</f>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IF(ISNUMBER(MATCH($C1014,StackableKinds,0)), TRUE, "")</f>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IF(ISNUMBER(MATCH($C1015,StackableKinds,0)), TRUE, "")</f>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IF(ISNUMBER(MATCH($C1016,StackableKinds,0)), TRUE, "")</f>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IF(ISNUMBER(MATCH($C1017,StackableKinds,0)), TRUE, "")</f>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IF(ISNUMBER(MATCH($C1018,StackableKinds,0)), TRUE, "")</f>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IF(ISNUMBER(MATCH($C1019,StackableKinds,0)), TRUE, "")</f>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IF(ISNUMBER(MATCH($C1020,StackableKinds,0)), TRUE, "")</f>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IF(ISNUMBER(MATCH($C1021,StackableKinds,0)), TRUE, "")</f>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IF(ISNUMBER(MATCH($C1022,StackableKinds,0)), TRUE, "")</f>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IF(ISNUMBER(MATCH($C1023,StackableKinds,0)), TRUE, "")</f>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IF(ISNUMBER(MATCH($C1024,StackableKinds,0)), TRUE, "")</f>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IF(ISNUMBER(MATCH($C1026,StackableKinds,0)), TRUE, "")</f>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IF(ISNUMBER(MATCH($C1027,StackableKinds,0)), TRUE, "")</f>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IF(ISNUMBER(MATCH($C1028,StackableKinds,0)), TRUE, "")</f>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IF(ISNUMBER(MATCH($C1029,StackableKinds,0)), TRUE, "")</f>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IF(ISNUMBER(MATCH($C1030,StackableKinds,0)), TRUE, "")</f>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IF(ISNUMBER(MATCH($C1031,StackableKinds,0)), TRUE, "")</f>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IF(ISNUMBER(MATCH($C1032,StackableKinds,0)), TRUE, "")</f>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IF(ISNUMBER(MATCH($C1033,StackableKinds,0)), TRUE, "")</f>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IF(ISNUMBER(MATCH($C1034,StackableKinds,0)), TRUE, "")</f>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IF(ISNUMBER(MATCH($C1035,StackableKinds,0)), TRUE, "")</f>
        <v/>
      </c>
      <c r="Q1035" s="7" t="b">
        <v>1</v>
      </c>
    </row>
    <row r="1036" spans="1:17" x14ac:dyDescent="0.2">
      <c r="A1036" s="19" t="str">
        <f>_xlfn.IFNA(VLOOKUP($B1036,Keys!$A:$B,2,FALSE),_xlfn.IFNA(VLOOKUP($B1036,Keys!$D:$E,2,FALSE),VLOOKUP($B1036,Keys!$G:$H,2,FALSE)))</f>
        <v>0x000000155AC5B1CB</v>
      </c>
      <c r="B1036" s="5" t="s">
        <v>1102</v>
      </c>
      <c r="C1036" s="5" t="s">
        <v>3</v>
      </c>
      <c r="D1036" s="5" t="s">
        <v>16862</v>
      </c>
      <c r="E1036" s="5"/>
      <c r="F1036" s="1"/>
      <c r="G1036" s="5" t="s">
        <v>8971</v>
      </c>
      <c r="H1036" s="1"/>
      <c r="I1036" s="1"/>
      <c r="J1036" s="2"/>
      <c r="K1036" s="5" t="s">
        <v>9283</v>
      </c>
      <c r="L1036" s="1"/>
      <c r="M1036" s="18"/>
      <c r="N1036" s="1"/>
      <c r="O1036" s="1"/>
      <c r="P1036" s="21" t="b">
        <f>IF(ISNUMBER(MATCH($C1036,StackableKinds,0)), TRUE, "")</f>
        <v>1</v>
      </c>
      <c r="Q1036" s="2"/>
    </row>
    <row r="1037" spans="1:17" x14ac:dyDescent="0.2">
      <c r="A1037" s="19" t="str">
        <f>_xlfn.IFNA(VLOOKUP($B1037,Keys!$A:$B,2,FALSE),_xlfn.IFNA(VLOOKUP($B1037,Keys!$D:$E,2,FALSE),VLOOKUP($B1037,Keys!$G:$H,2,FALSE)))</f>
        <v>0x00000013DF810683</v>
      </c>
      <c r="B1037" s="5" t="s">
        <v>1378</v>
      </c>
      <c r="C1037" s="5" t="s">
        <v>3</v>
      </c>
      <c r="D1037" s="5" t="s">
        <v>16859</v>
      </c>
      <c r="E1037" s="5"/>
      <c r="F1037" s="1"/>
      <c r="G1037" s="5" t="s">
        <v>8971</v>
      </c>
      <c r="H1037" s="1"/>
      <c r="I1037" s="1"/>
      <c r="J1037" s="2"/>
      <c r="K1037" s="5" t="s">
        <v>9352</v>
      </c>
      <c r="M1037" s="18"/>
      <c r="N1037" s="1"/>
      <c r="O1037" s="1"/>
      <c r="P1037" s="21" t="b">
        <f>IF(ISNUMBER(MATCH($C1037,StackableKinds,0)), TRUE, "")</f>
        <v>1</v>
      </c>
    </row>
    <row r="1038" spans="1:17" x14ac:dyDescent="0.2">
      <c r="A1038" s="19" t="str">
        <f>_xlfn.IFNA(VLOOKUP($B1038,Keys!$A:$B,2,FALSE),_xlfn.IFNA(VLOOKUP($B1038,Keys!$D:$E,2,FALSE),VLOOKUP($B1038,Keys!$G:$H,2,FALSE)))</f>
        <v>0x0000001CB57F7F11</v>
      </c>
      <c r="B1038" s="5" t="s">
        <v>4114</v>
      </c>
      <c r="C1038" s="5" t="s">
        <v>3</v>
      </c>
      <c r="D1038" s="5" t="s">
        <v>16859</v>
      </c>
      <c r="E1038" s="5"/>
      <c r="F1038" s="1"/>
      <c r="G1038" s="5" t="s">
        <v>8971</v>
      </c>
      <c r="H1038" s="1"/>
      <c r="I1038" s="1"/>
      <c r="J1038" s="2"/>
      <c r="K1038" s="5" t="s">
        <v>10261</v>
      </c>
      <c r="M1038" s="18"/>
      <c r="N1038" s="1"/>
      <c r="O1038" s="1"/>
      <c r="P1038" s="21" t="b">
        <f>IF(ISNUMBER(MATCH($C1038,StackableKinds,0)), TRUE, "")</f>
        <v>1</v>
      </c>
    </row>
    <row r="1039" spans="1:17" x14ac:dyDescent="0.2">
      <c r="A1039" s="19" t="str">
        <f>_xlfn.IFNA(VLOOKUP($B1039,Keys!$A:$B,2,FALSE),_xlfn.IFNA(VLOOKUP($B1039,Keys!$D:$E,2,FALSE),VLOOKUP($B1039,Keys!$G:$H,2,FALSE)))</f>
        <v>0x0000001346885739</v>
      </c>
      <c r="B1039" s="5" t="s">
        <v>1380</v>
      </c>
      <c r="C1039" s="5" t="s">
        <v>3</v>
      </c>
      <c r="D1039" s="5" t="s">
        <v>16859</v>
      </c>
      <c r="E1039" s="5"/>
      <c r="F1039" s="1"/>
      <c r="G1039" s="5" t="s">
        <v>8971</v>
      </c>
      <c r="H1039" s="1"/>
      <c r="I1039" s="1"/>
      <c r="J1039" s="2"/>
      <c r="K1039" s="5" t="s">
        <v>9353</v>
      </c>
      <c r="M1039" s="18"/>
      <c r="N1039" s="1"/>
      <c r="O1039" s="1"/>
      <c r="P1039" s="21" t="b">
        <f>IF(ISNUMBER(MATCH($C1039,StackableKinds,0)), TRUE, "")</f>
        <v>1</v>
      </c>
    </row>
    <row r="1040" spans="1:17" x14ac:dyDescent="0.2">
      <c r="A1040" s="19" t="str">
        <f>_xlfn.IFNA(VLOOKUP($B1040,Keys!$A:$B,2,FALSE),_xlfn.IFNA(VLOOKUP($B1040,Keys!$D:$E,2,FALSE),VLOOKUP($B1040,Keys!$G:$H,2,FALSE)))</f>
        <v>0x0000002138555834</v>
      </c>
      <c r="B1040" s="5" t="s">
        <v>4116</v>
      </c>
      <c r="C1040" s="5" t="s">
        <v>3</v>
      </c>
      <c r="D1040" s="5" t="s">
        <v>16858</v>
      </c>
      <c r="E1040" s="5"/>
      <c r="F1040" s="1"/>
      <c r="G1040" s="5" t="s">
        <v>8971</v>
      </c>
      <c r="H1040" s="1"/>
      <c r="I1040" s="1"/>
      <c r="J1040" s="2"/>
      <c r="K1040" s="5" t="s">
        <v>10262</v>
      </c>
      <c r="M1040" s="18"/>
      <c r="N1040" s="1"/>
      <c r="O1040" s="1"/>
      <c r="P1040" s="21" t="b">
        <f>IF(ISNUMBER(MATCH($C1040,StackableKinds,0)), TRUE, "")</f>
        <v>1</v>
      </c>
    </row>
    <row r="1041" spans="1:17" x14ac:dyDescent="0.2">
      <c r="A1041" s="19" t="str">
        <f>_xlfn.IFNA(VLOOKUP($B1041,Keys!$A:$B,2,FALSE),_xlfn.IFNA(VLOOKUP($B1041,Keys!$D:$E,2,FALSE),VLOOKUP($B1041,Keys!$G:$H,2,FALSE)))</f>
        <v>0x00000018A5EC1EA5</v>
      </c>
      <c r="B1041" s="5" t="s">
        <v>2516</v>
      </c>
      <c r="C1041" s="5" t="s">
        <v>3</v>
      </c>
      <c r="D1041" s="5" t="s">
        <v>16858</v>
      </c>
      <c r="E1041" s="5"/>
      <c r="F1041" s="1"/>
      <c r="G1041" s="5" t="s">
        <v>8971</v>
      </c>
      <c r="H1041" s="1"/>
      <c r="I1041" s="1"/>
      <c r="J1041" s="2"/>
      <c r="K1041" s="5" t="s">
        <v>9804</v>
      </c>
      <c r="M1041" s="18"/>
      <c r="N1041" s="1"/>
      <c r="O1041" s="1"/>
      <c r="P1041" s="21" t="b">
        <f>IF(ISNUMBER(MATCH($C1041,StackableKinds,0)), TRUE, "")</f>
        <v>1</v>
      </c>
    </row>
    <row r="1042" spans="1:17" x14ac:dyDescent="0.2">
      <c r="A1042" s="19" t="str">
        <f>_xlfn.IFNA(VLOOKUP($B1042,Keys!$A:$B,2,FALSE),_xlfn.IFNA(VLOOKUP($B1042,Keys!$D:$E,2,FALSE),VLOOKUP($B1042,Keys!$G:$H,2,FALSE)))</f>
        <v>0x000000183CE54F1F</v>
      </c>
      <c r="B1042" s="5" t="s">
        <v>2518</v>
      </c>
      <c r="C1042" s="5" t="s">
        <v>3</v>
      </c>
      <c r="D1042" s="5" t="s">
        <v>16858</v>
      </c>
      <c r="E1042" s="5"/>
      <c r="F1042" s="1"/>
      <c r="G1042" s="5" t="s">
        <v>8971</v>
      </c>
      <c r="H1042" s="1"/>
      <c r="I1042" s="1"/>
      <c r="J1042" s="2"/>
      <c r="K1042" s="5" t="s">
        <v>9805</v>
      </c>
      <c r="M1042" s="18"/>
      <c r="N1042" s="1"/>
      <c r="O1042" s="1"/>
      <c r="P1042" s="21" t="b">
        <f>IF(ISNUMBER(MATCH($C1042,StackableKinds,0)), TRUE, "")</f>
        <v>1</v>
      </c>
    </row>
    <row r="1043" spans="1:17" x14ac:dyDescent="0.2">
      <c r="A1043" s="19" t="str">
        <f>_xlfn.IFNA(VLOOKUP($B1043,Keys!$A:$B,2,FALSE),_xlfn.IFNA(VLOOKUP($B1043,Keys!$D:$E,2,FALSE),VLOOKUP($B1043,Keys!$G:$H,2,FALSE)))</f>
        <v>0x000000130181345A</v>
      </c>
      <c r="B1043" s="5" t="s">
        <v>4192</v>
      </c>
      <c r="C1043" s="5" t="s">
        <v>3</v>
      </c>
      <c r="D1043" s="5" t="s">
        <v>16860</v>
      </c>
      <c r="E1043" s="5"/>
      <c r="F1043" s="1"/>
      <c r="G1043" s="5" t="s">
        <v>8971</v>
      </c>
      <c r="H1043" s="1"/>
      <c r="I1043" s="1"/>
      <c r="J1043" s="2"/>
      <c r="K1043" s="5" t="s">
        <v>10265</v>
      </c>
      <c r="M1043" s="18"/>
      <c r="N1043" s="1"/>
      <c r="O1043" s="1"/>
      <c r="P1043" s="21" t="b">
        <f>IF(ISNUMBER(MATCH($C1043,StackableKinds,0)), TRUE, "")</f>
        <v>1</v>
      </c>
    </row>
    <row r="1044" spans="1:17" x14ac:dyDescent="0.2">
      <c r="A1044" s="19" t="str">
        <f>_xlfn.IFNA(VLOOKUP($B1044,Keys!$A:$B,2,FALSE),_xlfn.IFNA(VLOOKUP($B1044,Keys!$D:$E,2,FALSE),VLOOKUP($B1044,Keys!$G:$H,2,FALSE)))</f>
        <v>0x0000001C6B7F4DC8</v>
      </c>
      <c r="B1044" s="5" t="s">
        <v>4118</v>
      </c>
      <c r="C1044" s="5" t="s">
        <v>3</v>
      </c>
      <c r="D1044" s="5" t="s">
        <v>16860</v>
      </c>
      <c r="E1044" s="5"/>
      <c r="F1044" s="1"/>
      <c r="G1044" s="5" t="s">
        <v>8971</v>
      </c>
      <c r="H1044" s="1"/>
      <c r="I1044" s="1"/>
      <c r="J1044" s="2"/>
      <c r="K1044" s="5" t="s">
        <v>10263</v>
      </c>
      <c r="M1044" s="18"/>
      <c r="N1044" s="1"/>
      <c r="O1044" s="1"/>
      <c r="P1044" s="21" t="b">
        <f>IF(ISNUMBER(MATCH($C1044,StackableKinds,0)), TRUE, "")</f>
        <v>1</v>
      </c>
    </row>
    <row r="1045" spans="1:17" x14ac:dyDescent="0.2">
      <c r="A1045" s="19" t="str">
        <f>_xlfn.IFNA(VLOOKUP($B1045,Keys!$A:$B,2,FALSE),_xlfn.IFNA(VLOOKUP($B1045,Keys!$D:$E,2,FALSE),VLOOKUP($B1045,Keys!$G:$H,2,FALSE)))</f>
        <v>0x00000013988865E0</v>
      </c>
      <c r="B1045" s="5" t="s">
        <v>4194</v>
      </c>
      <c r="C1045" s="5" t="s">
        <v>3</v>
      </c>
      <c r="D1045" s="5" t="s">
        <v>16860</v>
      </c>
      <c r="E1045" s="5"/>
      <c r="F1045" s="1"/>
      <c r="G1045" s="5" t="s">
        <v>8971</v>
      </c>
      <c r="H1045" s="1"/>
      <c r="I1045" s="1"/>
      <c r="J1045" s="2"/>
      <c r="K1045" s="5" t="s">
        <v>10266</v>
      </c>
      <c r="M1045" s="18"/>
      <c r="N1045" s="1"/>
      <c r="O1045" s="1"/>
      <c r="P1045" s="21" t="b">
        <f>IF(ISNUMBER(MATCH($C1045,StackableKinds,0)), TRUE, "")</f>
        <v>1</v>
      </c>
    </row>
    <row r="1046" spans="1:17" x14ac:dyDescent="0.2">
      <c r="A1046" s="19" t="str">
        <f>_xlfn.IFNA(VLOOKUP($B1046,Keys!$A:$B,2,FALSE),_xlfn.IFNA(VLOOKUP($B1046,Keys!$D:$E,2,FALSE),VLOOKUP($B1046,Keys!$G:$H,2,FALSE)))</f>
        <v>0x0000001709E636CA</v>
      </c>
      <c r="B1046" s="5" t="s">
        <v>5625</v>
      </c>
      <c r="C1046" s="5" t="s">
        <v>3</v>
      </c>
      <c r="D1046" s="5" t="s">
        <v>16861</v>
      </c>
      <c r="E1046" s="5"/>
      <c r="F1046" s="5" t="s">
        <v>8971</v>
      </c>
      <c r="G1046" s="1"/>
      <c r="H1046" s="1"/>
      <c r="I1046" s="1"/>
      <c r="J1046" s="2"/>
      <c r="K1046" s="5" t="s">
        <v>10548</v>
      </c>
      <c r="L1046" s="1"/>
      <c r="M1046" s="18"/>
      <c r="N1046" s="1"/>
      <c r="O1046" s="1"/>
      <c r="P1046" s="21" t="b">
        <f>IF(ISNUMBER(MATCH($C1046,StackableKinds,0)), TRUE, "")</f>
        <v>1</v>
      </c>
      <c r="Q1046" s="2"/>
    </row>
    <row r="1047" spans="1:17" x14ac:dyDescent="0.2">
      <c r="A1047" s="19" t="str">
        <f>_xlfn.IFNA(VLOOKUP($B1047,Keys!$A:$B,2,FALSE),_xlfn.IFNA(VLOOKUP($B1047,Keys!$D:$E,2,FALSE),VLOOKUP($B1047,Keys!$G:$H,2,FALSE)))</f>
        <v>0x0000002062D7084F</v>
      </c>
      <c r="B1047" s="5" t="s">
        <v>4120</v>
      </c>
      <c r="C1047" s="5" t="s">
        <v>3</v>
      </c>
      <c r="D1047" s="5" t="s">
        <v>16861</v>
      </c>
      <c r="E1047" s="5"/>
      <c r="F1047" s="1"/>
      <c r="G1047" s="5" t="s">
        <v>8971</v>
      </c>
      <c r="H1047" s="1"/>
      <c r="I1047" s="1"/>
      <c r="J1047" s="2"/>
      <c r="K1047" s="5" t="s">
        <v>10264</v>
      </c>
      <c r="M1047" s="18"/>
      <c r="N1047" s="1"/>
      <c r="O1047" s="1"/>
      <c r="P1047" s="21" t="b">
        <f>IF(ISNUMBER(MATCH($C1047,StackableKinds,0)), TRUE, "")</f>
        <v>1</v>
      </c>
    </row>
    <row r="1048" spans="1:17" x14ac:dyDescent="0.2">
      <c r="A1048" s="19" t="str">
        <f>_xlfn.IFNA(VLOOKUP($B1048,Keys!$A:$B,2,FALSE),_xlfn.IFNA(VLOOKUP($B1048,Keys!$D:$E,2,FALSE),VLOOKUP($B1048,Keys!$G:$H,2,FALSE)))</f>
        <v>0x00000016B3657E02</v>
      </c>
      <c r="B1048" s="5" t="s">
        <v>1894</v>
      </c>
      <c r="C1048" s="5" t="s">
        <v>6</v>
      </c>
      <c r="D1048" s="5" t="s">
        <v>16862</v>
      </c>
      <c r="E1048" s="5"/>
      <c r="F1048" s="5" t="s">
        <v>412</v>
      </c>
      <c r="G1048" s="5" t="s">
        <v>8971</v>
      </c>
      <c r="H1048" s="1"/>
      <c r="I1048" s="1"/>
      <c r="J1048" s="2"/>
      <c r="K1048" s="5" t="s">
        <v>9568</v>
      </c>
      <c r="L1048" s="19" t="s">
        <v>11123</v>
      </c>
      <c r="M1048" s="18"/>
      <c r="N1048" s="1"/>
      <c r="O1048" s="1"/>
      <c r="P1048" s="21" t="b">
        <f>IF(ISNUMBER(MATCH($C1048,StackableKinds,0)), TRUE, "")</f>
        <v>1</v>
      </c>
    </row>
    <row r="1049" spans="1:17" x14ac:dyDescent="0.2">
      <c r="A1049" s="19" t="str">
        <f>_xlfn.IFNA(VLOOKUP($B1049,Keys!$A:$B,2,FALSE),_xlfn.IFNA(VLOOKUP($B1049,Keys!$D:$E,2,FALSE),VLOOKUP($B1049,Keys!$G:$H,2,FALSE)))</f>
        <v>0x00000018C0E359EA</v>
      </c>
      <c r="B1049" s="5" t="s">
        <v>2636</v>
      </c>
      <c r="C1049" s="5" t="s">
        <v>6</v>
      </c>
      <c r="D1049" s="5" t="s">
        <v>16862</v>
      </c>
      <c r="E1049" s="5"/>
      <c r="F1049" s="5" t="s">
        <v>10862</v>
      </c>
      <c r="G1049" s="5" t="s">
        <v>8971</v>
      </c>
      <c r="H1049" s="1"/>
      <c r="I1049" s="1"/>
      <c r="J1049" s="2"/>
      <c r="K1049" s="5" t="s">
        <v>9826</v>
      </c>
      <c r="L1049" s="19" t="s">
        <v>11685</v>
      </c>
      <c r="M1049" s="20" t="s">
        <v>11170</v>
      </c>
      <c r="N1049" s="1"/>
      <c r="O1049" s="1"/>
      <c r="P1049" s="21" t="b">
        <f>IF(ISNUMBER(MATCH($C1049,StackableKinds,0)), TRUE, "")</f>
        <v>1</v>
      </c>
    </row>
    <row r="1050" spans="1:17" x14ac:dyDescent="0.2">
      <c r="A1050" s="19" t="str">
        <f>_xlfn.IFNA(VLOOKUP($B1050,Keys!$A:$B,2,FALSE),_xlfn.IFNA(VLOOKUP($B1050,Keys!$D:$E,2,FALSE),VLOOKUP($B1050,Keys!$G:$H,2,FALSE)))</f>
        <v>0x000000196132C297</v>
      </c>
      <c r="B1050" s="5" t="s">
        <v>1848</v>
      </c>
      <c r="C1050" s="5" t="s">
        <v>6</v>
      </c>
      <c r="D1050" s="5" t="s">
        <v>16862</v>
      </c>
      <c r="E1050" s="5"/>
      <c r="F1050" s="5" t="s">
        <v>10862</v>
      </c>
      <c r="G1050" s="5" t="s">
        <v>8971</v>
      </c>
      <c r="H1050" s="1"/>
      <c r="I1050" s="1"/>
      <c r="J1050" s="2"/>
      <c r="K1050" s="5" t="s">
        <v>9547</v>
      </c>
      <c r="L1050" s="19" t="s">
        <v>11685</v>
      </c>
      <c r="M1050" s="20" t="s">
        <v>11151</v>
      </c>
      <c r="N1050" s="1"/>
      <c r="O1050" s="1"/>
      <c r="P1050" s="21" t="b">
        <f>IF(ISNUMBER(MATCH($C1050,StackableKinds,0)), TRUE, "")</f>
        <v>1</v>
      </c>
    </row>
    <row r="1051" spans="1:17" x14ac:dyDescent="0.2">
      <c r="A1051" s="19" t="str">
        <f>_xlfn.IFNA(VLOOKUP($B1051,Keys!$A:$B,2,FALSE),_xlfn.IFNA(VLOOKUP($B1051,Keys!$D:$E,2,FALSE),VLOOKUP($B1051,Keys!$G:$H,2,FALSE)))</f>
        <v>0x00000018C78E9DF3</v>
      </c>
      <c r="B1051" s="5" t="s">
        <v>2628</v>
      </c>
      <c r="C1051" s="5" t="s">
        <v>6</v>
      </c>
      <c r="D1051" s="5" t="s">
        <v>16862</v>
      </c>
      <c r="E1051" s="5"/>
      <c r="F1051" s="5" t="s">
        <v>10862</v>
      </c>
      <c r="G1051" s="5" t="s">
        <v>8971</v>
      </c>
      <c r="H1051" s="1"/>
      <c r="I1051" s="1"/>
      <c r="J1051" s="2"/>
      <c r="K1051" s="5" t="s">
        <v>9822</v>
      </c>
      <c r="L1051" s="19" t="s">
        <v>11685</v>
      </c>
      <c r="M1051" s="20" t="s">
        <v>11166</v>
      </c>
      <c r="N1051" s="1"/>
      <c r="O1051" s="1"/>
      <c r="P1051" s="21" t="b">
        <f>IF(ISNUMBER(MATCH($C1051,StackableKinds,0)), TRUE, "")</f>
        <v>1</v>
      </c>
    </row>
    <row r="1052" spans="1:17" x14ac:dyDescent="0.2">
      <c r="A1052" s="19" t="str">
        <f>_xlfn.IFNA(VLOOKUP($B1052,Keys!$A:$B,2,FALSE),_xlfn.IFNA(VLOOKUP($B1052,Keys!$D:$E,2,FALSE),VLOOKUP($B1052,Keys!$G:$H,2,FALSE)))</f>
        <v>0x000000185E87CC49</v>
      </c>
      <c r="B1052" s="5" t="s">
        <v>2630</v>
      </c>
      <c r="C1052" s="5" t="s">
        <v>6</v>
      </c>
      <c r="D1052" s="5" t="s">
        <v>16862</v>
      </c>
      <c r="E1052" s="5"/>
      <c r="F1052" s="5" t="s">
        <v>10862</v>
      </c>
      <c r="G1052" s="5" t="s">
        <v>8971</v>
      </c>
      <c r="H1052" s="1"/>
      <c r="I1052" s="1"/>
      <c r="J1052" s="2"/>
      <c r="K1052" s="5" t="s">
        <v>9823</v>
      </c>
      <c r="L1052" s="19" t="s">
        <v>11685</v>
      </c>
      <c r="M1052" s="20" t="s">
        <v>11167</v>
      </c>
      <c r="N1052" s="1"/>
      <c r="O1052" s="1"/>
      <c r="P1052" s="21" t="b">
        <f>IF(ISNUMBER(MATCH($C1052,StackableKinds,0)), TRUE, "")</f>
        <v>1</v>
      </c>
    </row>
    <row r="1053" spans="1:17" x14ac:dyDescent="0.2">
      <c r="A1053" s="19" t="str">
        <f>_xlfn.IFNA(VLOOKUP($B1053,Keys!$A:$B,2,FALSE),_xlfn.IFNA(VLOOKUP($B1053,Keys!$D:$E,2,FALSE),VLOOKUP($B1053,Keys!$G:$H,2,FALSE)))</f>
        <v>0x00000018076C3794</v>
      </c>
      <c r="B1053" s="5" t="s">
        <v>2890</v>
      </c>
      <c r="C1053" s="5" t="s">
        <v>6</v>
      </c>
      <c r="D1053" s="5" t="s">
        <v>16862</v>
      </c>
      <c r="E1053" s="5"/>
      <c r="F1053" s="5" t="s">
        <v>412</v>
      </c>
      <c r="G1053" s="5" t="s">
        <v>8971</v>
      </c>
      <c r="H1053" s="1"/>
      <c r="I1053" s="1"/>
      <c r="J1053" s="2"/>
      <c r="K1053" s="5" t="s">
        <v>9938</v>
      </c>
      <c r="L1053" s="19" t="s">
        <v>11123</v>
      </c>
      <c r="M1053" s="18"/>
      <c r="N1053" s="1"/>
      <c r="O1053" s="1"/>
      <c r="P1053" s="21" t="b">
        <f>IF(ISNUMBER(MATCH($C1053,StackableKinds,0)), TRUE, "")</f>
        <v>1</v>
      </c>
      <c r="Q1053" s="2"/>
    </row>
    <row r="1054" spans="1:17" x14ac:dyDescent="0.2">
      <c r="A1054" s="19" t="str">
        <f>_xlfn.IFNA(VLOOKUP($B1054,Keys!$A:$B,2,FALSE),_xlfn.IFNA(VLOOKUP($B1054,Keys!$D:$E,2,FALSE),VLOOKUP($B1054,Keys!$G:$H,2,FALSE)))</f>
        <v>0x000000189E65662E</v>
      </c>
      <c r="B1054" s="5" t="s">
        <v>2892</v>
      </c>
      <c r="C1054" s="5" t="s">
        <v>6</v>
      </c>
      <c r="D1054" s="5" t="s">
        <v>16862</v>
      </c>
      <c r="E1054" s="5"/>
      <c r="F1054" s="5" t="s">
        <v>412</v>
      </c>
      <c r="G1054" s="5" t="s">
        <v>8971</v>
      </c>
      <c r="H1054" s="1"/>
      <c r="I1054" s="1"/>
      <c r="J1054" s="2"/>
      <c r="K1054" s="5" t="s">
        <v>9939</v>
      </c>
      <c r="L1054" s="19" t="s">
        <v>11123</v>
      </c>
      <c r="M1054" s="18"/>
      <c r="N1054" s="1"/>
      <c r="O1054" s="1"/>
      <c r="P1054" s="21" t="b">
        <f>IF(ISNUMBER(MATCH($C1054,StackableKinds,0)), TRUE, "")</f>
        <v>1</v>
      </c>
      <c r="Q1054" s="2"/>
    </row>
    <row r="1055" spans="1:17" x14ac:dyDescent="0.2">
      <c r="A1055" s="19" t="str">
        <f>_xlfn.IFNA(VLOOKUP($B1055,Keys!$A:$B,2,FALSE),_xlfn.IFNA(VLOOKUP($B1055,Keys!$D:$E,2,FALSE),VLOOKUP($B1055,Keys!$G:$H,2,FALSE)))</f>
        <v>0x00000018ED8BF6BE</v>
      </c>
      <c r="B1055" s="5" t="s">
        <v>5517</v>
      </c>
      <c r="C1055" s="5" t="s">
        <v>6</v>
      </c>
      <c r="D1055" s="5" t="s">
        <v>16862</v>
      </c>
      <c r="E1055" s="5"/>
      <c r="F1055" s="5" t="s">
        <v>10862</v>
      </c>
      <c r="G1055" s="1"/>
      <c r="H1055" s="1"/>
      <c r="I1055" s="1"/>
      <c r="J1055" s="2"/>
      <c r="K1055" s="5" t="s">
        <v>10457</v>
      </c>
      <c r="L1055" s="19" t="s">
        <v>11685</v>
      </c>
      <c r="M1055" s="20" t="s">
        <v>11185</v>
      </c>
      <c r="N1055" s="1"/>
      <c r="O1055" s="1"/>
      <c r="P1055" s="21" t="b">
        <f>IF(ISNUMBER(MATCH($C1055,StackableKinds,0)), TRUE, "")</f>
        <v>1</v>
      </c>
      <c r="Q1055" s="2"/>
    </row>
    <row r="1056" spans="1:17" x14ac:dyDescent="0.2">
      <c r="A1056" s="19" t="str">
        <f>_xlfn.IFNA(VLOOKUP($B1056,Keys!$A:$B,2,FALSE),_xlfn.IFNA(VLOOKUP($B1056,Keys!$D:$E,2,FALSE),VLOOKUP($B1056,Keys!$G:$H,2,FALSE)))</f>
        <v>0x0000001710161FA0</v>
      </c>
      <c r="B1056" s="5" t="s">
        <v>1884</v>
      </c>
      <c r="C1056" s="5" t="s">
        <v>6</v>
      </c>
      <c r="D1056" s="5" t="s">
        <v>16862</v>
      </c>
      <c r="E1056" s="5"/>
      <c r="F1056" s="5" t="s">
        <v>412</v>
      </c>
      <c r="G1056" s="5" t="s">
        <v>8971</v>
      </c>
      <c r="H1056" s="1"/>
      <c r="I1056" s="1"/>
      <c r="J1056" s="2"/>
      <c r="K1056" s="5" t="s">
        <v>9563</v>
      </c>
      <c r="L1056" s="19" t="s">
        <v>11123</v>
      </c>
      <c r="M1056" s="18"/>
      <c r="N1056" s="1"/>
      <c r="O1056" s="1"/>
      <c r="P1056" s="21" t="b">
        <f>IF(ISNUMBER(MATCH($C1056,StackableKinds,0)), TRUE, "")</f>
        <v>1</v>
      </c>
    </row>
    <row r="1057" spans="1:17" x14ac:dyDescent="0.2">
      <c r="A1057" s="19" t="str">
        <f>_xlfn.IFNA(VLOOKUP($B1057,Keys!$A:$B,2,FALSE),_xlfn.IFNA(VLOOKUP($B1057,Keys!$D:$E,2,FALSE),VLOOKUP($B1057,Keys!$G:$H,2,FALSE)))</f>
        <v>0x000000180EDA7BBF</v>
      </c>
      <c r="B1057" s="5" t="s">
        <v>2898</v>
      </c>
      <c r="C1057" s="5" t="s">
        <v>6</v>
      </c>
      <c r="D1057" s="5" t="s">
        <v>16862</v>
      </c>
      <c r="E1057" s="5"/>
      <c r="F1057" s="5" t="s">
        <v>412</v>
      </c>
      <c r="G1057" s="5" t="s">
        <v>8971</v>
      </c>
      <c r="H1057" s="1"/>
      <c r="I1057" s="1"/>
      <c r="J1057" s="2"/>
      <c r="K1057" s="5" t="s">
        <v>9942</v>
      </c>
      <c r="L1057" s="19" t="s">
        <v>11123</v>
      </c>
      <c r="M1057" s="18"/>
      <c r="N1057" s="1"/>
      <c r="O1057" s="1"/>
      <c r="P1057" s="21" t="b">
        <f>IF(ISNUMBER(MATCH($C1057,StackableKinds,0)), TRUE, "")</f>
        <v>1</v>
      </c>
      <c r="Q1057" s="2"/>
    </row>
    <row r="1058" spans="1:17" x14ac:dyDescent="0.2">
      <c r="A1058" s="19" t="str">
        <f>_xlfn.IFNA(VLOOKUP($B1058,Keys!$A:$B,2,FALSE),_xlfn.IFNA(VLOOKUP($B1058,Keys!$D:$E,2,FALSE),VLOOKUP($B1058,Keys!$G:$H,2,FALSE)))</f>
        <v>0x0000001804E8538B</v>
      </c>
      <c r="B1058" s="5" t="s">
        <v>5521</v>
      </c>
      <c r="C1058" s="5" t="s">
        <v>6</v>
      </c>
      <c r="D1058" s="5" t="s">
        <v>16862</v>
      </c>
      <c r="E1058" s="5"/>
      <c r="F1058" s="5" t="s">
        <v>10862</v>
      </c>
      <c r="G1058" s="1"/>
      <c r="H1058" s="1"/>
      <c r="I1058" s="1"/>
      <c r="J1058" s="2"/>
      <c r="K1058" s="5" t="s">
        <v>10459</v>
      </c>
      <c r="L1058" s="19" t="s">
        <v>11685</v>
      </c>
      <c r="M1058" s="20" t="s">
        <v>11187</v>
      </c>
      <c r="N1058" s="1"/>
      <c r="O1058" s="1"/>
      <c r="P1058" s="21" t="b">
        <f>IF(ISNUMBER(MATCH($C1058,StackableKinds,0)), TRUE, "")</f>
        <v>1</v>
      </c>
      <c r="Q1058" s="2"/>
    </row>
    <row r="1059" spans="1:17" x14ac:dyDescent="0.2">
      <c r="A1059" s="19" t="str">
        <f>_xlfn.IFNA(VLOOKUP($B1059,Keys!$A:$B,2,FALSE),_xlfn.IFNA(VLOOKUP($B1059,Keys!$D:$E,2,FALSE),VLOOKUP($B1059,Keys!$G:$H,2,FALSE)))</f>
        <v>0x0000001BE17E7C56</v>
      </c>
      <c r="B1059" s="5" t="s">
        <v>2826</v>
      </c>
      <c r="C1059" s="5" t="s">
        <v>6</v>
      </c>
      <c r="D1059" s="5" t="s">
        <v>16862</v>
      </c>
      <c r="E1059" s="5"/>
      <c r="F1059" s="5" t="s">
        <v>10862</v>
      </c>
      <c r="G1059" s="5" t="s">
        <v>8971</v>
      </c>
      <c r="H1059" s="1"/>
      <c r="I1059" s="1"/>
      <c r="J1059" s="2"/>
      <c r="K1059" s="5" t="s">
        <v>9908</v>
      </c>
      <c r="L1059" s="19" t="s">
        <v>11685</v>
      </c>
      <c r="M1059" s="20" t="s">
        <v>11180</v>
      </c>
      <c r="N1059" s="1"/>
      <c r="O1059" s="1"/>
      <c r="P1059" s="21" t="b">
        <f>IF(ISNUMBER(MATCH($C1059,StackableKinds,0)), TRUE, "")</f>
        <v>1</v>
      </c>
    </row>
    <row r="1060" spans="1:17" x14ac:dyDescent="0.2">
      <c r="A1060" s="19" t="str">
        <f>_xlfn.IFNA(VLOOKUP($B1060,Keys!$A:$B,2,FALSE),_xlfn.IFNA(VLOOKUP($B1060,Keys!$D:$E,2,FALSE),VLOOKUP($B1060,Keys!$G:$H,2,FALSE)))</f>
        <v>0x0000001BE613B84F</v>
      </c>
      <c r="B1060" s="5" t="s">
        <v>2818</v>
      </c>
      <c r="C1060" s="5" t="s">
        <v>6</v>
      </c>
      <c r="D1060" s="5" t="s">
        <v>16862</v>
      </c>
      <c r="E1060" s="5"/>
      <c r="F1060" s="5" t="s">
        <v>10862</v>
      </c>
      <c r="G1060" s="5" t="s">
        <v>8971</v>
      </c>
      <c r="H1060" s="1"/>
      <c r="I1060" s="1"/>
      <c r="J1060" s="2"/>
      <c r="K1060" s="5" t="s">
        <v>9904</v>
      </c>
      <c r="L1060" s="19" t="s">
        <v>11685</v>
      </c>
      <c r="M1060" s="20" t="s">
        <v>11177</v>
      </c>
      <c r="N1060" s="1"/>
      <c r="O1060" s="1"/>
      <c r="P1060" s="21" t="b">
        <f>IF(ISNUMBER(MATCH($C1060,StackableKinds,0)), TRUE, "")</f>
        <v>1</v>
      </c>
      <c r="Q1060" s="2"/>
    </row>
    <row r="1061" spans="1:17" x14ac:dyDescent="0.2">
      <c r="A1061" s="19" t="str">
        <f>_xlfn.IFNA(VLOOKUP($B1061,Keys!$A:$B,2,FALSE),_xlfn.IFNA(VLOOKUP($B1061,Keys!$D:$E,2,FALSE),VLOOKUP($B1061,Keys!$G:$H,2,FALSE)))</f>
        <v>0x000000145C1A7DFB</v>
      </c>
      <c r="B1061" s="5" t="s">
        <v>600</v>
      </c>
      <c r="C1061" s="5" t="s">
        <v>6</v>
      </c>
      <c r="D1061" s="5" t="s">
        <v>16861</v>
      </c>
      <c r="E1061" s="5"/>
      <c r="F1061" s="5" t="s">
        <v>8753</v>
      </c>
      <c r="G1061" s="5" t="s">
        <v>8971</v>
      </c>
      <c r="H1061" s="1"/>
      <c r="I1061" s="1"/>
      <c r="J1061" s="2"/>
      <c r="K1061" s="5" t="s">
        <v>9067</v>
      </c>
      <c r="L1061" s="1" t="s">
        <v>10859</v>
      </c>
      <c r="M1061" s="18"/>
      <c r="N1061" s="5" t="s">
        <v>6</v>
      </c>
      <c r="O1061" s="1"/>
      <c r="P1061" s="21" t="b">
        <f>IF(ISNUMBER(MATCH($C1061,StackableKinds,0)), TRUE, "")</f>
        <v>1</v>
      </c>
      <c r="Q1061" s="2"/>
    </row>
    <row r="1062" spans="1:17" x14ac:dyDescent="0.2">
      <c r="A1062" s="19" t="str">
        <f>_xlfn.IFNA(VLOOKUP($B1062,Keys!$A:$B,2,FALSE),_xlfn.IFNA(VLOOKUP($B1062,Keys!$D:$E,2,FALSE),VLOOKUP($B1062,Keys!$G:$H,2,FALSE)))</f>
        <v>0x000000142B1D4D6D</v>
      </c>
      <c r="B1062" s="5" t="s">
        <v>602</v>
      </c>
      <c r="C1062" s="5" t="s">
        <v>6</v>
      </c>
      <c r="D1062" s="5" t="s">
        <v>16860</v>
      </c>
      <c r="E1062" s="5"/>
      <c r="F1062" s="5" t="s">
        <v>8753</v>
      </c>
      <c r="G1062" s="5" t="s">
        <v>8971</v>
      </c>
      <c r="H1062" s="1"/>
      <c r="I1062" s="1"/>
      <c r="J1062" s="2"/>
      <c r="K1062" s="5" t="s">
        <v>9068</v>
      </c>
      <c r="L1062" s="1" t="s">
        <v>10860</v>
      </c>
      <c r="M1062" s="18"/>
      <c r="N1062" s="5" t="s">
        <v>6</v>
      </c>
      <c r="O1062" s="1"/>
      <c r="P1062" s="21" t="b">
        <f>IF(ISNUMBER(MATCH($C1062,StackableKinds,0)), TRUE, "")</f>
        <v>1</v>
      </c>
      <c r="Q1062" s="2"/>
    </row>
    <row r="1063" spans="1:17" x14ac:dyDescent="0.2">
      <c r="A1063" s="19" t="str">
        <f>_xlfn.IFNA(VLOOKUP($B1063,Keys!$A:$B,2,FALSE),_xlfn.IFNA(VLOOKUP($B1063,Keys!$D:$E,2,FALSE),VLOOKUP($B1063,Keys!$G:$H,2,FALSE)))</f>
        <v>0x00000014B2141CD7</v>
      </c>
      <c r="B1063" s="5" t="s">
        <v>604</v>
      </c>
      <c r="C1063" s="5" t="s">
        <v>6</v>
      </c>
      <c r="D1063" s="5" t="s">
        <v>16859</v>
      </c>
      <c r="E1063" s="5"/>
      <c r="F1063" s="5" t="s">
        <v>8753</v>
      </c>
      <c r="G1063" s="5" t="s">
        <v>8971</v>
      </c>
      <c r="H1063" s="1"/>
      <c r="I1063" s="1"/>
      <c r="J1063" s="2"/>
      <c r="K1063" s="5" t="s">
        <v>9069</v>
      </c>
      <c r="L1063" s="1" t="s">
        <v>10861</v>
      </c>
      <c r="M1063" s="18"/>
      <c r="N1063" s="5" t="s">
        <v>6</v>
      </c>
      <c r="O1063" s="1"/>
      <c r="P1063" s="21" t="b">
        <f>IF(ISNUMBER(MATCH($C1063,StackableKinds,0)), TRUE, "")</f>
        <v>1</v>
      </c>
      <c r="Q1063" s="2"/>
    </row>
    <row r="1064" spans="1:17" x14ac:dyDescent="0.2">
      <c r="A1064" s="19" t="str">
        <f>_xlfn.IFNA(VLOOKUP($B1064,Keys!$A:$B,2,FALSE),_xlfn.IFNA(VLOOKUP($B1064,Keys!$D:$E,2,FALSE),VLOOKUP($B1064,Keys!$G:$H,2,FALSE)))</f>
        <v>0x000000182980FCDF</v>
      </c>
      <c r="B1064" s="5" t="s">
        <v>2632</v>
      </c>
      <c r="C1064" s="5" t="s">
        <v>6</v>
      </c>
      <c r="D1064" s="5" t="s">
        <v>16862</v>
      </c>
      <c r="E1064" s="5"/>
      <c r="F1064" s="5" t="s">
        <v>10862</v>
      </c>
      <c r="G1064" s="5" t="s">
        <v>8971</v>
      </c>
      <c r="H1064" s="1"/>
      <c r="I1064" s="1"/>
      <c r="J1064" s="2"/>
      <c r="K1064" s="5" t="s">
        <v>9824</v>
      </c>
      <c r="L1064" s="19" t="s">
        <v>11685</v>
      </c>
      <c r="M1064" s="20" t="s">
        <v>11168</v>
      </c>
      <c r="N1064" s="1"/>
      <c r="O1064" s="1"/>
      <c r="P1064" s="21" t="b">
        <f>IF(ISNUMBER(MATCH($C1064,StackableKinds,0)), TRUE, "")</f>
        <v>1</v>
      </c>
    </row>
    <row r="1065" spans="1:17" x14ac:dyDescent="0.2">
      <c r="A1065" s="19" t="str">
        <f>_xlfn.IFNA(VLOOKUP($B1065,Keys!$A:$B,2,FALSE),_xlfn.IFNA(VLOOKUP($B1065,Keys!$D:$E,2,FALSE),VLOOKUP($B1065,Keys!$G:$H,2,FALSE)))</f>
        <v>0x00000018B7E4697C</v>
      </c>
      <c r="B1065" s="5" t="s">
        <v>2634</v>
      </c>
      <c r="C1065" s="5" t="s">
        <v>6</v>
      </c>
      <c r="D1065" s="5" t="s">
        <v>16862</v>
      </c>
      <c r="E1065" s="5"/>
      <c r="F1065" s="5" t="s">
        <v>10862</v>
      </c>
      <c r="G1065" s="5" t="s">
        <v>8971</v>
      </c>
      <c r="H1065" s="1"/>
      <c r="I1065" s="1"/>
      <c r="J1065" s="2"/>
      <c r="K1065" s="5" t="s">
        <v>9825</v>
      </c>
      <c r="L1065" s="19" t="s">
        <v>11685</v>
      </c>
      <c r="M1065" s="20" t="s">
        <v>11169</v>
      </c>
      <c r="N1065" s="1"/>
      <c r="O1065" s="1"/>
      <c r="P1065" s="21" t="b">
        <f>IF(ISNUMBER(MATCH($C1065,StackableKinds,0)), TRUE, "")</f>
        <v>1</v>
      </c>
    </row>
    <row r="1066" spans="1:17" x14ac:dyDescent="0.2">
      <c r="A1066" s="19" t="str">
        <f>_xlfn.IFNA(VLOOKUP($B1066,Keys!$A:$B,2,FALSE),_xlfn.IFNA(VLOOKUP($B1066,Keys!$D:$E,2,FALSE),VLOOKUP($B1066,Keys!$G:$H,2,FALSE)))</f>
        <v>0x0000001859EA0850</v>
      </c>
      <c r="B1066" s="5" t="s">
        <v>2638</v>
      </c>
      <c r="C1066" s="5" t="s">
        <v>6</v>
      </c>
      <c r="D1066" s="5" t="s">
        <v>16862</v>
      </c>
      <c r="E1066" s="5"/>
      <c r="F1066" s="5" t="s">
        <v>10862</v>
      </c>
      <c r="G1066" s="5" t="s">
        <v>8971</v>
      </c>
      <c r="H1066" s="1"/>
      <c r="I1066" s="1"/>
      <c r="J1066" s="2"/>
      <c r="K1066" s="5" t="s">
        <v>9827</v>
      </c>
      <c r="L1066" s="19" t="s">
        <v>11685</v>
      </c>
      <c r="M1066" s="20" t="s">
        <v>11171</v>
      </c>
      <c r="N1066" s="1"/>
      <c r="O1066" s="1"/>
      <c r="P1066" s="21" t="b">
        <f>IF(ISNUMBER(MATCH($C1066,StackableKinds,0)), TRUE, "")</f>
        <v>1</v>
      </c>
    </row>
    <row r="1067" spans="1:17" x14ac:dyDescent="0.2">
      <c r="A1067" s="19" t="str">
        <f>_xlfn.IFNA(VLOOKUP($B1067,Keys!$A:$B,2,FALSE),_xlfn.IFNA(VLOOKUP($B1067,Keys!$D:$E,2,FALSE),VLOOKUP($B1067,Keys!$G:$H,2,FALSE)))</f>
        <v>0x00000018706B0702</v>
      </c>
      <c r="B1067" s="5" t="s">
        <v>2888</v>
      </c>
      <c r="C1067" s="5" t="s">
        <v>6</v>
      </c>
      <c r="D1067" s="5" t="s">
        <v>16862</v>
      </c>
      <c r="E1067" s="5"/>
      <c r="F1067" s="5" t="s">
        <v>412</v>
      </c>
      <c r="G1067" s="5" t="s">
        <v>8971</v>
      </c>
      <c r="H1067" s="1"/>
      <c r="I1067" s="1"/>
      <c r="J1067" s="2"/>
      <c r="K1067" s="5" t="s">
        <v>9937</v>
      </c>
      <c r="L1067" s="19" t="s">
        <v>11123</v>
      </c>
      <c r="M1067" s="18"/>
      <c r="N1067" s="1"/>
      <c r="O1067" s="1"/>
      <c r="P1067" s="21" t="b">
        <f>IF(ISNUMBER(MATCH($C1067,StackableKinds,0)), TRUE, "")</f>
        <v>1</v>
      </c>
      <c r="Q1067" s="2"/>
    </row>
    <row r="1068" spans="1:17" x14ac:dyDescent="0.2">
      <c r="A1068" s="19" t="str">
        <f>_xlfn.IFNA(VLOOKUP($B1068,Keys!$A:$B,2,FALSE),_xlfn.IFNA(VLOOKUP($B1068,Keys!$D:$E,2,FALSE),VLOOKUP($B1068,Keys!$G:$H,2,FALSE)))</f>
        <v>0x0000001989DC4063</v>
      </c>
      <c r="B1068" s="5" t="s">
        <v>2866</v>
      </c>
      <c r="C1068" s="5" t="s">
        <v>6</v>
      </c>
      <c r="D1068" s="5" t="s">
        <v>16862</v>
      </c>
      <c r="E1068" s="5"/>
      <c r="F1068" s="5" t="s">
        <v>412</v>
      </c>
      <c r="G1068" s="5" t="s">
        <v>8971</v>
      </c>
      <c r="H1068" s="1"/>
      <c r="I1068" s="1"/>
      <c r="J1068" s="2"/>
      <c r="K1068" s="5" t="s">
        <v>9926</v>
      </c>
      <c r="L1068" s="19" t="s">
        <v>11123</v>
      </c>
      <c r="M1068" s="18"/>
      <c r="N1068" s="1"/>
      <c r="O1068" s="1"/>
      <c r="P1068" s="21" t="b">
        <f>IF(ISNUMBER(MATCH($C1068,StackableKinds,0)), TRUE, "")</f>
        <v>1</v>
      </c>
    </row>
    <row r="1069" spans="1:17" x14ac:dyDescent="0.2">
      <c r="A1069" s="19" t="str">
        <f>_xlfn.IFNA(VLOOKUP($B1069,Keys!$A:$B,2,FALSE),_xlfn.IFNA(VLOOKUP($B1069,Keys!$D:$E,2,FALSE),VLOOKUP($B1069,Keys!$G:$H,2,FALSE)))</f>
        <v>0x00000019FEDB70F5</v>
      </c>
      <c r="B1069" s="5" t="s">
        <v>2868</v>
      </c>
      <c r="C1069" s="5" t="s">
        <v>6</v>
      </c>
      <c r="D1069" s="5" t="s">
        <v>16862</v>
      </c>
      <c r="E1069" s="5"/>
      <c r="F1069" s="5" t="s">
        <v>412</v>
      </c>
      <c r="G1069" s="5" t="s">
        <v>8971</v>
      </c>
      <c r="H1069" s="1"/>
      <c r="I1069" s="1"/>
      <c r="J1069" s="2"/>
      <c r="K1069" s="5" t="s">
        <v>9927</v>
      </c>
      <c r="L1069" s="19" t="s">
        <v>11123</v>
      </c>
      <c r="M1069" s="18"/>
      <c r="N1069" s="1"/>
      <c r="O1069" s="1"/>
      <c r="P1069" s="21" t="b">
        <f>IF(ISNUMBER(MATCH($C1069,StackableKinds,0)), TRUE, "")</f>
        <v>1</v>
      </c>
    </row>
    <row r="1070" spans="1:17" x14ac:dyDescent="0.2">
      <c r="A1070" s="19" t="str">
        <f>_xlfn.IFNA(VLOOKUP($B1070,Keys!$A:$B,2,FALSE),_xlfn.IFNA(VLOOKUP($B1070,Keys!$D:$E,2,FALSE),VLOOKUP($B1070,Keys!$G:$H,2,FALSE)))</f>
        <v>0x00000012B1ABC683</v>
      </c>
      <c r="B1070" s="5" t="s">
        <v>3022</v>
      </c>
      <c r="C1070" s="5" t="s">
        <v>6</v>
      </c>
      <c r="D1070" s="5" t="s">
        <v>16862</v>
      </c>
      <c r="E1070" s="5"/>
      <c r="F1070" s="5" t="s">
        <v>411</v>
      </c>
      <c r="G1070" s="5" t="s">
        <v>8971</v>
      </c>
      <c r="H1070" s="1"/>
      <c r="I1070" s="1"/>
      <c r="J1070" s="2"/>
      <c r="K1070" s="5" t="s">
        <v>9978</v>
      </c>
      <c r="L1070" s="19" t="s">
        <v>11210</v>
      </c>
      <c r="M1070" s="18"/>
      <c r="N1070" s="1"/>
      <c r="O1070" s="1"/>
      <c r="P1070" s="21" t="b">
        <f>IF(ISNUMBER(MATCH($C1070,StackableKinds,0)), TRUE, "")</f>
        <v>1</v>
      </c>
      <c r="Q1070" s="2"/>
    </row>
    <row r="1071" spans="1:17" x14ac:dyDescent="0.2">
      <c r="A1071" s="19" t="str">
        <f>_xlfn.IFNA(VLOOKUP($B1071,Keys!$A:$B,2,FALSE),_xlfn.IFNA(VLOOKUP($B1071,Keys!$D:$E,2,FALSE),VLOOKUP($B1071,Keys!$G:$H,2,FALSE)))</f>
        <v>0x0000001803859792</v>
      </c>
      <c r="B1071" s="5" t="s">
        <v>5513</v>
      </c>
      <c r="C1071" s="5" t="s">
        <v>6</v>
      </c>
      <c r="D1071" s="5" t="s">
        <v>16862</v>
      </c>
      <c r="E1071" s="5"/>
      <c r="F1071" s="5" t="s">
        <v>10862</v>
      </c>
      <c r="G1071" s="1"/>
      <c r="H1071" s="1"/>
      <c r="I1071" s="1"/>
      <c r="J1071" s="2"/>
      <c r="K1071" s="5" t="s">
        <v>10455</v>
      </c>
      <c r="L1071" s="19" t="s">
        <v>11685</v>
      </c>
      <c r="M1071" s="20" t="s">
        <v>11183</v>
      </c>
      <c r="N1071" s="1"/>
      <c r="O1071" s="1"/>
      <c r="P1071" s="21" t="b">
        <f>IF(ISNUMBER(MATCH($C1071,StackableKinds,0)), TRUE, "")</f>
        <v>1</v>
      </c>
      <c r="Q1071" s="2"/>
    </row>
    <row r="1072" spans="1:17" x14ac:dyDescent="0.2">
      <c r="A1072" s="19" t="str">
        <f>_xlfn.IFNA(VLOOKUP($B1072,Keys!$A:$B,2,FALSE),_xlfn.IFNA(VLOOKUP($B1072,Keys!$D:$E,2,FALSE),VLOOKUP($B1072,Keys!$G:$H,2,FALSE)))</f>
        <v>0x000000191635F201</v>
      </c>
      <c r="B1072" s="5" t="s">
        <v>1850</v>
      </c>
      <c r="C1072" s="5" t="s">
        <v>6</v>
      </c>
      <c r="D1072" s="5" t="s">
        <v>16862</v>
      </c>
      <c r="E1072" s="5"/>
      <c r="F1072" s="5" t="s">
        <v>10862</v>
      </c>
      <c r="G1072" s="5" t="s">
        <v>8971</v>
      </c>
      <c r="H1072" s="1"/>
      <c r="I1072" s="1"/>
      <c r="J1072" s="2"/>
      <c r="K1072" s="5" t="s">
        <v>9548</v>
      </c>
      <c r="L1072" s="19" t="s">
        <v>11685</v>
      </c>
      <c r="M1072" s="20" t="s">
        <v>11152</v>
      </c>
      <c r="N1072" s="1"/>
      <c r="O1072" s="1"/>
      <c r="P1072" s="21" t="b">
        <f>IF(ISNUMBER(MATCH($C1072,StackableKinds,0)), TRUE, "")</f>
        <v>1</v>
      </c>
    </row>
    <row r="1073" spans="1:17" x14ac:dyDescent="0.2">
      <c r="A1073" s="19" t="str">
        <f>_xlfn.IFNA(VLOOKUP($B1073,Keys!$A:$B,2,FALSE),_xlfn.IFNA(VLOOKUP($B1073,Keys!$D:$E,2,FALSE),VLOOKUP($B1073,Keys!$G:$H,2,FALSE)))</f>
        <v>0x0000001A9710018F</v>
      </c>
      <c r="B1073" s="5" t="s">
        <v>866</v>
      </c>
      <c r="C1073" s="5" t="s">
        <v>6</v>
      </c>
      <c r="D1073" s="5" t="s">
        <v>16861</v>
      </c>
      <c r="E1073" s="5"/>
      <c r="F1073" s="5"/>
      <c r="G1073" s="5" t="s">
        <v>8971</v>
      </c>
      <c r="H1073" s="1"/>
      <c r="I1073" s="1"/>
      <c r="J1073" s="2"/>
      <c r="K1073" s="5" t="s">
        <v>9183</v>
      </c>
      <c r="L1073" s="5" t="s">
        <v>11209</v>
      </c>
      <c r="M1073" s="20"/>
      <c r="N1073" s="1"/>
      <c r="O1073" s="1"/>
      <c r="P1073" s="21" t="b">
        <f>IF(ISNUMBER(MATCH($C1073,StackableKinds,0)), TRUE, "")</f>
        <v>1</v>
      </c>
      <c r="Q1073" s="2"/>
    </row>
    <row r="1074" spans="1:17" x14ac:dyDescent="0.2">
      <c r="A1074" s="19" t="str">
        <f>_xlfn.IFNA(VLOOKUP($B1074,Keys!$A:$B,2,FALSE),_xlfn.IFNA(VLOOKUP($B1074,Keys!$D:$E,2,FALSE),VLOOKUP($B1074,Keys!$G:$H,2,FALSE)))</f>
        <v>0x000000161815BFA0</v>
      </c>
      <c r="B1074" s="5" t="s">
        <v>2680</v>
      </c>
      <c r="C1074" s="5" t="s">
        <v>6</v>
      </c>
      <c r="D1074" s="5" t="s">
        <v>16862</v>
      </c>
      <c r="E1074" s="5"/>
      <c r="F1074" s="5" t="s">
        <v>412</v>
      </c>
      <c r="G1074" s="1"/>
      <c r="H1074" s="5" t="s">
        <v>9846</v>
      </c>
      <c r="I1074" s="1"/>
      <c r="J1074" s="7"/>
      <c r="K1074" s="5" t="s">
        <v>9847</v>
      </c>
      <c r="L1074" s="19" t="s">
        <v>11123</v>
      </c>
      <c r="M1074" s="18" t="s">
        <v>11475</v>
      </c>
      <c r="N1074" s="1"/>
      <c r="O1074" s="1"/>
      <c r="P1074" s="21" t="b">
        <f>IF(ISNUMBER(MATCH($C1074,StackableKinds,0)), TRUE, "")</f>
        <v>1</v>
      </c>
    </row>
    <row r="1075" spans="1:17" x14ac:dyDescent="0.2">
      <c r="A1075" s="19" t="str">
        <f>_xlfn.IFNA(VLOOKUP($B1075,Keys!$A:$B,2,FALSE),_xlfn.IFNA(VLOOKUP($B1075,Keys!$D:$E,2,FALSE),VLOOKUP($B1075,Keys!$G:$H,2,FALSE)))</f>
        <v>0x00000019885167A2</v>
      </c>
      <c r="B1075" s="5" t="s">
        <v>1844</v>
      </c>
      <c r="C1075" s="5" t="s">
        <v>6</v>
      </c>
      <c r="D1075" s="5" t="s">
        <v>16862</v>
      </c>
      <c r="E1075" s="5"/>
      <c r="F1075" s="5" t="s">
        <v>10862</v>
      </c>
      <c r="G1075" s="5" t="s">
        <v>8971</v>
      </c>
      <c r="H1075" s="1"/>
      <c r="I1075" s="1"/>
      <c r="J1075" s="2"/>
      <c r="K1075" s="5" t="s">
        <v>9545</v>
      </c>
      <c r="L1075" s="19" t="s">
        <v>11685</v>
      </c>
      <c r="M1075" s="20" t="s">
        <v>11149</v>
      </c>
      <c r="N1075" s="1"/>
      <c r="O1075" s="1"/>
      <c r="P1075" s="21" t="b">
        <f>IF(ISNUMBER(MATCH($C1075,StackableKinds,0)), TRUE, "")</f>
        <v>1</v>
      </c>
    </row>
    <row r="1076" spans="1:17" x14ac:dyDescent="0.2">
      <c r="A1076" s="19" t="str">
        <f>_xlfn.IFNA(VLOOKUP($B1076,Keys!$A:$B,2,FALSE),_xlfn.IFNA(VLOOKUP($B1076,Keys!$D:$E,2,FALSE),VLOOKUP($B1076,Keys!$G:$H,2,FALSE)))</f>
        <v>0x000000189A8CC628</v>
      </c>
      <c r="B1076" s="5" t="s">
        <v>5515</v>
      </c>
      <c r="C1076" s="5" t="s">
        <v>6</v>
      </c>
      <c r="D1076" s="5" t="s">
        <v>16862</v>
      </c>
      <c r="E1076" s="5"/>
      <c r="F1076" s="5" t="s">
        <v>10862</v>
      </c>
      <c r="G1076" s="1"/>
      <c r="H1076" s="1"/>
      <c r="I1076" s="1"/>
      <c r="J1076" s="2"/>
      <c r="K1076" s="5" t="s">
        <v>10456</v>
      </c>
      <c r="L1076" s="19" t="s">
        <v>11685</v>
      </c>
      <c r="M1076" s="20" t="s">
        <v>11184</v>
      </c>
      <c r="N1076" s="1"/>
      <c r="O1076" s="1"/>
      <c r="P1076" s="21" t="b">
        <f>IF(ISNUMBER(MATCH($C1076,StackableKinds,0)), TRUE, "")</f>
        <v>1</v>
      </c>
      <c r="Q1076" s="2"/>
    </row>
    <row r="1077" spans="1:17" x14ac:dyDescent="0.2">
      <c r="A1077" s="19" t="str">
        <f>_xlfn.IFNA(VLOOKUP($B1077,Keys!$A:$B,2,FALSE),_xlfn.IFNA(VLOOKUP($B1077,Keys!$D:$E,2,FALSE),VLOOKUP($B1077,Keys!$G:$H,2,FALSE)))</f>
        <v>0x000000182EED38C6</v>
      </c>
      <c r="B1077" s="5" t="s">
        <v>2640</v>
      </c>
      <c r="C1077" s="5" t="s">
        <v>6</v>
      </c>
      <c r="D1077" s="5" t="s">
        <v>16862</v>
      </c>
      <c r="E1077" s="5"/>
      <c r="F1077" s="5" t="s">
        <v>10862</v>
      </c>
      <c r="G1077" s="5" t="s">
        <v>8971</v>
      </c>
      <c r="H1077" s="1"/>
      <c r="I1077" s="1"/>
      <c r="J1077" s="2"/>
      <c r="K1077" s="5" t="s">
        <v>9828</v>
      </c>
      <c r="L1077" s="19" t="s">
        <v>11685</v>
      </c>
      <c r="M1077" s="20" t="s">
        <v>11172</v>
      </c>
      <c r="N1077" s="1"/>
      <c r="O1077" s="1"/>
      <c r="P1077" s="21" t="b">
        <f>IF(ISNUMBER(MATCH($C1077,StackableKinds,0)), TRUE, "")</f>
        <v>1</v>
      </c>
    </row>
    <row r="1078" spans="1:17" x14ac:dyDescent="0.2">
      <c r="A1078" s="19" t="str">
        <f>_xlfn.IFNA(VLOOKUP($B1078,Keys!$A:$B,2,FALSE),_xlfn.IFNA(VLOOKUP($B1078,Keys!$D:$E,2,FALSE),VLOOKUP($B1078,Keys!$G:$H,2,FALSE)))</f>
        <v>0x0000001944A62900</v>
      </c>
      <c r="B1078" s="5" t="s">
        <v>2852</v>
      </c>
      <c r="C1078" s="5" t="s">
        <v>6</v>
      </c>
      <c r="D1078" s="5" t="s">
        <v>16862</v>
      </c>
      <c r="E1078" s="5"/>
      <c r="F1078" s="5" t="s">
        <v>411</v>
      </c>
      <c r="G1078" s="5" t="s">
        <v>8971</v>
      </c>
      <c r="H1078" s="1"/>
      <c r="I1078" s="1"/>
      <c r="J1078" s="2"/>
      <c r="K1078" s="5" t="s">
        <v>9920</v>
      </c>
      <c r="L1078" s="19" t="s">
        <v>11210</v>
      </c>
      <c r="M1078" s="18"/>
      <c r="N1078" s="1"/>
      <c r="O1078" s="1"/>
      <c r="P1078" s="21" t="b">
        <f>IF(ISNUMBER(MATCH($C1078,StackableKinds,0)), TRUE, "")</f>
        <v>1</v>
      </c>
    </row>
    <row r="1079" spans="1:17" x14ac:dyDescent="0.2">
      <c r="A1079" s="19" t="str">
        <f>_xlfn.IFNA(VLOOKUP($B1079,Keys!$A:$B,2,FALSE),_xlfn.IFNA(VLOOKUP($B1079,Keys!$D:$E,2,FALSE),VLOOKUP($B1079,Keys!$G:$H,2,FALSE)))</f>
        <v>0x00000017DD6C76C3</v>
      </c>
      <c r="B1079" s="5" t="s">
        <v>1866</v>
      </c>
      <c r="C1079" s="5" t="s">
        <v>6</v>
      </c>
      <c r="D1079" s="5" t="s">
        <v>16862</v>
      </c>
      <c r="E1079" s="5"/>
      <c r="F1079" s="5" t="s">
        <v>411</v>
      </c>
      <c r="G1079" s="5" t="s">
        <v>8971</v>
      </c>
      <c r="H1079" s="1"/>
      <c r="I1079" s="1"/>
      <c r="J1079" s="2"/>
      <c r="K1079" s="5" t="s">
        <v>9555</v>
      </c>
      <c r="L1079" s="19" t="s">
        <v>11210</v>
      </c>
      <c r="M1079" s="18"/>
      <c r="N1079" s="1"/>
      <c r="O1079" s="1"/>
      <c r="P1079" s="21" t="b">
        <f>IF(ISNUMBER(MATCH($C1079,StackableKinds,0)), TRUE, "")</f>
        <v>1</v>
      </c>
    </row>
    <row r="1080" spans="1:17" x14ac:dyDescent="0.2">
      <c r="A1080" s="19" t="str">
        <f>_xlfn.IFNA(VLOOKUP($B1080,Keys!$A:$B,2,FALSE),_xlfn.IFNA(VLOOKUP($B1080,Keys!$D:$E,2,FALSE),VLOOKUP($B1080,Keys!$G:$H,2,FALSE)))</f>
        <v>0x00000017340FD3F6</v>
      </c>
      <c r="B1080" s="5" t="s">
        <v>1862</v>
      </c>
      <c r="C1080" s="5" t="s">
        <v>6</v>
      </c>
      <c r="D1080" s="5" t="s">
        <v>16862</v>
      </c>
      <c r="E1080" s="5"/>
      <c r="F1080" s="5" t="s">
        <v>411</v>
      </c>
      <c r="G1080" s="5" t="s">
        <v>8971</v>
      </c>
      <c r="H1080" s="1"/>
      <c r="I1080" s="1"/>
      <c r="J1080" s="2"/>
      <c r="K1080" s="5" t="s">
        <v>9553</v>
      </c>
      <c r="L1080" s="19" t="s">
        <v>11210</v>
      </c>
      <c r="M1080" s="18"/>
      <c r="N1080" s="1"/>
      <c r="O1080" s="1"/>
      <c r="P1080" s="21" t="b">
        <f>IF(ISNUMBER(MATCH($C1080,StackableKinds,0)), TRUE, "")</f>
        <v>1</v>
      </c>
    </row>
    <row r="1081" spans="1:17" x14ac:dyDescent="0.2">
      <c r="A1081" s="19" t="str">
        <f>_xlfn.IFNA(VLOOKUP($B1081,Keys!$A:$B,2,FALSE),_xlfn.IFNA(VLOOKUP($B1081,Keys!$D:$E,2,FALSE),VLOOKUP($B1081,Keys!$G:$H,2,FALSE)))</f>
        <v>0x00000016DCD99AE8</v>
      </c>
      <c r="B1081" s="5" t="s">
        <v>2670</v>
      </c>
      <c r="C1081" s="5" t="s">
        <v>6</v>
      </c>
      <c r="D1081" s="5" t="s">
        <v>16862</v>
      </c>
      <c r="E1081" s="5"/>
      <c r="F1081" s="5" t="s">
        <v>411</v>
      </c>
      <c r="G1081" s="5" t="s">
        <v>8971</v>
      </c>
      <c r="H1081" s="1"/>
      <c r="I1081" s="1"/>
      <c r="J1081" s="2"/>
      <c r="K1081" s="5" t="s">
        <v>9842</v>
      </c>
      <c r="L1081" s="19" t="s">
        <v>11210</v>
      </c>
      <c r="M1081" s="18"/>
      <c r="N1081" s="1"/>
      <c r="O1081" s="1"/>
      <c r="P1081" s="21" t="b">
        <f>IF(ISNUMBER(MATCH($C1081,StackableKinds,0)), TRUE, "")</f>
        <v>1</v>
      </c>
    </row>
    <row r="1082" spans="1:17" x14ac:dyDescent="0.2">
      <c r="A1082" s="19" t="str">
        <f>_xlfn.IFNA(VLOOKUP($B1082,Keys!$A:$B,2,FALSE),_xlfn.IFNA(VLOOKUP($B1082,Keys!$D:$E,2,FALSE),VLOOKUP($B1082,Keys!$G:$H,2,FALSE)))</f>
        <v>0x000000163B61B7EF</v>
      </c>
      <c r="B1082" s="5" t="s">
        <v>2666</v>
      </c>
      <c r="C1082" s="5" t="s">
        <v>6</v>
      </c>
      <c r="D1082" s="5" t="s">
        <v>16862</v>
      </c>
      <c r="E1082" s="5"/>
      <c r="F1082" s="5" t="s">
        <v>411</v>
      </c>
      <c r="G1082" s="5" t="s">
        <v>8971</v>
      </c>
      <c r="H1082" s="1"/>
      <c r="I1082" s="1"/>
      <c r="J1082" s="2"/>
      <c r="K1082" s="5" t="s">
        <v>9840</v>
      </c>
      <c r="L1082" s="19" t="s">
        <v>11210</v>
      </c>
      <c r="M1082" s="18"/>
      <c r="N1082" s="1"/>
      <c r="O1082" s="1"/>
      <c r="P1082" s="21" t="b">
        <f>IF(ISNUMBER(MATCH($C1082,StackableKinds,0)), TRUE, "")</f>
        <v>1</v>
      </c>
    </row>
    <row r="1083" spans="1:17" x14ac:dyDescent="0.2">
      <c r="A1083" s="19" t="str">
        <f>_xlfn.IFNA(VLOOKUP($B1083,Keys!$A:$B,2,FALSE),_xlfn.IFNA(VLOOKUP($B1083,Keys!$D:$E,2,FALSE),VLOOKUP($B1083,Keys!$G:$H,2,FALSE)))</f>
        <v>0x000000164C668779</v>
      </c>
      <c r="B1083" s="5" t="s">
        <v>2668</v>
      </c>
      <c r="C1083" s="5" t="s">
        <v>6</v>
      </c>
      <c r="D1083" s="5" t="s">
        <v>16862</v>
      </c>
      <c r="E1083" s="5"/>
      <c r="F1083" s="5" t="s">
        <v>411</v>
      </c>
      <c r="G1083" s="5" t="s">
        <v>8971</v>
      </c>
      <c r="H1083" s="1"/>
      <c r="I1083" s="1"/>
      <c r="J1083" s="2"/>
      <c r="K1083" s="5" t="s">
        <v>9841</v>
      </c>
      <c r="L1083" s="19" t="s">
        <v>11210</v>
      </c>
      <c r="M1083" s="18"/>
      <c r="N1083" s="1"/>
      <c r="O1083" s="1"/>
      <c r="P1083" s="21" t="b">
        <f>IF(ISNUMBER(MATCH($C1083,StackableKinds,0)), TRUE, "")</f>
        <v>1</v>
      </c>
    </row>
    <row r="1084" spans="1:17" x14ac:dyDescent="0.2">
      <c r="A1084" s="19" t="str">
        <f>_xlfn.IFNA(VLOOKUP($B1084,Keys!$A:$B,2,FALSE),_xlfn.IFNA(VLOOKUP($B1084,Keys!$D:$E,2,FALSE),VLOOKUP($B1084,Keys!$G:$H,2,FALSE)))</f>
        <v>0x00000017FC13E72E</v>
      </c>
      <c r="B1084" s="5" t="s">
        <v>2652</v>
      </c>
      <c r="C1084" s="5" t="s">
        <v>6</v>
      </c>
      <c r="D1084" s="5" t="s">
        <v>16862</v>
      </c>
      <c r="E1084" s="5"/>
      <c r="F1084" s="5" t="s">
        <v>411</v>
      </c>
      <c r="G1084" s="5" t="s">
        <v>8971</v>
      </c>
      <c r="H1084" s="1"/>
      <c r="I1084" s="1"/>
      <c r="J1084" s="2"/>
      <c r="K1084" s="5" t="s">
        <v>9833</v>
      </c>
      <c r="L1084" s="19" t="s">
        <v>11210</v>
      </c>
      <c r="M1084" s="18"/>
      <c r="N1084" s="1"/>
      <c r="O1084" s="1"/>
      <c r="P1084" s="21" t="b">
        <f>IF(ISNUMBER(MATCH($C1084,StackableKinds,0)), TRUE, "")</f>
        <v>1</v>
      </c>
    </row>
    <row r="1085" spans="1:17" x14ac:dyDescent="0.2">
      <c r="A1085" s="19" t="str">
        <f>_xlfn.IFNA(VLOOKUP($B1085,Keys!$A:$B,2,FALSE),_xlfn.IFNA(VLOOKUP($B1085,Keys!$D:$E,2,FALSE),VLOOKUP($B1085,Keys!$G:$H,2,FALSE)))</f>
        <v>0x00000017651AB694</v>
      </c>
      <c r="B1085" s="5" t="s">
        <v>2654</v>
      </c>
      <c r="C1085" s="5" t="s">
        <v>6</v>
      </c>
      <c r="D1085" s="5" t="s">
        <v>16862</v>
      </c>
      <c r="E1085" s="5"/>
      <c r="F1085" s="5" t="s">
        <v>411</v>
      </c>
      <c r="G1085" s="5" t="s">
        <v>8971</v>
      </c>
      <c r="H1085" s="1"/>
      <c r="I1085" s="1"/>
      <c r="J1085" s="2"/>
      <c r="K1085" s="5" t="s">
        <v>9834</v>
      </c>
      <c r="L1085" s="19" t="s">
        <v>11210</v>
      </c>
      <c r="M1085" s="18"/>
      <c r="N1085" s="1"/>
      <c r="O1085" s="1"/>
      <c r="P1085" s="21" t="b">
        <f>IF(ISNUMBER(MATCH($C1085,StackableKinds,0)), TRUE, "")</f>
        <v>1</v>
      </c>
    </row>
    <row r="1086" spans="1:17" x14ac:dyDescent="0.2">
      <c r="A1086" s="19" t="str">
        <f>_xlfn.IFNA(VLOOKUP($B1086,Keys!$A:$B,2,FALSE),_xlfn.IFNA(VLOOKUP($B1086,Keys!$D:$E,2,FALSE),VLOOKUP($B1086,Keys!$G:$H,2,FALSE)))</f>
        <v>0x0000001B78772DEC</v>
      </c>
      <c r="B1086" s="5" t="s">
        <v>2820</v>
      </c>
      <c r="C1086" s="5" t="s">
        <v>6</v>
      </c>
      <c r="D1086" s="5" t="s">
        <v>16862</v>
      </c>
      <c r="E1086" s="5"/>
      <c r="F1086" s="5" t="s">
        <v>10862</v>
      </c>
      <c r="G1086" s="5" t="s">
        <v>8971</v>
      </c>
      <c r="H1086" s="1"/>
      <c r="I1086" s="1"/>
      <c r="J1086" s="2"/>
      <c r="K1086" s="5" t="s">
        <v>9905</v>
      </c>
      <c r="L1086" s="19" t="s">
        <v>11685</v>
      </c>
      <c r="M1086" s="20" t="s">
        <v>11178</v>
      </c>
      <c r="N1086" s="1"/>
      <c r="O1086" s="1"/>
      <c r="P1086" s="21" t="b">
        <f>IF(ISNUMBER(MATCH($C1086,StackableKinds,0)), TRUE, "")</f>
        <v>1</v>
      </c>
    </row>
    <row r="1087" spans="1:17" x14ac:dyDescent="0.2">
      <c r="A1087" s="19" t="str">
        <f>_xlfn.IFNA(VLOOKUP($B1087,Keys!$A:$B,2,FALSE),_xlfn.IFNA(VLOOKUP($B1087,Keys!$D:$E,2,FALSE),VLOOKUP($B1087,Keys!$G:$H,2,FALSE)))</f>
        <v>0x000000164B0B4360</v>
      </c>
      <c r="B1087" s="5" t="s">
        <v>2660</v>
      </c>
      <c r="C1087" s="5" t="s">
        <v>6</v>
      </c>
      <c r="D1087" s="5" t="s">
        <v>16862</v>
      </c>
      <c r="E1087" s="5"/>
      <c r="F1087" s="5" t="s">
        <v>411</v>
      </c>
      <c r="G1087" s="5" t="s">
        <v>8971</v>
      </c>
      <c r="H1087" s="1"/>
      <c r="I1087" s="1"/>
      <c r="J1087" s="2"/>
      <c r="K1087" s="5" t="s">
        <v>9837</v>
      </c>
      <c r="L1087" s="19" t="s">
        <v>11210</v>
      </c>
      <c r="M1087" s="18"/>
      <c r="N1087" s="1"/>
      <c r="O1087" s="1"/>
      <c r="P1087" s="21" t="b">
        <f>IF(ISNUMBER(MATCH($C1087,StackableKinds,0)), TRUE, "")</f>
        <v>1</v>
      </c>
    </row>
    <row r="1088" spans="1:17" x14ac:dyDescent="0.2">
      <c r="A1088" s="19" t="str">
        <f>_xlfn.IFNA(VLOOKUP($B1088,Keys!$A:$B,2,FALSE),_xlfn.IFNA(VLOOKUP($B1088,Keys!$D:$E,2,FALSE),VLOOKUP($B1088,Keys!$G:$H,2,FALSE)))</f>
        <v>0x000000162D01EBA1</v>
      </c>
      <c r="B1088" s="5" t="s">
        <v>1892</v>
      </c>
      <c r="C1088" s="5" t="s">
        <v>6</v>
      </c>
      <c r="D1088" s="5" t="s">
        <v>16862</v>
      </c>
      <c r="E1088" s="5"/>
      <c r="F1088" s="5" t="s">
        <v>412</v>
      </c>
      <c r="G1088" s="5" t="s">
        <v>8971</v>
      </c>
      <c r="H1088" s="1"/>
      <c r="I1088" s="1"/>
      <c r="J1088" s="2"/>
      <c r="K1088" s="5" t="s">
        <v>9567</v>
      </c>
      <c r="L1088" s="19" t="s">
        <v>11123</v>
      </c>
      <c r="M1088" s="18"/>
      <c r="N1088" s="1"/>
      <c r="O1088" s="1"/>
      <c r="P1088" s="21" t="b">
        <f>IF(ISNUMBER(MATCH($C1088,StackableKinds,0)), TRUE, "")</f>
        <v>1</v>
      </c>
    </row>
    <row r="1089" spans="1:17" x14ac:dyDescent="0.2">
      <c r="A1089" s="19" t="str">
        <f>_xlfn.IFNA(VLOOKUP($B1089,Keys!$A:$B,2,FALSE),_xlfn.IFNA(VLOOKUP($B1089,Keys!$D:$E,2,FALSE),VLOOKUP($B1089,Keys!$G:$H,2,FALSE)))</f>
        <v>0x0000001911583618</v>
      </c>
      <c r="B1089" s="5" t="s">
        <v>1842</v>
      </c>
      <c r="C1089" s="5" t="s">
        <v>6</v>
      </c>
      <c r="D1089" s="5" t="s">
        <v>16862</v>
      </c>
      <c r="E1089" s="5"/>
      <c r="F1089" s="5" t="s">
        <v>10862</v>
      </c>
      <c r="G1089" s="5" t="s">
        <v>8971</v>
      </c>
      <c r="H1089" s="1"/>
      <c r="I1089" s="1"/>
      <c r="J1089" s="2"/>
      <c r="K1089" s="5" t="s">
        <v>9544</v>
      </c>
      <c r="L1089" s="19" t="s">
        <v>11685</v>
      </c>
      <c r="M1089" s="20" t="s">
        <v>11357</v>
      </c>
      <c r="N1089" s="1"/>
      <c r="O1089" s="1"/>
      <c r="P1089" s="21" t="b">
        <f>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16862</v>
      </c>
      <c r="E1090" s="5"/>
      <c r="F1090" s="5" t="s">
        <v>412</v>
      </c>
      <c r="G1090" s="5" t="s">
        <v>8971</v>
      </c>
      <c r="H1090" s="1"/>
      <c r="I1090" s="1"/>
      <c r="J1090" s="2"/>
      <c r="K1090" s="5" t="s">
        <v>9980</v>
      </c>
      <c r="L1090" s="19" t="s">
        <v>11123</v>
      </c>
      <c r="M1090" s="18"/>
      <c r="N1090" s="1"/>
      <c r="O1090" s="1"/>
      <c r="P1090" s="21" t="b">
        <f>IF(ISNUMBER(MATCH($C1090,StackableKinds,0)), TRUE, "")</f>
        <v>1</v>
      </c>
      <c r="Q1090" s="2"/>
    </row>
    <row r="1091" spans="1:17" x14ac:dyDescent="0.2">
      <c r="A1091" s="19" t="str">
        <f>_xlfn.IFNA(VLOOKUP($B1091,Keys!$A:$B,2,FALSE),_xlfn.IFNA(VLOOKUP($B1091,Keys!$D:$E,2,FALSE),VLOOKUP($B1091,Keys!$G:$H,2,FALSE)))</f>
        <v>0x00000015AD92A7C0</v>
      </c>
      <c r="B1091" s="5" t="s">
        <v>2676</v>
      </c>
      <c r="C1091" s="5" t="s">
        <v>6</v>
      </c>
      <c r="D1091" s="5" t="s">
        <v>16862</v>
      </c>
      <c r="E1091" s="5"/>
      <c r="F1091" s="5" t="s">
        <v>412</v>
      </c>
      <c r="G1091" s="5" t="s">
        <v>8971</v>
      </c>
      <c r="H1091" s="1"/>
      <c r="I1091" s="1"/>
      <c r="J1091" s="2"/>
      <c r="K1091" s="5" t="s">
        <v>9844</v>
      </c>
      <c r="L1091" s="19" t="s">
        <v>11123</v>
      </c>
      <c r="M1091" s="18"/>
      <c r="N1091" s="1"/>
      <c r="O1091" s="1"/>
      <c r="P1091" s="21" t="b">
        <f>IF(ISNUMBER(MATCH($C1091,StackableKinds,0)), TRUE, "")</f>
        <v>1</v>
      </c>
    </row>
    <row r="1092" spans="1:17" x14ac:dyDescent="0.2">
      <c r="A1092" s="19" t="str">
        <f>_xlfn.IFNA(VLOOKUP($B1092,Keys!$A:$B,2,FALSE),_xlfn.IFNA(VLOOKUP($B1092,Keys!$D:$E,2,FALSE),VLOOKUP($B1092,Keys!$G:$H,2,FALSE)))</f>
        <v>0x0000001228A29739</v>
      </c>
      <c r="B1092" s="5" t="s">
        <v>3020</v>
      </c>
      <c r="C1092" s="5" t="s">
        <v>6</v>
      </c>
      <c r="D1092" s="5" t="s">
        <v>16862</v>
      </c>
      <c r="E1092" s="5"/>
      <c r="F1092" s="5" t="s">
        <v>411</v>
      </c>
      <c r="G1092" s="5" t="s">
        <v>8971</v>
      </c>
      <c r="H1092" s="1"/>
      <c r="I1092" s="1"/>
      <c r="J1092" s="2"/>
      <c r="K1092" s="5" t="s">
        <v>9977</v>
      </c>
      <c r="L1092" s="19" t="s">
        <v>11210</v>
      </c>
      <c r="M1092" s="18"/>
      <c r="N1092" s="1"/>
      <c r="O1092" s="1"/>
      <c r="P1092" s="21" t="b">
        <f>IF(ISNUMBER(MATCH($C1092,StackableKinds,0)), TRUE, "")</f>
        <v>1</v>
      </c>
      <c r="Q1092" s="2"/>
    </row>
    <row r="1093" spans="1:17" x14ac:dyDescent="0.2">
      <c r="A1093" s="19" t="str">
        <f>_xlfn.IFNA(VLOOKUP($B1093,Keys!$A:$B,2,FALSE),_xlfn.IFNA(VLOOKUP($B1093,Keys!$D:$E,2,FALSE),VLOOKUP($B1093,Keys!$G:$H,2,FALSE)))</f>
        <v>0x00000016CDD402BF</v>
      </c>
      <c r="B1093" s="5" t="s">
        <v>1904</v>
      </c>
      <c r="C1093" s="5" t="s">
        <v>6</v>
      </c>
      <c r="D1093" s="5" t="s">
        <v>16862</v>
      </c>
      <c r="E1093" s="5"/>
      <c r="F1093" s="5" t="s">
        <v>412</v>
      </c>
      <c r="G1093" s="5" t="s">
        <v>8971</v>
      </c>
      <c r="H1093" s="1"/>
      <c r="I1093" s="1"/>
      <c r="J1093" s="2"/>
      <c r="K1093" s="5" t="s">
        <v>9573</v>
      </c>
      <c r="L1093" s="19" t="s">
        <v>11123</v>
      </c>
      <c r="M1093" s="18"/>
      <c r="N1093" s="1"/>
      <c r="O1093" s="1"/>
      <c r="P1093" s="21" t="b">
        <f>IF(ISNUMBER(MATCH($C1093,StackableKinds,0)), TRUE, "")</f>
        <v>1</v>
      </c>
    </row>
    <row r="1094" spans="1:17" x14ac:dyDescent="0.2">
      <c r="A1094" s="19" t="str">
        <f>_xlfn.IFNA(VLOOKUP($B1094,Keys!$A:$B,2,FALSE),_xlfn.IFNA(VLOOKUP($B1094,Keys!$D:$E,2,FALSE),VLOOKUP($B1094,Keys!$G:$H,2,FALSE)))</f>
        <v>0x00000016BAD33229</v>
      </c>
      <c r="B1094" s="5" t="s">
        <v>1902</v>
      </c>
      <c r="C1094" s="5" t="s">
        <v>6</v>
      </c>
      <c r="D1094" s="5" t="s">
        <v>16862</v>
      </c>
      <c r="E1094" s="5"/>
      <c r="F1094" s="5" t="s">
        <v>412</v>
      </c>
      <c r="G1094" s="5" t="s">
        <v>8971</v>
      </c>
      <c r="H1094" s="1"/>
      <c r="I1094" s="1"/>
      <c r="J1094" s="2"/>
      <c r="K1094" s="5" t="s">
        <v>9572</v>
      </c>
      <c r="L1094" s="19" t="s">
        <v>11123</v>
      </c>
      <c r="M1094" s="18"/>
      <c r="N1094" s="1"/>
      <c r="O1094" s="1"/>
      <c r="P1094" s="21" t="b">
        <f>IF(ISNUMBER(MATCH($C1094,StackableKinds,0)), TRUE, "")</f>
        <v>1</v>
      </c>
    </row>
    <row r="1095" spans="1:17" x14ac:dyDescent="0.2">
      <c r="A1095" s="19" t="str">
        <f>_xlfn.IFNA(VLOOKUP($B1095,Keys!$A:$B,2,FALSE),_xlfn.IFNA(VLOOKUP($B1095,Keys!$D:$E,2,FALSE),VLOOKUP($B1095,Keys!$G:$H,2,FALSE)))</f>
        <v>0x00000015439CC6EC</v>
      </c>
      <c r="B1095" s="5" t="s">
        <v>2716</v>
      </c>
      <c r="C1095" s="5" t="s">
        <v>6</v>
      </c>
      <c r="D1095" s="5" t="s">
        <v>16862</v>
      </c>
      <c r="E1095" s="5"/>
      <c r="F1095" s="5" t="s">
        <v>412</v>
      </c>
      <c r="G1095" s="5" t="s">
        <v>8971</v>
      </c>
      <c r="H1095" s="1"/>
      <c r="I1095" s="1"/>
      <c r="J1095" s="2"/>
      <c r="K1095" s="5" t="s">
        <v>9865</v>
      </c>
      <c r="L1095" s="19" t="s">
        <v>11123</v>
      </c>
      <c r="M1095" s="18"/>
      <c r="N1095" s="1"/>
      <c r="O1095" s="1"/>
      <c r="P1095" s="21" t="b">
        <f>IF(ISNUMBER(MATCH($C1095,StackableKinds,0)), TRUE, "")</f>
        <v>1</v>
      </c>
    </row>
    <row r="1096" spans="1:17" x14ac:dyDescent="0.2">
      <c r="A1096" s="19" t="str">
        <f>_xlfn.IFNA(VLOOKUP($B1096,Keys!$A:$B,2,FALSE),_xlfn.IFNA(VLOOKUP($B1096,Keys!$D:$E,2,FALSE),VLOOKUP($B1096,Keys!$G:$H,2,FALSE)))</f>
        <v>0x000000133305B645</v>
      </c>
      <c r="B1096" s="5" t="s">
        <v>2004</v>
      </c>
      <c r="C1096" s="5" t="s">
        <v>6</v>
      </c>
      <c r="D1096" s="5" t="s">
        <v>16860</v>
      </c>
      <c r="E1096" s="5"/>
      <c r="F1096" s="5"/>
      <c r="G1096" s="5" t="s">
        <v>8971</v>
      </c>
      <c r="H1096" s="1"/>
      <c r="I1096" s="1"/>
      <c r="J1096" s="2"/>
      <c r="K1096" s="5" t="s">
        <v>9606</v>
      </c>
      <c r="L1096" s="19" t="s">
        <v>11211</v>
      </c>
      <c r="M1096" s="20"/>
      <c r="N1096" s="1"/>
      <c r="O1096" s="1"/>
      <c r="P1096" s="21" t="b">
        <f>IF(ISNUMBER(MATCH($C1096,StackableKinds,0)), TRUE, "")</f>
        <v>1</v>
      </c>
      <c r="Q1096" s="2"/>
    </row>
    <row r="1097" spans="1:17" x14ac:dyDescent="0.2">
      <c r="A1097" s="19" t="str">
        <f>_xlfn.IFNA(VLOOKUP($B1097,Keys!$A:$B,2,FALSE),_xlfn.IFNA(VLOOKUP($B1097,Keys!$D:$E,2,FALSE),VLOOKUP($B1097,Keys!$G:$H,2,FALSE)))</f>
        <v>0x00000016811CEE1A</v>
      </c>
      <c r="B1097" s="5" t="s">
        <v>2682</v>
      </c>
      <c r="C1097" s="5" t="s">
        <v>6</v>
      </c>
      <c r="D1097" s="5" t="s">
        <v>16862</v>
      </c>
      <c r="E1097" s="5"/>
      <c r="F1097" s="5" t="s">
        <v>412</v>
      </c>
      <c r="G1097" s="5" t="s">
        <v>8971</v>
      </c>
      <c r="H1097" s="1"/>
      <c r="I1097" s="1"/>
      <c r="J1097" s="2"/>
      <c r="K1097" s="5" t="s">
        <v>9848</v>
      </c>
      <c r="L1097" s="19" t="s">
        <v>11123</v>
      </c>
      <c r="M1097" s="18"/>
      <c r="N1097" s="1"/>
      <c r="O1097" s="1"/>
      <c r="P1097" s="21" t="b">
        <f>IF(ISNUMBER(MATCH($C1097,StackableKinds,0)), TRUE, "")</f>
        <v>1</v>
      </c>
    </row>
    <row r="1098" spans="1:17" x14ac:dyDescent="0.2">
      <c r="A1098" s="19" t="str">
        <f>_xlfn.IFNA(VLOOKUP($B1098,Keys!$A:$B,2,FALSE),_xlfn.IFNA(VLOOKUP($B1098,Keys!$D:$E,2,FALSE),VLOOKUP($B1098,Keys!$G:$H,2,FALSE)))</f>
        <v>0x00000016F61BDE8C</v>
      </c>
      <c r="B1098" s="5" t="s">
        <v>2684</v>
      </c>
      <c r="C1098" s="5" t="s">
        <v>6</v>
      </c>
      <c r="D1098" s="5" t="s">
        <v>16862</v>
      </c>
      <c r="E1098" s="5"/>
      <c r="F1098" s="5" t="s">
        <v>412</v>
      </c>
      <c r="G1098" s="5" t="s">
        <v>8971</v>
      </c>
      <c r="H1098" s="1"/>
      <c r="I1098" s="1"/>
      <c r="J1098" s="2"/>
      <c r="K1098" s="5" t="s">
        <v>9849</v>
      </c>
      <c r="L1098" s="19" t="s">
        <v>11123</v>
      </c>
      <c r="M1098" s="18"/>
      <c r="N1098" s="1"/>
      <c r="O1098" s="1"/>
      <c r="P1098" s="21" t="b">
        <f>IF(ISNUMBER(MATCH($C1098,StackableKinds,0)), TRUE, "")</f>
        <v>1</v>
      </c>
    </row>
    <row r="1099" spans="1:17" x14ac:dyDescent="0.2">
      <c r="A1099" s="19" t="str">
        <f>_xlfn.IFNA(VLOOKUP($B1099,Keys!$A:$B,2,FALSE),_xlfn.IFNA(VLOOKUP($B1099,Keys!$D:$E,2,FALSE),VLOOKUP($B1099,Keys!$G:$H,2,FALSE)))</f>
        <v>0x00000016687F4B2F</v>
      </c>
      <c r="B1099" s="5" t="s">
        <v>2686</v>
      </c>
      <c r="C1099" s="5" t="s">
        <v>6</v>
      </c>
      <c r="D1099" s="5" t="s">
        <v>16862</v>
      </c>
      <c r="E1099" s="5"/>
      <c r="F1099" s="5" t="s">
        <v>412</v>
      </c>
      <c r="G1099" s="5" t="s">
        <v>8971</v>
      </c>
      <c r="H1099" s="1"/>
      <c r="I1099" s="1"/>
      <c r="J1099" s="2"/>
      <c r="K1099" s="5" t="s">
        <v>9850</v>
      </c>
      <c r="L1099" s="19" t="s">
        <v>11123</v>
      </c>
      <c r="M1099" s="18"/>
      <c r="N1099" s="1"/>
      <c r="O1099" s="1"/>
      <c r="P1099" s="21" t="b">
        <f>IF(ISNUMBER(MATCH($C1099,StackableKinds,0)), TRUE, "")</f>
        <v>1</v>
      </c>
    </row>
    <row r="1100" spans="1:17" x14ac:dyDescent="0.2">
      <c r="A1100" s="19" t="str">
        <f>_xlfn.IFNA(VLOOKUP($B1100,Keys!$A:$B,2,FALSE),_xlfn.IFNA(VLOOKUP($B1100,Keys!$D:$E,2,FALSE),VLOOKUP($B1100,Keys!$G:$H,2,FALSE)))</f>
        <v>0x0000001967D2214F</v>
      </c>
      <c r="B1100" s="5" t="s">
        <v>2862</v>
      </c>
      <c r="C1100" s="5" t="s">
        <v>6</v>
      </c>
      <c r="D1100" s="5" t="s">
        <v>16862</v>
      </c>
      <c r="E1100" s="5"/>
      <c r="F1100" s="5" t="s">
        <v>412</v>
      </c>
      <c r="G1100" s="5" t="s">
        <v>8971</v>
      </c>
      <c r="H1100" s="1"/>
      <c r="I1100" s="1"/>
      <c r="J1100" s="2"/>
      <c r="K1100" s="5" t="s">
        <v>9924</v>
      </c>
      <c r="L1100" s="19" t="s">
        <v>11123</v>
      </c>
      <c r="M1100" s="18"/>
      <c r="N1100" s="1"/>
      <c r="O1100" s="1"/>
      <c r="P1100" s="21" t="b">
        <f>IF(ISNUMBER(MATCH($C1100,StackableKinds,0)), TRUE, "")</f>
        <v>1</v>
      </c>
    </row>
    <row r="1101" spans="1:17" x14ac:dyDescent="0.2">
      <c r="A1101" s="19" t="str">
        <f>_xlfn.IFNA(VLOOKUP($B1101,Keys!$A:$B,2,FALSE),_xlfn.IFNA(VLOOKUP($B1101,Keys!$D:$E,2,FALSE),VLOOKUP($B1101,Keys!$G:$H,2,FALSE)))</f>
        <v>0x0000001B0F701D7A</v>
      </c>
      <c r="B1101" s="5" t="s">
        <v>2822</v>
      </c>
      <c r="C1101" s="5" t="s">
        <v>6</v>
      </c>
      <c r="D1101" s="5" t="s">
        <v>16862</v>
      </c>
      <c r="E1101" s="5"/>
      <c r="F1101" s="5" t="s">
        <v>10862</v>
      </c>
      <c r="G1101" s="5" t="s">
        <v>8971</v>
      </c>
      <c r="H1101" s="1"/>
      <c r="I1101" s="1"/>
      <c r="J1101" s="2"/>
      <c r="K1101" s="5" t="s">
        <v>9906</v>
      </c>
      <c r="L1101" s="19" t="s">
        <v>11685</v>
      </c>
      <c r="M1101" s="20" t="s">
        <v>11358</v>
      </c>
      <c r="N1101" s="1"/>
      <c r="O1101" s="1"/>
      <c r="P1101" s="21" t="b">
        <f>IF(ISNUMBER(MATCH($C1101,StackableKinds,0)), TRUE, "")</f>
        <v>1</v>
      </c>
    </row>
    <row r="1102" spans="1:17" x14ac:dyDescent="0.2">
      <c r="A1102" s="19" t="str">
        <f>_xlfn.IFNA(VLOOKUP($B1102,Keys!$A:$B,2,FALSE),_xlfn.IFNA(VLOOKUP($B1102,Keys!$D:$E,2,FALSE),VLOOKUP($B1102,Keys!$G:$H,2,FALSE)))</f>
        <v>0x000000198F3CA3BB</v>
      </c>
      <c r="B1102" s="5" t="s">
        <v>1852</v>
      </c>
      <c r="C1102" s="5" t="s">
        <v>6</v>
      </c>
      <c r="D1102" s="5" t="s">
        <v>16862</v>
      </c>
      <c r="E1102" s="5"/>
      <c r="F1102" s="5" t="s">
        <v>10862</v>
      </c>
      <c r="G1102" s="5" t="s">
        <v>8971</v>
      </c>
      <c r="H1102" s="1"/>
      <c r="I1102" s="1"/>
      <c r="J1102" s="2"/>
      <c r="K1102" s="5" t="s">
        <v>9549</v>
      </c>
      <c r="L1102" s="19" t="s">
        <v>11685</v>
      </c>
      <c r="M1102" s="20" t="s">
        <v>11153</v>
      </c>
      <c r="N1102" s="1"/>
      <c r="O1102" s="1"/>
      <c r="P1102" s="21" t="b">
        <f>IF(ISNUMBER(MATCH($C1102,StackableKinds,0)), TRUE, "")</f>
        <v>1</v>
      </c>
    </row>
    <row r="1103" spans="1:17" x14ac:dyDescent="0.2">
      <c r="A1103" s="19" t="str">
        <f>_xlfn.IFNA(VLOOKUP($B1103,Keys!$A:$B,2,FALSE),_xlfn.IFNA(VLOOKUP($B1103,Keys!$D:$E,2,FALSE),VLOOKUP($B1103,Keys!$G:$H,2,FALSE)))</f>
        <v>0x00000017121D8602</v>
      </c>
      <c r="B1103" s="5" t="s">
        <v>2656</v>
      </c>
      <c r="C1103" s="5" t="s">
        <v>6</v>
      </c>
      <c r="D1103" s="5" t="s">
        <v>16862</v>
      </c>
      <c r="E1103" s="5"/>
      <c r="F1103" s="5" t="s">
        <v>411</v>
      </c>
      <c r="G1103" s="5" t="s">
        <v>8971</v>
      </c>
      <c r="H1103" s="1"/>
      <c r="I1103" s="1"/>
      <c r="J1103" s="2"/>
      <c r="K1103" s="5" t="s">
        <v>9835</v>
      </c>
      <c r="L1103" s="19" t="s">
        <v>11210</v>
      </c>
      <c r="M1103" s="18"/>
      <c r="N1103" s="1"/>
      <c r="O1103" s="1"/>
      <c r="P1103" s="21" t="b">
        <f>IF(ISNUMBER(MATCH($C1103,StackableKinds,0)), TRUE, "")</f>
        <v>1</v>
      </c>
    </row>
    <row r="1104" spans="1:17" x14ac:dyDescent="0.2">
      <c r="A1104" s="19" t="str">
        <f>_xlfn.IFNA(VLOOKUP($B1104,Keys!$A:$B,2,FALSE),_xlfn.IFNA(VLOOKUP($B1104,Keys!$D:$E,2,FALSE),VLOOKUP($B1104,Keys!$G:$H,2,FALSE)))</f>
        <v>0x00000016443FDCF5</v>
      </c>
      <c r="B1104" s="5" t="s">
        <v>2698</v>
      </c>
      <c r="C1104" s="5" t="s">
        <v>6</v>
      </c>
      <c r="D1104" s="5" t="s">
        <v>16862</v>
      </c>
      <c r="E1104" s="5"/>
      <c r="F1104" s="5" t="s">
        <v>412</v>
      </c>
      <c r="G1104" s="5" t="s">
        <v>8971</v>
      </c>
      <c r="H1104" s="1"/>
      <c r="I1104" s="1"/>
      <c r="J1104" s="2"/>
      <c r="K1104" s="5" t="s">
        <v>9856</v>
      </c>
      <c r="L1104" s="19" t="s">
        <v>11123</v>
      </c>
      <c r="M1104" s="18"/>
      <c r="N1104" s="1"/>
      <c r="O1104" s="1"/>
      <c r="P1104" s="21" t="b">
        <f>IF(ISNUMBER(MATCH($C1104,StackableKinds,0)), TRUE, "")</f>
        <v>1</v>
      </c>
    </row>
    <row r="1105" spans="1:17" x14ac:dyDescent="0.2">
      <c r="A1105" s="19" t="str">
        <f>_xlfn.IFNA(VLOOKUP($B1105,Keys!$A:$B,2,FALSE),_xlfn.IFNA(VLOOKUP($B1105,Keys!$D:$E,2,FALSE),VLOOKUP($B1105,Keys!$G:$H,2,FALSE)))</f>
        <v>0x000000163338EC63</v>
      </c>
      <c r="B1105" s="5" t="s">
        <v>2700</v>
      </c>
      <c r="C1105" s="5" t="s">
        <v>6</v>
      </c>
      <c r="D1105" s="5" t="s">
        <v>16862</v>
      </c>
      <c r="E1105" s="5"/>
      <c r="F1105" s="5" t="s">
        <v>412</v>
      </c>
      <c r="G1105" s="5" t="s">
        <v>8971</v>
      </c>
      <c r="H1105" s="1"/>
      <c r="I1105" s="1"/>
      <c r="J1105" s="2"/>
      <c r="K1105" s="5" t="s">
        <v>9857</v>
      </c>
      <c r="L1105" s="19" t="s">
        <v>11123</v>
      </c>
      <c r="M1105" s="18"/>
      <c r="N1105" s="1"/>
      <c r="O1105" s="1"/>
      <c r="P1105" s="21" t="b">
        <f>IF(ISNUMBER(MATCH($C1105,StackableKinds,0)), TRUE, "")</f>
        <v>1</v>
      </c>
    </row>
    <row r="1106" spans="1:17" x14ac:dyDescent="0.2">
      <c r="A1106" s="19" t="str">
        <f>_xlfn.IFNA(VLOOKUP($B1106,Keys!$A:$B,2,FALSE),_xlfn.IFNA(VLOOKUP($B1106,Keys!$D:$E,2,FALSE),VLOOKUP($B1106,Keys!$G:$H,2,FALSE)))</f>
        <v>0x00000016AA31BDD9</v>
      </c>
      <c r="B1106" s="5" t="s">
        <v>2702</v>
      </c>
      <c r="C1106" s="5" t="s">
        <v>6</v>
      </c>
      <c r="D1106" s="5" t="s">
        <v>16862</v>
      </c>
      <c r="E1106" s="5"/>
      <c r="F1106" s="5" t="s">
        <v>412</v>
      </c>
      <c r="G1106" s="5" t="s">
        <v>8971</v>
      </c>
      <c r="H1106" s="1"/>
      <c r="I1106" s="1"/>
      <c r="J1106" s="2"/>
      <c r="K1106" s="5" t="s">
        <v>9858</v>
      </c>
      <c r="L1106" s="19" t="s">
        <v>11123</v>
      </c>
      <c r="M1106" s="18"/>
      <c r="N1106" s="1"/>
      <c r="O1106" s="1"/>
      <c r="P1106" s="21" t="b">
        <f>IF(ISNUMBER(MATCH($C1106,StackableKinds,0)), TRUE, "")</f>
        <v>1</v>
      </c>
    </row>
    <row r="1107" spans="1:17" x14ac:dyDescent="0.2">
      <c r="A1107" s="19" t="str">
        <f>_xlfn.IFNA(VLOOKUP($B1107,Keys!$A:$B,2,FALSE),_xlfn.IFNA(VLOOKUP($B1107,Keys!$D:$E,2,FALSE),VLOOKUP($B1107,Keys!$G:$H,2,FALSE)))</f>
        <v>0x00000016DD368D4F</v>
      </c>
      <c r="B1107" s="5" t="s">
        <v>2704</v>
      </c>
      <c r="C1107" s="5" t="s">
        <v>6</v>
      </c>
      <c r="D1107" s="5" t="s">
        <v>16862</v>
      </c>
      <c r="E1107" s="5"/>
      <c r="F1107" s="5" t="s">
        <v>412</v>
      </c>
      <c r="G1107" s="5" t="s">
        <v>8971</v>
      </c>
      <c r="H1107" s="1"/>
      <c r="I1107" s="1"/>
      <c r="J1107" s="2"/>
      <c r="K1107" s="5" t="s">
        <v>9859</v>
      </c>
      <c r="L1107" s="19" t="s">
        <v>11123</v>
      </c>
      <c r="M1107" s="18"/>
      <c r="N1107" s="1"/>
      <c r="O1107" s="1"/>
      <c r="P1107" s="21" t="b">
        <f>IF(ISNUMBER(MATCH($C1107,StackableKinds,0)), TRUE, "")</f>
        <v>1</v>
      </c>
    </row>
    <row r="1108" spans="1:17" x14ac:dyDescent="0.2">
      <c r="A1108" s="19" t="str">
        <f>_xlfn.IFNA(VLOOKUP($B1108,Keys!$A:$B,2,FALSE),_xlfn.IFNA(VLOOKUP($B1108,Keys!$D:$E,2,FALSE),VLOOKUP($B1108,Keys!$G:$H,2,FALSE)))</f>
        <v>0x00000017FE187E8C</v>
      </c>
      <c r="B1108" s="5" t="s">
        <v>1888</v>
      </c>
      <c r="C1108" s="5" t="s">
        <v>6</v>
      </c>
      <c r="D1108" s="5" t="s">
        <v>16862</v>
      </c>
      <c r="E1108" s="5"/>
      <c r="F1108" s="5" t="s">
        <v>412</v>
      </c>
      <c r="G1108" s="5" t="s">
        <v>8971</v>
      </c>
      <c r="H1108" s="1"/>
      <c r="I1108" s="1"/>
      <c r="J1108" s="2"/>
      <c r="K1108" s="5" t="s">
        <v>9565</v>
      </c>
      <c r="L1108" s="19" t="s">
        <v>11123</v>
      </c>
      <c r="M1108" s="18"/>
      <c r="N1108" s="1"/>
      <c r="O1108" s="1"/>
      <c r="P1108" s="21" t="b">
        <f>IF(ISNUMBER(MATCH($C1108,StackableKinds,0)), TRUE, "")</f>
        <v>1</v>
      </c>
    </row>
    <row r="1109" spans="1:17" x14ac:dyDescent="0.2">
      <c r="A1109" s="19" t="str">
        <f>_xlfn.IFNA(VLOOKUP($B1109,Keys!$A:$B,2,FALSE),_xlfn.IFNA(VLOOKUP($B1109,Keys!$D:$E,2,FALSE),VLOOKUP($B1109,Keys!$G:$H,2,FALSE)))</f>
        <v>0x0000001767112F36</v>
      </c>
      <c r="B1109" s="5" t="s">
        <v>1882</v>
      </c>
      <c r="C1109" s="5" t="s">
        <v>6</v>
      </c>
      <c r="D1109" s="5" t="s">
        <v>16862</v>
      </c>
      <c r="E1109" s="5"/>
      <c r="F1109" s="5" t="s">
        <v>412</v>
      </c>
      <c r="G1109" s="5" t="s">
        <v>8971</v>
      </c>
      <c r="H1109" s="1"/>
      <c r="I1109" s="1"/>
      <c r="J1109" s="2"/>
      <c r="K1109" s="5" t="s">
        <v>9562</v>
      </c>
      <c r="L1109" s="19" t="s">
        <v>11123</v>
      </c>
      <c r="M1109" s="18"/>
      <c r="N1109" s="1"/>
      <c r="O1109" s="1"/>
      <c r="P1109" s="21" t="b">
        <f>IF(ISNUMBER(MATCH($C1109,StackableKinds,0)), TRUE, "")</f>
        <v>1</v>
      </c>
    </row>
    <row r="1110" spans="1:17" x14ac:dyDescent="0.2">
      <c r="A1110" s="19" t="str">
        <f>_xlfn.IFNA(VLOOKUP($B1110,Keys!$A:$B,2,FALSE),_xlfn.IFNA(VLOOKUP($B1110,Keys!$D:$E,2,FALSE),VLOOKUP($B1110,Keys!$G:$H,2,FALSE)))</f>
        <v>0x00000016A505224C</v>
      </c>
      <c r="B1110" s="5" t="s">
        <v>2648</v>
      </c>
      <c r="C1110" s="5" t="s">
        <v>6</v>
      </c>
      <c r="D1110" s="5" t="s">
        <v>16862</v>
      </c>
      <c r="E1110" s="5"/>
      <c r="F1110" s="5" t="s">
        <v>411</v>
      </c>
      <c r="G1110" s="5" t="s">
        <v>8971</v>
      </c>
      <c r="H1110" s="1"/>
      <c r="I1110" s="1"/>
      <c r="J1110" s="2"/>
      <c r="K1110" s="5" t="s">
        <v>9831</v>
      </c>
      <c r="L1110" s="19" t="s">
        <v>11210</v>
      </c>
      <c r="M1110" s="18"/>
      <c r="N1110" s="1"/>
      <c r="O1110" s="1"/>
      <c r="P1110" s="21" t="b">
        <f>IF(ISNUMBER(MATCH($C1110,StackableKinds,0)), TRUE, "")</f>
        <v>1</v>
      </c>
    </row>
    <row r="1111" spans="1:17" x14ac:dyDescent="0.2">
      <c r="A1111" s="19" t="str">
        <f>_xlfn.IFNA(VLOOKUP($B1111,Keys!$A:$B,2,FALSE),_xlfn.IFNA(VLOOKUP($B1111,Keys!$D:$E,2,FALSE),VLOOKUP($B1111,Keys!$G:$H,2,FALSE)))</f>
        <v>0x000000163C0C73F6</v>
      </c>
      <c r="B1111" s="5" t="s">
        <v>2658</v>
      </c>
      <c r="C1111" s="5" t="s">
        <v>6</v>
      </c>
      <c r="D1111" s="5" t="s">
        <v>16862</v>
      </c>
      <c r="E1111" s="5"/>
      <c r="F1111" s="5" t="s">
        <v>411</v>
      </c>
      <c r="G1111" s="5" t="s">
        <v>8971</v>
      </c>
      <c r="H1111" s="1"/>
      <c r="I1111" s="1"/>
      <c r="J1111" s="2"/>
      <c r="K1111" s="5" t="s">
        <v>9836</v>
      </c>
      <c r="L1111" s="19" t="s">
        <v>11210</v>
      </c>
      <c r="M1111" s="18"/>
      <c r="N1111" s="1"/>
      <c r="O1111" s="1"/>
      <c r="P1111" s="21" t="b">
        <f>IF(ISNUMBER(MATCH($C1111,StackableKinds,0)), TRUE, "")</f>
        <v>1</v>
      </c>
    </row>
    <row r="1112" spans="1:17" x14ac:dyDescent="0.2">
      <c r="A1112" s="19" t="str">
        <f>_xlfn.IFNA(VLOOKUP($B1112,Keys!$A:$B,2,FALSE),_xlfn.IFNA(VLOOKUP($B1112,Keys!$D:$E,2,FALSE),VLOOKUP($B1112,Keys!$G:$H,2,FALSE)))</f>
        <v>0x0000001519DBB192</v>
      </c>
      <c r="B1112" s="5" t="s">
        <v>1452</v>
      </c>
      <c r="C1112" s="5" t="s">
        <v>6</v>
      </c>
      <c r="D1112" s="5" t="s">
        <v>16861</v>
      </c>
      <c r="E1112" s="5"/>
      <c r="F1112" s="5" t="s">
        <v>8753</v>
      </c>
      <c r="G1112" s="5" t="s">
        <v>8971</v>
      </c>
      <c r="H1112" s="1"/>
      <c r="I1112" s="1"/>
      <c r="J1112" s="2"/>
      <c r="K1112" s="5" t="s">
        <v>9362</v>
      </c>
      <c r="L1112" s="19" t="s">
        <v>10868</v>
      </c>
      <c r="M1112" s="20"/>
      <c r="N1112" s="5" t="s">
        <v>6</v>
      </c>
      <c r="O1112" s="1"/>
      <c r="P1112" s="21" t="b">
        <f>IF(ISNUMBER(MATCH($C1112,StackableKinds,0)), TRUE, "")</f>
        <v>1</v>
      </c>
      <c r="Q1112" s="2"/>
    </row>
    <row r="1113" spans="1:17" x14ac:dyDescent="0.2">
      <c r="A1113" s="19" t="str">
        <f>_xlfn.IFNA(VLOOKUP($B1113,Keys!$A:$B,2,FALSE),_xlfn.IFNA(VLOOKUP($B1113,Keys!$D:$E,2,FALSE),VLOOKUP($B1113,Keys!$G:$H,2,FALSE)))</f>
        <v>0x000000156EDC8104</v>
      </c>
      <c r="B1113" s="5" t="s">
        <v>1454</v>
      </c>
      <c r="C1113" s="5" t="s">
        <v>6</v>
      </c>
      <c r="D1113" s="5" t="s">
        <v>16860</v>
      </c>
      <c r="E1113" s="5"/>
      <c r="F1113" s="5" t="s">
        <v>8753</v>
      </c>
      <c r="G1113" s="5" t="s">
        <v>8971</v>
      </c>
      <c r="H1113" s="1"/>
      <c r="I1113" s="1"/>
      <c r="J1113" s="2"/>
      <c r="K1113" s="5" t="s">
        <v>9363</v>
      </c>
      <c r="L1113" s="19" t="s">
        <v>10869</v>
      </c>
      <c r="M1113" s="20"/>
      <c r="N1113" s="5" t="s">
        <v>6</v>
      </c>
      <c r="O1113" s="1"/>
      <c r="P1113" s="21" t="b">
        <f>IF(ISNUMBER(MATCH($C1113,StackableKinds,0)), TRUE, "")</f>
        <v>1</v>
      </c>
      <c r="Q1113" s="2"/>
    </row>
    <row r="1114" spans="1:17" x14ac:dyDescent="0.2">
      <c r="A1114" s="19" t="str">
        <f>_xlfn.IFNA(VLOOKUP($B1114,Keys!$A:$B,2,FALSE),_xlfn.IFNA(VLOOKUP($B1114,Keys!$D:$E,2,FALSE),VLOOKUP($B1114,Keys!$G:$H,2,FALSE)))</f>
        <v>0x00000015F7D5D0BE</v>
      </c>
      <c r="B1114" s="5" t="s">
        <v>1456</v>
      </c>
      <c r="C1114" s="5" t="s">
        <v>6</v>
      </c>
      <c r="D1114" s="5" t="s">
        <v>16859</v>
      </c>
      <c r="E1114" s="5"/>
      <c r="F1114" s="5" t="s">
        <v>8753</v>
      </c>
      <c r="G1114" s="5" t="s">
        <v>8971</v>
      </c>
      <c r="H1114" s="1"/>
      <c r="I1114" s="1"/>
      <c r="J1114" s="2"/>
      <c r="K1114" s="5" t="s">
        <v>9364</v>
      </c>
      <c r="L1114" s="19" t="s">
        <v>10870</v>
      </c>
      <c r="M1114" s="20"/>
      <c r="N1114" s="5" t="s">
        <v>6</v>
      </c>
      <c r="O1114" s="1"/>
      <c r="P1114" s="21" t="b">
        <f>IF(ISNUMBER(MATCH($C1114,StackableKinds,0)), TRUE, "")</f>
        <v>1</v>
      </c>
      <c r="Q1114" s="2"/>
    </row>
    <row r="1115" spans="1:17" x14ac:dyDescent="0.2">
      <c r="A1115" s="19" t="str">
        <f>_xlfn.IFNA(VLOOKUP($B1115,Keys!$A:$B,2,FALSE),_xlfn.IFNA(VLOOKUP($B1115,Keys!$D:$E,2,FALSE),VLOOKUP($B1115,Keys!$G:$H,2,FALSE)))</f>
        <v>0x00000015AAFF63D9</v>
      </c>
      <c r="B1115" s="5" t="s">
        <v>2718</v>
      </c>
      <c r="C1115" s="5" t="s">
        <v>6</v>
      </c>
      <c r="D1115" s="5" t="s">
        <v>16862</v>
      </c>
      <c r="E1115" s="5"/>
      <c r="F1115" s="5" t="s">
        <v>412</v>
      </c>
      <c r="G1115" s="5" t="s">
        <v>8971</v>
      </c>
      <c r="H1115" s="1"/>
      <c r="I1115" s="1"/>
      <c r="J1115" s="2"/>
      <c r="K1115" s="5" t="s">
        <v>9866</v>
      </c>
      <c r="L1115" s="19" t="s">
        <v>11123</v>
      </c>
      <c r="M1115" s="18"/>
      <c r="N1115" s="1"/>
      <c r="O1115" s="1"/>
      <c r="P1115" s="21" t="b">
        <f>IF(ISNUMBER(MATCH($C1115,StackableKinds,0)), TRUE, "")</f>
        <v>1</v>
      </c>
    </row>
    <row r="1116" spans="1:17" x14ac:dyDescent="0.2">
      <c r="A1116" s="19" t="str">
        <f>_xlfn.IFNA(VLOOKUP($B1116,Keys!$A:$B,2,FALSE),_xlfn.IFNA(VLOOKUP($B1116,Keys!$D:$E,2,FALSE),VLOOKUP($B1116,Keys!$G:$H,2,FALSE)))</f>
        <v>0x00000016F1761A95</v>
      </c>
      <c r="B1116" s="5" t="s">
        <v>2692</v>
      </c>
      <c r="C1116" s="5" t="s">
        <v>6</v>
      </c>
      <c r="D1116" s="5" t="s">
        <v>16862</v>
      </c>
      <c r="E1116" s="5"/>
      <c r="F1116" s="5" t="s">
        <v>412</v>
      </c>
      <c r="G1116" s="5" t="s">
        <v>8971</v>
      </c>
      <c r="H1116" s="1"/>
      <c r="I1116" s="1"/>
      <c r="J1116" s="2"/>
      <c r="K1116" s="5" t="s">
        <v>9853</v>
      </c>
      <c r="L1116" s="19" t="s">
        <v>11123</v>
      </c>
      <c r="M1116" s="18"/>
      <c r="N1116" s="1"/>
      <c r="O1116" s="1"/>
      <c r="P1116" s="21" t="b">
        <f>IF(ISNUMBER(MATCH($C1116,StackableKinds,0)), TRUE, "")</f>
        <v>1</v>
      </c>
    </row>
    <row r="1117" spans="1:17" x14ac:dyDescent="0.2">
      <c r="A1117" s="19" t="str">
        <f>_xlfn.IFNA(VLOOKUP($B1117,Keys!$A:$B,2,FALSE),_xlfn.IFNA(VLOOKUP($B1117,Keys!$D:$E,2,FALSE),VLOOKUP($B1117,Keys!$G:$H,2,FALSE)))</f>
        <v>0x0000001661C90704</v>
      </c>
      <c r="B1117" s="5" t="s">
        <v>2694</v>
      </c>
      <c r="C1117" s="5" t="s">
        <v>6</v>
      </c>
      <c r="D1117" s="5" t="s">
        <v>16862</v>
      </c>
      <c r="E1117" s="5"/>
      <c r="F1117" s="5" t="s">
        <v>412</v>
      </c>
      <c r="G1117" s="5" t="s">
        <v>8971</v>
      </c>
      <c r="H1117" s="1"/>
      <c r="I1117" s="1"/>
      <c r="J1117" s="2"/>
      <c r="K1117" s="5" t="s">
        <v>9854</v>
      </c>
      <c r="L1117" s="19" t="s">
        <v>11123</v>
      </c>
      <c r="M1117" s="18"/>
      <c r="N1117" s="1"/>
      <c r="O1117" s="1"/>
      <c r="P1117" s="21" t="b">
        <f>IF(ISNUMBER(MATCH($C1117,StackableKinds,0)), TRUE, "")</f>
        <v>1</v>
      </c>
    </row>
    <row r="1118" spans="1:17" x14ac:dyDescent="0.2">
      <c r="A1118" s="19" t="str">
        <f>_xlfn.IFNA(VLOOKUP($B1118,Keys!$A:$B,2,FALSE),_xlfn.IFNA(VLOOKUP($B1118,Keys!$D:$E,2,FALSE),VLOOKUP($B1118,Keys!$G:$H,2,FALSE)))</f>
        <v>0x0000001616CE3792</v>
      </c>
      <c r="B1118" s="5" t="s">
        <v>2696</v>
      </c>
      <c r="C1118" s="5" t="s">
        <v>6</v>
      </c>
      <c r="D1118" s="5" t="s">
        <v>16862</v>
      </c>
      <c r="E1118" s="5"/>
      <c r="F1118" s="5" t="s">
        <v>412</v>
      </c>
      <c r="G1118" s="5" t="s">
        <v>8971</v>
      </c>
      <c r="H1118" s="1"/>
      <c r="I1118" s="1"/>
      <c r="J1118" s="2"/>
      <c r="K1118" s="5" t="s">
        <v>9855</v>
      </c>
      <c r="L1118" s="19" t="s">
        <v>11123</v>
      </c>
      <c r="M1118" s="18"/>
      <c r="N1118" s="1"/>
      <c r="O1118" s="1"/>
      <c r="P1118" s="21" t="b">
        <f>IF(ISNUMBER(MATCH($C1118,StackableKinds,0)), TRUE, "")</f>
        <v>1</v>
      </c>
    </row>
    <row r="1119" spans="1:17" x14ac:dyDescent="0.2">
      <c r="A1119" s="19" t="str">
        <f>_xlfn.IFNA(VLOOKUP($B1119,Keys!$A:$B,2,FALSE),_xlfn.IFNA(VLOOKUP($B1119,Keys!$D:$E,2,FALSE),VLOOKUP($B1119,Keys!$G:$H,2,FALSE)))</f>
        <v>0x000000142ECDDAE4</v>
      </c>
      <c r="B1119" s="5" t="s">
        <v>3016</v>
      </c>
      <c r="C1119" s="5" t="s">
        <v>6</v>
      </c>
      <c r="D1119" s="5" t="s">
        <v>16862</v>
      </c>
      <c r="E1119" s="5"/>
      <c r="F1119" s="5" t="s">
        <v>10862</v>
      </c>
      <c r="G1119" s="5" t="s">
        <v>8971</v>
      </c>
      <c r="H1119" s="1"/>
      <c r="I1119" s="1"/>
      <c r="J1119" s="2"/>
      <c r="K1119" s="5" t="s">
        <v>9975</v>
      </c>
      <c r="L1119" s="19" t="s">
        <v>11685</v>
      </c>
      <c r="M1119" s="20" t="s">
        <v>11181</v>
      </c>
      <c r="N1119" s="1"/>
      <c r="O1119" s="1"/>
      <c r="P1119" s="21" t="b">
        <f>IF(ISNUMBER(MATCH($C1119,StackableKinds,0)), TRUE, "")</f>
        <v>1</v>
      </c>
      <c r="Q1119" s="2"/>
    </row>
    <row r="1120" spans="1:17" x14ac:dyDescent="0.2">
      <c r="A1120" s="19" t="str">
        <f>_xlfn.IFNA(VLOOKUP($B1120,Keys!$A:$B,2,FALSE),_xlfn.IFNA(VLOOKUP($B1120,Keys!$D:$E,2,FALSE),VLOOKUP($B1120,Keys!$G:$H,2,FALSE)))</f>
        <v>0x0000001533F63263</v>
      </c>
      <c r="B1120" s="5" t="s">
        <v>2720</v>
      </c>
      <c r="C1120" s="5" t="s">
        <v>6</v>
      </c>
      <c r="D1120" s="5" t="s">
        <v>16862</v>
      </c>
      <c r="E1120" s="5"/>
      <c r="F1120" s="5" t="s">
        <v>412</v>
      </c>
      <c r="G1120" s="5" t="s">
        <v>8971</v>
      </c>
      <c r="H1120" s="1"/>
      <c r="I1120" s="1"/>
      <c r="J1120" s="2"/>
      <c r="K1120" s="5" t="s">
        <v>9867</v>
      </c>
      <c r="L1120" s="19" t="s">
        <v>11123</v>
      </c>
      <c r="M1120" s="18"/>
      <c r="N1120" s="1"/>
      <c r="O1120" s="1"/>
      <c r="P1120" s="21" t="b">
        <f>IF(ISNUMBER(MATCH($C1120,StackableKinds,0)), TRUE, "")</f>
        <v>1</v>
      </c>
    </row>
    <row r="1121" spans="1:17" x14ac:dyDescent="0.2">
      <c r="A1121" s="19" t="str">
        <f>_xlfn.IFNA(VLOOKUP($B1121,Keys!$A:$B,2,FALSE),_xlfn.IFNA(VLOOKUP($B1121,Keys!$D:$E,2,FALSE),VLOOKUP($B1121,Keys!$G:$H,2,FALSE)))</f>
        <v>0x0000001960BFE556</v>
      </c>
      <c r="B1121" s="5" t="s">
        <v>2870</v>
      </c>
      <c r="C1121" s="5" t="s">
        <v>6</v>
      </c>
      <c r="D1121" s="5" t="s">
        <v>16862</v>
      </c>
      <c r="E1121" s="5"/>
      <c r="F1121" s="5" t="s">
        <v>412</v>
      </c>
      <c r="G1121" s="5" t="s">
        <v>8971</v>
      </c>
      <c r="H1121" s="1"/>
      <c r="I1121" s="1"/>
      <c r="J1121" s="2"/>
      <c r="K1121" s="5" t="s">
        <v>9928</v>
      </c>
      <c r="L1121" s="19" t="s">
        <v>11123</v>
      </c>
      <c r="M1121" s="18"/>
      <c r="N1121" s="1"/>
      <c r="O1121" s="1"/>
      <c r="P1121" s="21" t="b">
        <f>IF(ISNUMBER(MATCH($C1121,StackableKinds,0)), TRUE, "")</f>
        <v>1</v>
      </c>
    </row>
    <row r="1122" spans="1:17" x14ac:dyDescent="0.2">
      <c r="A1122" s="19" t="str">
        <f>_xlfn.IFNA(VLOOKUP($B1122,Keys!$A:$B,2,FALSE),_xlfn.IFNA(VLOOKUP($B1122,Keys!$D:$E,2,FALSE),VLOOKUP($B1122,Keys!$G:$H,2,FALSE)))</f>
        <v>0x0000001910D511D9</v>
      </c>
      <c r="B1122" s="5" t="s">
        <v>2864</v>
      </c>
      <c r="C1122" s="5" t="s">
        <v>6</v>
      </c>
      <c r="D1122" s="5" t="s">
        <v>16862</v>
      </c>
      <c r="E1122" s="5"/>
      <c r="F1122" s="5" t="s">
        <v>412</v>
      </c>
      <c r="G1122" s="5" t="s">
        <v>8971</v>
      </c>
      <c r="H1122" s="1"/>
      <c r="I1122" s="1"/>
      <c r="J1122" s="2"/>
      <c r="K1122" s="5" t="s">
        <v>9925</v>
      </c>
      <c r="L1122" s="19" t="s">
        <v>11123</v>
      </c>
      <c r="M1122" s="18"/>
      <c r="N1122" s="1"/>
      <c r="O1122" s="1"/>
      <c r="P1122" s="21" t="b">
        <f>IF(ISNUMBER(MATCH($C1122,StackableKinds,0)), TRUE, "")</f>
        <v>1</v>
      </c>
    </row>
    <row r="1123" spans="1:17" x14ac:dyDescent="0.2">
      <c r="A1123" s="19" t="str">
        <f>_xlfn.IFNA(VLOOKUP($B1123,Keys!$A:$B,2,FALSE),_xlfn.IFNA(VLOOKUP($B1123,Keys!$D:$E,2,FALSE),VLOOKUP($B1123,Keys!$G:$H,2,FALSE)))</f>
        <v>0x0000001917B8D5C0</v>
      </c>
      <c r="B1123" s="5" t="s">
        <v>2872</v>
      </c>
      <c r="C1123" s="5" t="s">
        <v>6</v>
      </c>
      <c r="D1123" s="5" t="s">
        <v>16862</v>
      </c>
      <c r="E1123" s="5"/>
      <c r="F1123" s="5" t="s">
        <v>412</v>
      </c>
      <c r="G1123" s="5" t="s">
        <v>8971</v>
      </c>
      <c r="H1123" s="1"/>
      <c r="I1123" s="1"/>
      <c r="J1123" s="2"/>
      <c r="K1123" s="5" t="s">
        <v>9929</v>
      </c>
      <c r="L1123" s="19" t="s">
        <v>11123</v>
      </c>
      <c r="M1123" s="18"/>
      <c r="N1123" s="1"/>
      <c r="O1123" s="1"/>
      <c r="P1123" s="21" t="b">
        <f>IF(ISNUMBER(MATCH($C1123,StackableKinds,0)), TRUE, "")</f>
        <v>1</v>
      </c>
    </row>
    <row r="1124" spans="1:17" x14ac:dyDescent="0.2">
      <c r="A1124" s="19" t="str">
        <f>_xlfn.IFNA(VLOOKUP($B1124,Keys!$A:$B,2,FALSE),_xlfn.IFNA(VLOOKUP($B1124,Keys!$D:$E,2,FALSE),VLOOKUP($B1124,Keys!$G:$H,2,FALSE)))</f>
        <v>0x00000019AAA8482C</v>
      </c>
      <c r="B1124" s="5" t="s">
        <v>2848</v>
      </c>
      <c r="C1124" s="5" t="s">
        <v>6</v>
      </c>
      <c r="D1124" s="5" t="s">
        <v>16862</v>
      </c>
      <c r="E1124" s="5"/>
      <c r="F1124" s="5" t="s">
        <v>411</v>
      </c>
      <c r="G1124" s="5" t="s">
        <v>8971</v>
      </c>
      <c r="H1124" s="1"/>
      <c r="I1124" s="1"/>
      <c r="J1124" s="2"/>
      <c r="K1124" s="5" t="s">
        <v>9918</v>
      </c>
      <c r="L1124" s="19" t="s">
        <v>11210</v>
      </c>
      <c r="M1124" s="18"/>
      <c r="N1124" s="1"/>
      <c r="O1124" s="1"/>
      <c r="P1124" s="21" t="b">
        <f>IF(ISNUMBER(MATCH($C1124,StackableKinds,0)), TRUE, "")</f>
        <v>1</v>
      </c>
    </row>
    <row r="1125" spans="1:17" x14ac:dyDescent="0.2">
      <c r="A1125" s="19" t="str">
        <f>_xlfn.IFNA(VLOOKUP($B1125,Keys!$A:$B,2,FALSE),_xlfn.IFNA(VLOOKUP($B1125,Keys!$D:$E,2,FALSE),VLOOKUP($B1125,Keys!$G:$H,2,FALSE)))</f>
        <v>0x0000001933A11996</v>
      </c>
      <c r="B1125" s="5" t="s">
        <v>2850</v>
      </c>
      <c r="C1125" s="5" t="s">
        <v>6</v>
      </c>
      <c r="D1125" s="5" t="s">
        <v>16862</v>
      </c>
      <c r="E1125" s="5"/>
      <c r="F1125" s="5" t="s">
        <v>411</v>
      </c>
      <c r="G1125" s="5" t="s">
        <v>8971</v>
      </c>
      <c r="H1125" s="1"/>
      <c r="I1125" s="1"/>
      <c r="J1125" s="2"/>
      <c r="K1125" s="5" t="s">
        <v>9919</v>
      </c>
      <c r="L1125" s="19" t="s">
        <v>11210</v>
      </c>
      <c r="M1125" s="18"/>
      <c r="N1125" s="1"/>
      <c r="O1125" s="1"/>
      <c r="P1125" s="21" t="b">
        <f>IF(ISNUMBER(MATCH($C1125,StackableKinds,0)), TRUE, "")</f>
        <v>1</v>
      </c>
    </row>
    <row r="1126" spans="1:17" x14ac:dyDescent="0.2">
      <c r="A1126" s="19" t="str">
        <f>_xlfn.IFNA(VLOOKUP($B1126,Keys!$A:$B,2,FALSE),_xlfn.IFNA(VLOOKUP($B1126,Keys!$D:$E,2,FALSE),VLOOKUP($B1126,Keys!$G:$H,2,FALSE)))</f>
        <v>0x000000178B14D7B8</v>
      </c>
      <c r="B1126" s="5" t="s">
        <v>2650</v>
      </c>
      <c r="C1126" s="5" t="s">
        <v>6</v>
      </c>
      <c r="D1126" s="5" t="s">
        <v>16862</v>
      </c>
      <c r="E1126" s="5"/>
      <c r="F1126" s="5" t="s">
        <v>411</v>
      </c>
      <c r="G1126" s="5" t="s">
        <v>8971</v>
      </c>
      <c r="H1126" s="1"/>
      <c r="I1126" s="1"/>
      <c r="J1126" s="2"/>
      <c r="K1126" s="5" t="s">
        <v>9832</v>
      </c>
      <c r="L1126" s="19" t="s">
        <v>11210</v>
      </c>
      <c r="M1126" s="18"/>
      <c r="N1126" s="1"/>
      <c r="O1126" s="1"/>
      <c r="P1126" s="21" t="b">
        <f>IF(ISNUMBER(MATCH($C1126,StackableKinds,0)), TRUE, "")</f>
        <v>1</v>
      </c>
    </row>
    <row r="1127" spans="1:17" x14ac:dyDescent="0.2">
      <c r="A1127" s="19" t="str">
        <f>_xlfn.IFNA(VLOOKUP($B1127,Keys!$A:$B,2,FALSE),_xlfn.IFNA(VLOOKUP($B1127,Keys!$D:$E,2,FALSE),VLOOKUP($B1127,Keys!$G:$H,2,FALSE)))</f>
        <v>0x00000016ABDEAA7E</v>
      </c>
      <c r="B1127" s="5" t="s">
        <v>2672</v>
      </c>
      <c r="C1127" s="5" t="s">
        <v>6</v>
      </c>
      <c r="D1127" s="5" t="s">
        <v>16862</v>
      </c>
      <c r="E1127" s="5"/>
      <c r="F1127" s="5" t="s">
        <v>411</v>
      </c>
      <c r="G1127" s="5" t="s">
        <v>8971</v>
      </c>
      <c r="H1127" s="1"/>
      <c r="I1127" s="1"/>
      <c r="J1127" s="2"/>
      <c r="K1127" s="5" t="s">
        <v>9843</v>
      </c>
      <c r="L1127" s="19" t="s">
        <v>11210</v>
      </c>
      <c r="M1127" s="18"/>
      <c r="N1127" s="1"/>
      <c r="O1127" s="1"/>
      <c r="P1127" s="21" t="b">
        <f>IF(ISNUMBER(MATCH($C1127,StackableKinds,0)), TRUE, "")</f>
        <v>1</v>
      </c>
    </row>
    <row r="1128" spans="1:17" x14ac:dyDescent="0.2">
      <c r="A1128" s="19" t="str">
        <f>_xlfn.IFNA(VLOOKUP($B1128,Keys!$A:$B,2,FALSE),_xlfn.IFNA(VLOOKUP($B1128,Keys!$D:$E,2,FALSE),VLOOKUP($B1128,Keys!$G:$H,2,FALSE)))</f>
        <v>0x00000019ADC58C35</v>
      </c>
      <c r="B1128" s="5" t="s">
        <v>2830</v>
      </c>
      <c r="C1128" s="5" t="s">
        <v>6</v>
      </c>
      <c r="D1128" s="5" t="s">
        <v>16862</v>
      </c>
      <c r="E1128" s="5"/>
      <c r="F1128" s="5" t="s">
        <v>411</v>
      </c>
      <c r="G1128" s="5" t="s">
        <v>8971</v>
      </c>
      <c r="H1128" s="1"/>
      <c r="I1128" s="1"/>
      <c r="J1128" s="2"/>
      <c r="K1128" s="5" t="s">
        <v>9909</v>
      </c>
      <c r="L1128" s="19" t="s">
        <v>11210</v>
      </c>
      <c r="M1128" s="18"/>
      <c r="N1128" s="1"/>
      <c r="O1128" s="1"/>
      <c r="P1128" s="21" t="b">
        <f>IF(ISNUMBER(MATCH($C1128,StackableKinds,0)), TRUE, "")</f>
        <v>1</v>
      </c>
    </row>
    <row r="1129" spans="1:17" x14ac:dyDescent="0.2">
      <c r="A1129" s="19" t="str">
        <f>_xlfn.IFNA(VLOOKUP($B1129,Keys!$A:$B,2,FALSE),_xlfn.IFNA(VLOOKUP($B1129,Keys!$D:$E,2,FALSE),VLOOKUP($B1129,Keys!$G:$H,2,FALSE)))</f>
        <v>0x0000001934CCDD8F</v>
      </c>
      <c r="B1129" s="5" t="s">
        <v>2842</v>
      </c>
      <c r="C1129" s="5" t="s">
        <v>6</v>
      </c>
      <c r="D1129" s="5" t="s">
        <v>16862</v>
      </c>
      <c r="E1129" s="5"/>
      <c r="F1129" s="5" t="s">
        <v>411</v>
      </c>
      <c r="G1129" s="5" t="s">
        <v>8971</v>
      </c>
      <c r="H1129" s="1"/>
      <c r="I1129" s="1"/>
      <c r="J1129" s="2"/>
      <c r="K1129" s="5" t="s">
        <v>9915</v>
      </c>
      <c r="L1129" s="19" t="s">
        <v>11210</v>
      </c>
      <c r="M1129" s="18"/>
      <c r="N1129" s="1"/>
      <c r="O1129" s="1"/>
      <c r="P1129" s="21" t="b">
        <f>IF(ISNUMBER(MATCH($C1129,StackableKinds,0)), TRUE, "")</f>
        <v>1</v>
      </c>
    </row>
    <row r="1130" spans="1:17" x14ac:dyDescent="0.2">
      <c r="A1130" s="19" t="str">
        <f>_xlfn.IFNA(VLOOKUP($B1130,Keys!$A:$B,2,FALSE),_xlfn.IFNA(VLOOKUP($B1130,Keys!$D:$E,2,FALSE),VLOOKUP($B1130,Keys!$G:$H,2,FALSE)))</f>
        <v>0x000000165D6B1F2E</v>
      </c>
      <c r="B1130" s="5" t="s">
        <v>1898</v>
      </c>
      <c r="C1130" s="5" t="s">
        <v>6</v>
      </c>
      <c r="D1130" s="5" t="s">
        <v>16862</v>
      </c>
      <c r="E1130" s="5"/>
      <c r="F1130" s="5" t="s">
        <v>412</v>
      </c>
      <c r="G1130" s="5" t="s">
        <v>8971</v>
      </c>
      <c r="H1130" s="1"/>
      <c r="I1130" s="1"/>
      <c r="J1130" s="2"/>
      <c r="K1130" s="5" t="s">
        <v>9570</v>
      </c>
      <c r="L1130" s="19" t="s">
        <v>11123</v>
      </c>
      <c r="M1130" s="18"/>
      <c r="N1130" s="1"/>
      <c r="O1130" s="1"/>
      <c r="P1130" s="21" t="b">
        <f>IF(ISNUMBER(MATCH($C1130,StackableKinds,0)), TRUE, "")</f>
        <v>1</v>
      </c>
    </row>
    <row r="1131" spans="1:17" x14ac:dyDescent="0.2">
      <c r="A1131" s="19" t="str">
        <f>_xlfn.IFNA(VLOOKUP($B1131,Keys!$A:$B,2,FALSE),_xlfn.IFNA(VLOOKUP($B1131,Keys!$D:$E,2,FALSE),VLOOKUP($B1131,Keys!$G:$H,2,FALSE)))</f>
        <v>0x00000016C4624E94</v>
      </c>
      <c r="B1131" s="5" t="s">
        <v>1896</v>
      </c>
      <c r="C1131" s="5" t="s">
        <v>6</v>
      </c>
      <c r="D1131" s="5" t="s">
        <v>16862</v>
      </c>
      <c r="E1131" s="5"/>
      <c r="F1131" s="5" t="s">
        <v>412</v>
      </c>
      <c r="G1131" s="5" t="s">
        <v>8971</v>
      </c>
      <c r="H1131" s="1"/>
      <c r="I1131" s="1"/>
      <c r="J1131" s="2"/>
      <c r="K1131" s="5" t="s">
        <v>9569</v>
      </c>
      <c r="L1131" s="19" t="s">
        <v>11123</v>
      </c>
      <c r="M1131" s="18"/>
      <c r="N1131" s="1"/>
      <c r="O1131" s="1"/>
      <c r="P1131" s="21" t="b">
        <f>IF(ISNUMBER(MATCH($C1131,StackableKinds,0)), TRUE, "")</f>
        <v>1</v>
      </c>
    </row>
    <row r="1132" spans="1:17" x14ac:dyDescent="0.2">
      <c r="A1132" s="19" t="str">
        <f>_xlfn.IFNA(VLOOKUP($B1132,Keys!$A:$B,2,FALSE),_xlfn.IFNA(VLOOKUP($B1132,Keys!$D:$E,2,FALSE),VLOOKUP($B1132,Keys!$G:$H,2,FALSE)))</f>
        <v>0x0000001B911488D9</v>
      </c>
      <c r="B1132" s="5" t="s">
        <v>2816</v>
      </c>
      <c r="C1132" s="5" t="s">
        <v>6</v>
      </c>
      <c r="D1132" s="5" t="s">
        <v>16862</v>
      </c>
      <c r="E1132" s="5"/>
      <c r="F1132" s="5" t="s">
        <v>10862</v>
      </c>
      <c r="G1132" s="5" t="s">
        <v>8971</v>
      </c>
      <c r="H1132" s="1"/>
      <c r="I1132" s="1"/>
      <c r="J1132" s="2"/>
      <c r="K1132" s="5" t="s">
        <v>9903</v>
      </c>
      <c r="L1132" s="19" t="s">
        <v>11685</v>
      </c>
      <c r="M1132" s="20" t="s">
        <v>11176</v>
      </c>
      <c r="N1132" s="1"/>
      <c r="O1132" s="1"/>
      <c r="P1132" s="21" t="b">
        <f>IF(ISNUMBER(MATCH($C1132,StackableKinds,0)), TRUE, "")</f>
        <v>1</v>
      </c>
      <c r="Q1132" s="2"/>
    </row>
    <row r="1133" spans="1:17" x14ac:dyDescent="0.2">
      <c r="A1133" s="19" t="str">
        <f>_xlfn.IFNA(VLOOKUP($B1133,Keys!$A:$B,2,FALSE),_xlfn.IFNA(VLOOKUP($B1133,Keys!$D:$E,2,FALSE),VLOOKUP($B1133,Keys!$G:$H,2,FALSE)))</f>
        <v>0x0000001AD5C2EE18</v>
      </c>
      <c r="B1133" s="5" t="s">
        <v>2834</v>
      </c>
      <c r="C1133" s="5" t="s">
        <v>6</v>
      </c>
      <c r="D1133" s="5" t="s">
        <v>16862</v>
      </c>
      <c r="E1133" s="5"/>
      <c r="F1133" s="5" t="s">
        <v>411</v>
      </c>
      <c r="G1133" s="5" t="s">
        <v>8971</v>
      </c>
      <c r="H1133" s="1"/>
      <c r="I1133" s="1"/>
      <c r="J1133" s="2"/>
      <c r="K1133" s="5" t="s">
        <v>9911</v>
      </c>
      <c r="L1133" s="19" t="s">
        <v>11210</v>
      </c>
      <c r="M1133" s="18"/>
      <c r="N1133" s="1"/>
      <c r="O1133" s="1"/>
      <c r="P1133" s="21" t="b">
        <f>IF(ISNUMBER(MATCH($C1133,StackableKinds,0)), TRUE, "")</f>
        <v>1</v>
      </c>
    </row>
    <row r="1134" spans="1:17" x14ac:dyDescent="0.2">
      <c r="A1134" s="19" t="str">
        <f>_xlfn.IFNA(VLOOKUP($B1134,Keys!$A:$B,2,FALSE),_xlfn.IFNA(VLOOKUP($B1134,Keys!$D:$E,2,FALSE),VLOOKUP($B1134,Keys!$G:$H,2,FALSE)))</f>
        <v>0x0000001544F102F5</v>
      </c>
      <c r="B1134" s="5" t="s">
        <v>2722</v>
      </c>
      <c r="C1134" s="5" t="s">
        <v>6</v>
      </c>
      <c r="D1134" s="5" t="s">
        <v>16862</v>
      </c>
      <c r="E1134" s="5"/>
      <c r="F1134" s="5" t="s">
        <v>412</v>
      </c>
      <c r="G1134" s="5" t="s">
        <v>8971</v>
      </c>
      <c r="H1134" s="1"/>
      <c r="I1134" s="1"/>
      <c r="J1134" s="2"/>
      <c r="K1134" s="5" t="s">
        <v>9868</v>
      </c>
      <c r="L1134" s="19" t="s">
        <v>11123</v>
      </c>
      <c r="M1134" s="18"/>
      <c r="N1134" s="1"/>
      <c r="O1134" s="1"/>
      <c r="P1134" s="21" t="b">
        <f>IF(ISNUMBER(MATCH($C1134,StackableKinds,0)), TRUE, "")</f>
        <v>1</v>
      </c>
    </row>
    <row r="1135" spans="1:17" x14ac:dyDescent="0.2">
      <c r="A1135" s="19" t="str">
        <f>_xlfn.IFNA(VLOOKUP($B1135,Keys!$A:$B,2,FALSE),_xlfn.IFNA(VLOOKUP($B1135,Keys!$D:$E,2,FALSE),VLOOKUP($B1135,Keys!$G:$H,2,FALSE)))</f>
        <v>0x000000161F787BB9</v>
      </c>
      <c r="B1135" s="5" t="s">
        <v>2688</v>
      </c>
      <c r="C1135" s="5" t="s">
        <v>6</v>
      </c>
      <c r="D1135" s="5" t="s">
        <v>16862</v>
      </c>
      <c r="E1135" s="5"/>
      <c r="F1135" s="5" t="s">
        <v>412</v>
      </c>
      <c r="G1135" s="5" t="s">
        <v>8971</v>
      </c>
      <c r="H1135" s="1"/>
      <c r="I1135" s="1"/>
      <c r="J1135" s="2"/>
      <c r="K1135" s="5" t="s">
        <v>9851</v>
      </c>
      <c r="L1135" s="19" t="s">
        <v>11123</v>
      </c>
      <c r="M1135" s="18"/>
      <c r="N1135" s="1"/>
      <c r="O1135" s="1"/>
      <c r="P1135" s="21" t="b">
        <f>IF(ISNUMBER(MATCH($C1135,StackableKinds,0)), TRUE, "")</f>
        <v>1</v>
      </c>
    </row>
    <row r="1136" spans="1:17" x14ac:dyDescent="0.2">
      <c r="A1136" s="19" t="str">
        <f>_xlfn.IFNA(VLOOKUP($B1136,Keys!$A:$B,2,FALSE),_xlfn.IFNA(VLOOKUP($B1136,Keys!$D:$E,2,FALSE),VLOOKUP($B1136,Keys!$G:$H,2,FALSE)))</f>
        <v>0x0000001686712A03</v>
      </c>
      <c r="B1136" s="5" t="s">
        <v>2690</v>
      </c>
      <c r="C1136" s="5" t="s">
        <v>6</v>
      </c>
      <c r="D1136" s="5" t="s">
        <v>16862</v>
      </c>
      <c r="E1136" s="5"/>
      <c r="F1136" s="5" t="s">
        <v>412</v>
      </c>
      <c r="G1136" s="5" t="s">
        <v>8971</v>
      </c>
      <c r="H1136" s="1"/>
      <c r="I1136" s="1"/>
      <c r="J1136" s="2"/>
      <c r="K1136" s="5" t="s">
        <v>9852</v>
      </c>
      <c r="L1136" s="19" t="s">
        <v>11123</v>
      </c>
      <c r="M1136" s="18"/>
      <c r="N1136" s="1"/>
      <c r="O1136" s="1"/>
      <c r="P1136" s="21" t="b">
        <f>IF(ISNUMBER(MATCH($C1136,StackableKinds,0)), TRUE, "")</f>
        <v>1</v>
      </c>
    </row>
    <row r="1137" spans="1:17" x14ac:dyDescent="0.2">
      <c r="A1137" s="19" t="str">
        <f>_xlfn.IFNA(VLOOKUP($B1137,Keys!$A:$B,2,FALSE),_xlfn.IFNA(VLOOKUP($B1137,Keys!$D:$E,2,FALSE),VLOOKUP($B1137,Keys!$G:$H,2,FALSE)))</f>
        <v>0x000000107F736E1B</v>
      </c>
      <c r="B1137" s="5" t="s">
        <v>3054</v>
      </c>
      <c r="C1137" s="5" t="s">
        <v>6</v>
      </c>
      <c r="D1137" s="5" t="s">
        <v>16862</v>
      </c>
      <c r="E1137" s="5"/>
      <c r="F1137" s="5" t="s">
        <v>8971</v>
      </c>
      <c r="G1137" s="1"/>
      <c r="H1137" s="1"/>
      <c r="I1137" s="1"/>
      <c r="J1137" s="2"/>
      <c r="K1137" s="5" t="s">
        <v>9987</v>
      </c>
      <c r="L1137" s="19" t="s">
        <v>11212</v>
      </c>
      <c r="M1137" s="20"/>
      <c r="N1137" s="1"/>
      <c r="O1137" s="1"/>
      <c r="P1137" s="21" t="b">
        <f>IF(ISNUMBER(MATCH($C1137,StackableKinds,0)), TRUE, "")</f>
        <v>1</v>
      </c>
      <c r="Q1137" s="2"/>
    </row>
    <row r="1138" spans="1:17" x14ac:dyDescent="0.2">
      <c r="A1138" s="19" t="str">
        <f>_xlfn.IFNA(VLOOKUP($B1138,Keys!$A:$B,2,FALSE),_xlfn.IFNA(VLOOKUP($B1138,Keys!$D:$E,2,FALSE),VLOOKUP($B1138,Keys!$G:$H,2,FALSE)))</f>
        <v>0x0000001B96794CC0</v>
      </c>
      <c r="B1138" s="5" t="s">
        <v>2824</v>
      </c>
      <c r="C1138" s="5" t="s">
        <v>6</v>
      </c>
      <c r="D1138" s="5" t="s">
        <v>16862</v>
      </c>
      <c r="E1138" s="5"/>
      <c r="F1138" s="5" t="s">
        <v>10862</v>
      </c>
      <c r="G1138" s="5" t="s">
        <v>8971</v>
      </c>
      <c r="H1138" s="1"/>
      <c r="I1138" s="1"/>
      <c r="J1138" s="2"/>
      <c r="K1138" s="5" t="s">
        <v>9907</v>
      </c>
      <c r="L1138" s="19" t="s">
        <v>11685</v>
      </c>
      <c r="M1138" s="20" t="s">
        <v>11179</v>
      </c>
      <c r="N1138" s="1"/>
      <c r="O1138" s="1"/>
      <c r="P1138" s="21" t="b">
        <f>IF(ISNUMBER(MATCH($C1138,StackableKinds,0)), TRUE, "")</f>
        <v>1</v>
      </c>
    </row>
    <row r="1139" spans="1:17" x14ac:dyDescent="0.2">
      <c r="A1139" s="19" t="str">
        <f>_xlfn.IFNA(VLOOKUP($B1139,Keys!$A:$B,2,FALSE),_xlfn.IFNA(VLOOKUP($B1139,Keys!$D:$E,2,FALSE),VLOOKUP($B1139,Keys!$G:$H,2,FALSE)))</f>
        <v>0x00000018EAE632A7</v>
      </c>
      <c r="B1139" s="5" t="s">
        <v>5525</v>
      </c>
      <c r="C1139" s="5" t="s">
        <v>6</v>
      </c>
      <c r="D1139" s="5" t="s">
        <v>16862</v>
      </c>
      <c r="E1139" s="5"/>
      <c r="F1139" s="5" t="s">
        <v>10862</v>
      </c>
      <c r="G1139" s="1"/>
      <c r="H1139" s="1"/>
      <c r="I1139" s="1"/>
      <c r="J1139" s="2"/>
      <c r="K1139" s="5" t="s">
        <v>10461</v>
      </c>
      <c r="L1139" s="19" t="s">
        <v>11685</v>
      </c>
      <c r="M1139" s="20" t="s">
        <v>11189</v>
      </c>
      <c r="N1139" s="1"/>
      <c r="O1139" s="1"/>
      <c r="P1139" s="21" t="b">
        <f>IF(ISNUMBER(MATCH($C1139,StackableKinds,0)), TRUE, "")</f>
        <v>1</v>
      </c>
      <c r="Q1139" s="2"/>
    </row>
    <row r="1140" spans="1:17" x14ac:dyDescent="0.2">
      <c r="A1140" s="19" t="str">
        <f>_xlfn.IFNA(VLOOKUP($B1140,Keys!$A:$B,2,FALSE),_xlfn.IFNA(VLOOKUP($B1140,Keys!$D:$E,2,FALSE),VLOOKUP($B1140,Keys!$G:$H,2,FALSE)))</f>
        <v>0x000000162A6C2FB8</v>
      </c>
      <c r="B1140" s="5" t="s">
        <v>1900</v>
      </c>
      <c r="C1140" s="5" t="s">
        <v>6</v>
      </c>
      <c r="D1140" s="5" t="s">
        <v>16862</v>
      </c>
      <c r="E1140" s="5"/>
      <c r="F1140" s="5" t="s">
        <v>412</v>
      </c>
      <c r="G1140" s="5" t="s">
        <v>8971</v>
      </c>
      <c r="H1140" s="1"/>
      <c r="I1140" s="1"/>
      <c r="J1140" s="2"/>
      <c r="K1140" s="5" t="s">
        <v>9571</v>
      </c>
      <c r="L1140" s="19" t="s">
        <v>11123</v>
      </c>
      <c r="M1140" s="18"/>
      <c r="N1140" s="1"/>
      <c r="O1140" s="1"/>
      <c r="P1140" s="21" t="b">
        <f>IF(ISNUMBER(MATCH($C1140,StackableKinds,0)), TRUE, "")</f>
        <v>1</v>
      </c>
    </row>
    <row r="1141" spans="1:17" x14ac:dyDescent="0.2">
      <c r="A1141" s="19" t="str">
        <f>_xlfn.IFNA(VLOOKUP($B1141,Keys!$A:$B,2,FALSE),_xlfn.IFNA(VLOOKUP($B1141,Keys!$D:$E,2,FALSE),VLOOKUP($B1141,Keys!$G:$H,2,FALSE)))</f>
        <v>0x0000001B081DD963</v>
      </c>
      <c r="B1141" s="5" t="s">
        <v>2814</v>
      </c>
      <c r="C1141" s="5" t="s">
        <v>6</v>
      </c>
      <c r="D1141" s="5" t="s">
        <v>16862</v>
      </c>
      <c r="E1141" s="5"/>
      <c r="F1141" s="5" t="s">
        <v>10862</v>
      </c>
      <c r="G1141" s="5" t="s">
        <v>8971</v>
      </c>
      <c r="H1141" s="1"/>
      <c r="I1141" s="1"/>
      <c r="J1141" s="2"/>
      <c r="K1141" s="5" t="s">
        <v>9902</v>
      </c>
      <c r="L1141" s="19" t="s">
        <v>11685</v>
      </c>
      <c r="M1141" s="20" t="s">
        <v>11175</v>
      </c>
      <c r="N1141" s="1"/>
      <c r="O1141" s="1"/>
      <c r="P1141" s="21" t="b">
        <f>IF(ISNUMBER(MATCH($C1141,StackableKinds,0)), TRUE, "")</f>
        <v>1</v>
      </c>
      <c r="Q1141" s="2"/>
    </row>
    <row r="1142" spans="1:17" x14ac:dyDescent="0.2">
      <c r="A1142" s="19" t="str">
        <f>_xlfn.IFNA(VLOOKUP($B1142,Keys!$A:$B,2,FALSE),_xlfn.IFNA(VLOOKUP($B1142,Keys!$D:$E,2,FALSE),VLOOKUP($B1142,Keys!$G:$H,2,FALSE)))</f>
        <v>0x00000018BE522557</v>
      </c>
      <c r="B1142" s="5" t="s">
        <v>2642</v>
      </c>
      <c r="C1142" s="5" t="s">
        <v>6</v>
      </c>
      <c r="D1142" s="5" t="s">
        <v>16862</v>
      </c>
      <c r="E1142" s="5"/>
      <c r="F1142" s="5" t="s">
        <v>10862</v>
      </c>
      <c r="G1142" s="5" t="s">
        <v>8971</v>
      </c>
      <c r="H1142" s="1"/>
      <c r="I1142" s="1"/>
      <c r="J1142" s="2"/>
      <c r="K1142" s="5" t="s">
        <v>9829</v>
      </c>
      <c r="L1142" s="19" t="s">
        <v>11685</v>
      </c>
      <c r="M1142" s="20" t="s">
        <v>11173</v>
      </c>
      <c r="N1142" s="1"/>
      <c r="O1142" s="1"/>
      <c r="P1142" s="21" t="b">
        <f>IF(ISNUMBER(MATCH($C1142,StackableKinds,0)), TRUE, "")</f>
        <v>1</v>
      </c>
    </row>
    <row r="1143" spans="1:17" x14ac:dyDescent="0.2">
      <c r="A1143" s="19" t="str">
        <f>_xlfn.IFNA(VLOOKUP($B1143,Keys!$A:$B,2,FALSE),_xlfn.IFNA(VLOOKUP($B1143,Keys!$D:$E,2,FALSE),VLOOKUP($B1143,Keys!$G:$H,2,FALSE)))</f>
        <v>0x00000015D44E1F64</v>
      </c>
      <c r="B1143" s="5" t="s">
        <v>2724</v>
      </c>
      <c r="C1143" s="5" t="s">
        <v>6</v>
      </c>
      <c r="D1143" s="5" t="s">
        <v>16862</v>
      </c>
      <c r="E1143" s="5"/>
      <c r="F1143" s="5" t="s">
        <v>412</v>
      </c>
      <c r="G1143" s="5" t="s">
        <v>8971</v>
      </c>
      <c r="H1143" s="1"/>
      <c r="I1143" s="1"/>
      <c r="J1143" s="2"/>
      <c r="K1143" s="5" t="s">
        <v>9869</v>
      </c>
      <c r="L1143" s="19" t="s">
        <v>11123</v>
      </c>
      <c r="M1143" s="18"/>
      <c r="N1143" s="1"/>
      <c r="O1143" s="1"/>
      <c r="P1143" s="21" t="b">
        <f>IF(ISNUMBER(MATCH($C1143,StackableKinds,0)), TRUE, "")</f>
        <v>1</v>
      </c>
    </row>
    <row r="1144" spans="1:17" x14ac:dyDescent="0.2">
      <c r="A1144" s="19" t="str">
        <f>_xlfn.IFNA(VLOOKUP($B1144,Keys!$A:$B,2,FALSE),_xlfn.IFNA(VLOOKUP($B1144,Keys!$D:$E,2,FALSE),VLOOKUP($B1144,Keys!$G:$H,2,FALSE)))</f>
        <v>0x000000130C0C64AD</v>
      </c>
      <c r="B1144" s="5" t="s">
        <v>2922</v>
      </c>
      <c r="C1144" s="5" t="s">
        <v>6</v>
      </c>
      <c r="D1144" s="5" t="s">
        <v>16861</v>
      </c>
      <c r="E1144" s="5"/>
      <c r="F1144" s="5" t="s">
        <v>8753</v>
      </c>
      <c r="G1144" s="5" t="s">
        <v>8971</v>
      </c>
      <c r="H1144" s="1"/>
      <c r="I1144" s="1"/>
      <c r="J1144" s="2"/>
      <c r="K1144" s="5" t="s">
        <v>9949</v>
      </c>
      <c r="L1144" s="19" t="s">
        <v>11124</v>
      </c>
      <c r="M1144" s="18"/>
      <c r="N1144" s="1"/>
      <c r="O1144" s="1"/>
      <c r="P1144" s="21" t="b">
        <f>IF(ISNUMBER(MATCH($C1144,StackableKinds,0)), TRUE, "")</f>
        <v>1</v>
      </c>
      <c r="Q1144" s="2"/>
    </row>
    <row r="1145" spans="1:17" x14ac:dyDescent="0.2">
      <c r="A1145" s="19" t="str">
        <f>_xlfn.IFNA(VLOOKUP($B1145,Keys!$A:$B,2,FALSE),_xlfn.IFNA(VLOOKUP($B1145,Keys!$D:$E,2,FALSE),VLOOKUP($B1145,Keys!$G:$H,2,FALSE)))</f>
        <v>0x000000189908A237</v>
      </c>
      <c r="B1145" s="5" t="s">
        <v>2882</v>
      </c>
      <c r="C1145" s="5" t="s">
        <v>6</v>
      </c>
      <c r="D1145" s="5" t="s">
        <v>16862</v>
      </c>
      <c r="E1145" s="5"/>
      <c r="F1145" s="5" t="s">
        <v>412</v>
      </c>
      <c r="G1145" s="5" t="s">
        <v>8971</v>
      </c>
      <c r="H1145" s="1"/>
      <c r="I1145" s="1"/>
      <c r="J1145" s="2"/>
      <c r="K1145" s="5" t="s">
        <v>9934</v>
      </c>
      <c r="L1145" s="19" t="s">
        <v>11123</v>
      </c>
      <c r="M1145" s="18"/>
      <c r="N1145" s="1"/>
      <c r="O1145" s="1"/>
      <c r="P1145" s="21" t="b">
        <f>IF(ISNUMBER(MATCH($C1145,StackableKinds,0)), TRUE, "")</f>
        <v>1</v>
      </c>
    </row>
    <row r="1146" spans="1:17" x14ac:dyDescent="0.2">
      <c r="A1146" s="19" t="str">
        <f>_xlfn.IFNA(VLOOKUP($B1146,Keys!$A:$B,2,FALSE),_xlfn.IFNA(VLOOKUP($B1146,Keys!$D:$E,2,FALSE),VLOOKUP($B1146,Keys!$G:$H,2,FALSE)))</f>
        <v>0x00000019FF565734</v>
      </c>
      <c r="B1146" s="5" t="s">
        <v>1846</v>
      </c>
      <c r="C1146" s="5" t="s">
        <v>6</v>
      </c>
      <c r="D1146" s="5" t="s">
        <v>16862</v>
      </c>
      <c r="E1146" s="5"/>
      <c r="F1146" s="5" t="s">
        <v>10862</v>
      </c>
      <c r="G1146" s="5" t="s">
        <v>8971</v>
      </c>
      <c r="H1146" s="1"/>
      <c r="I1146" s="1"/>
      <c r="J1146" s="2"/>
      <c r="K1146" s="5" t="s">
        <v>9546</v>
      </c>
      <c r="L1146" s="19" t="s">
        <v>11685</v>
      </c>
      <c r="M1146" s="20" t="s">
        <v>11150</v>
      </c>
      <c r="N1146" s="1"/>
      <c r="O1146" s="1"/>
      <c r="P1146" s="21" t="b">
        <f>IF(ISNUMBER(MATCH($C1146,StackableKinds,0)), TRUE, "")</f>
        <v>1</v>
      </c>
    </row>
    <row r="1147" spans="1:17" x14ac:dyDescent="0.2">
      <c r="A1147" s="19" t="str">
        <f>_xlfn.IFNA(VLOOKUP($B1147,Keys!$A:$B,2,FALSE),_xlfn.IFNA(VLOOKUP($B1147,Keys!$D:$E,2,FALSE),VLOOKUP($B1147,Keys!$G:$H,2,FALSE)))</f>
        <v>0x00000019DDAF78BA</v>
      </c>
      <c r="B1147" s="5" t="s">
        <v>2846</v>
      </c>
      <c r="C1147" s="5" t="s">
        <v>6</v>
      </c>
      <c r="D1147" s="5" t="s">
        <v>16862</v>
      </c>
      <c r="E1147" s="5"/>
      <c r="F1147" s="5" t="s">
        <v>411</v>
      </c>
      <c r="G1147" s="5" t="s">
        <v>8971</v>
      </c>
      <c r="H1147" s="1"/>
      <c r="I1147" s="1"/>
      <c r="J1147" s="2"/>
      <c r="K1147" s="5" t="s">
        <v>9917</v>
      </c>
      <c r="L1147" s="19" t="s">
        <v>11210</v>
      </c>
      <c r="M1147" s="18"/>
      <c r="N1147" s="1"/>
      <c r="O1147" s="1"/>
      <c r="P1147" s="21" t="b">
        <f>IF(ISNUMBER(MATCH($C1147,StackableKinds,0)), TRUE, "")</f>
        <v>1</v>
      </c>
    </row>
    <row r="1148" spans="1:17" x14ac:dyDescent="0.2">
      <c r="A1148" s="19" t="str">
        <f>_xlfn.IFNA(VLOOKUP($B1148,Keys!$A:$B,2,FALSE),_xlfn.IFNA(VLOOKUP($B1148,Keys!$D:$E,2,FALSE),VLOOKUP($B1148,Keys!$G:$H,2,FALSE)))</f>
        <v>0x0000001943CBED19</v>
      </c>
      <c r="B1148" s="5" t="s">
        <v>2844</v>
      </c>
      <c r="C1148" s="5" t="s">
        <v>6</v>
      </c>
      <c r="D1148" s="5" t="s">
        <v>16862</v>
      </c>
      <c r="E1148" s="5"/>
      <c r="F1148" s="5" t="s">
        <v>411</v>
      </c>
      <c r="G1148" s="5" t="s">
        <v>8971</v>
      </c>
      <c r="H1148" s="1"/>
      <c r="I1148" s="1"/>
      <c r="J1148" s="2"/>
      <c r="K1148" s="5" t="s">
        <v>9916</v>
      </c>
      <c r="L1148" s="19" t="s">
        <v>11210</v>
      </c>
      <c r="M1148" s="18"/>
      <c r="N1148" s="1"/>
      <c r="O1148" s="1"/>
      <c r="P1148" s="21" t="b">
        <f>IF(ISNUMBER(MATCH($C1148,StackableKinds,0)), TRUE, "")</f>
        <v>1</v>
      </c>
    </row>
    <row r="1149" spans="1:17" x14ac:dyDescent="0.2">
      <c r="A1149" s="19" t="str">
        <f>_xlfn.IFNA(VLOOKUP($B1149,Keys!$A:$B,2,FALSE),_xlfn.IFNA(VLOOKUP($B1149,Keys!$D:$E,2,FALSE),VLOOKUP($B1149,Keys!$G:$H,2,FALSE)))</f>
        <v>0x00000016C30F8A8D</v>
      </c>
      <c r="B1149" s="5" t="s">
        <v>1880</v>
      </c>
      <c r="C1149" s="5" t="s">
        <v>6</v>
      </c>
      <c r="D1149" s="5" t="s">
        <v>16862</v>
      </c>
      <c r="E1149" s="5"/>
      <c r="F1149" s="5" t="s">
        <v>412</v>
      </c>
      <c r="G1149" s="5" t="s">
        <v>8971</v>
      </c>
      <c r="H1149" s="1"/>
      <c r="I1149" s="1"/>
      <c r="J1149" s="2"/>
      <c r="K1149" s="5" t="s">
        <v>9561</v>
      </c>
      <c r="L1149" s="19" t="s">
        <v>11123</v>
      </c>
      <c r="M1149" s="18"/>
      <c r="N1149" s="1"/>
      <c r="O1149" s="1"/>
      <c r="P1149" s="21" t="b">
        <f>IF(ISNUMBER(MATCH($C1149,StackableKinds,0)), TRUE, "")</f>
        <v>1</v>
      </c>
    </row>
    <row r="1150" spans="1:17" x14ac:dyDescent="0.2">
      <c r="A1150" s="19" t="str">
        <f>_xlfn.IFNA(VLOOKUP($B1150,Keys!$A:$B,2,FALSE),_xlfn.IFNA(VLOOKUP($B1150,Keys!$D:$E,2,FALSE),VLOOKUP($B1150,Keys!$G:$H,2,FALSE)))</f>
        <v>0x000000189DE10231</v>
      </c>
      <c r="B1150" s="5" t="s">
        <v>5523</v>
      </c>
      <c r="C1150" s="5" t="s">
        <v>6</v>
      </c>
      <c r="D1150" s="5" t="s">
        <v>16862</v>
      </c>
      <c r="E1150" s="5"/>
      <c r="F1150" s="5" t="s">
        <v>10862</v>
      </c>
      <c r="G1150" s="1"/>
      <c r="H1150" s="1"/>
      <c r="I1150" s="1"/>
      <c r="J1150" s="2"/>
      <c r="K1150" s="5" t="s">
        <v>10460</v>
      </c>
      <c r="L1150" s="19" t="s">
        <v>11685</v>
      </c>
      <c r="M1150" s="20" t="s">
        <v>11188</v>
      </c>
      <c r="N1150" s="1"/>
      <c r="O1150" s="1"/>
      <c r="P1150" s="21" t="b">
        <f>IF(ISNUMBER(MATCH($C1150,StackableKinds,0)), TRUE, "")</f>
        <v>1</v>
      </c>
      <c r="Q1150" s="2"/>
    </row>
    <row r="1151" spans="1:17" x14ac:dyDescent="0.2">
      <c r="A1151" s="19" t="str">
        <f>_xlfn.IFNA(VLOOKUP($B1151,Keys!$A:$B,2,FALSE),_xlfn.IFNA(VLOOKUP($B1151,Keys!$D:$E,2,FALSE),VLOOKUP($B1151,Keys!$G:$H,2,FALSE)))</f>
        <v>0x00000017AD06824C</v>
      </c>
      <c r="B1151" s="5" t="s">
        <v>1856</v>
      </c>
      <c r="C1151" s="5" t="s">
        <v>6</v>
      </c>
      <c r="D1151" s="5" t="s">
        <v>16862</v>
      </c>
      <c r="E1151" s="5"/>
      <c r="F1151" s="5" t="s">
        <v>411</v>
      </c>
      <c r="G1151" s="5" t="s">
        <v>8971</v>
      </c>
      <c r="H1151" s="1"/>
      <c r="I1151" s="1"/>
      <c r="J1151" s="2"/>
      <c r="K1151" s="5" t="s">
        <v>9550</v>
      </c>
      <c r="L1151" s="19" t="s">
        <v>11210</v>
      </c>
      <c r="M1151" s="18"/>
      <c r="N1151" s="1"/>
      <c r="O1151" s="1"/>
      <c r="P1151" s="21" t="b">
        <f>IF(ISNUMBER(MATCH($C1151,StackableKinds,0)), TRUE, "")</f>
        <v>1</v>
      </c>
    </row>
    <row r="1152" spans="1:17" x14ac:dyDescent="0.2">
      <c r="A1152" s="19" t="str">
        <f>_xlfn.IFNA(VLOOKUP($B1152,Keys!$A:$B,2,FALSE),_xlfn.IFNA(VLOOKUP($B1152,Keys!$D:$E,2,FALSE),VLOOKUP($B1152,Keys!$G:$H,2,FALSE)))</f>
        <v>0x0000001873EF631D</v>
      </c>
      <c r="B1152" s="5" t="s">
        <v>5519</v>
      </c>
      <c r="C1152" s="5" t="s">
        <v>6</v>
      </c>
      <c r="D1152" s="5" t="s">
        <v>16862</v>
      </c>
      <c r="E1152" s="5"/>
      <c r="F1152" s="5" t="s">
        <v>10862</v>
      </c>
      <c r="G1152" s="1"/>
      <c r="H1152" s="1"/>
      <c r="I1152" s="1"/>
      <c r="J1152" s="2"/>
      <c r="K1152" s="5" t="s">
        <v>10458</v>
      </c>
      <c r="L1152" s="19" t="s">
        <v>11685</v>
      </c>
      <c r="M1152" s="20" t="s">
        <v>11186</v>
      </c>
      <c r="N1152" s="1"/>
      <c r="O1152" s="1"/>
      <c r="P1152" s="21" t="b">
        <f>IF(ISNUMBER(MATCH($C1152,StackableKinds,0)), TRUE, "")</f>
        <v>1</v>
      </c>
      <c r="Q1152" s="2"/>
    </row>
    <row r="1153" spans="1:17" x14ac:dyDescent="0.2">
      <c r="A1153" s="19" t="str">
        <f>_xlfn.IFNA(VLOOKUP($B1153,Keys!$A:$B,2,FALSE),_xlfn.IFNA(VLOOKUP($B1153,Keys!$D:$E,2,FALSE),VLOOKUP($B1153,Keys!$G:$H,2,FALSE)))</f>
        <v>0x000000191E0E99EB</v>
      </c>
      <c r="B1153" s="5" t="s">
        <v>2880</v>
      </c>
      <c r="C1153" s="5" t="s">
        <v>6</v>
      </c>
      <c r="D1153" s="5" t="s">
        <v>16862</v>
      </c>
      <c r="E1153" s="5"/>
      <c r="F1153" s="5" t="s">
        <v>412</v>
      </c>
      <c r="G1153" s="5" t="s">
        <v>8971</v>
      </c>
      <c r="H1153" s="1"/>
      <c r="I1153" s="1"/>
      <c r="J1153" s="2"/>
      <c r="K1153" s="5" t="s">
        <v>9933</v>
      </c>
      <c r="L1153" s="19" t="s">
        <v>11123</v>
      </c>
      <c r="M1153" s="18"/>
      <c r="N1153" s="1"/>
      <c r="O1153" s="1"/>
      <c r="P1153" s="21" t="b">
        <f>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16862</v>
      </c>
      <c r="E1154" s="5"/>
      <c r="F1154" s="5" t="s">
        <v>412</v>
      </c>
      <c r="G1154" s="5" t="s">
        <v>8971</v>
      </c>
      <c r="H1154" s="1"/>
      <c r="I1154" s="1"/>
      <c r="J1154" s="2"/>
      <c r="K1154" s="5" t="s">
        <v>9931</v>
      </c>
      <c r="L1154" s="19" t="s">
        <v>11123</v>
      </c>
      <c r="M1154" s="18"/>
      <c r="N1154" s="1"/>
      <c r="O1154" s="1"/>
      <c r="P1154" s="21" t="b">
        <f>IF(ISNUMBER(MATCH($C1154,StackableKinds,0)), TRUE, "")</f>
        <v>1</v>
      </c>
    </row>
    <row r="1155" spans="1:17" x14ac:dyDescent="0.2">
      <c r="A1155" s="19" t="str">
        <f>_xlfn.IFNA(VLOOKUP($B1155,Keys!$A:$B,2,FALSE),_xlfn.IFNA(VLOOKUP($B1155,Keys!$D:$E,2,FALSE),VLOOKUP($B1155,Keys!$G:$H,2,FALSE)))</f>
        <v>0x000000196909A97D</v>
      </c>
      <c r="B1155" s="5" t="s">
        <v>2878</v>
      </c>
      <c r="C1155" s="5" t="s">
        <v>6</v>
      </c>
      <c r="D1155" s="5" t="s">
        <v>16862</v>
      </c>
      <c r="E1155" s="5"/>
      <c r="F1155" s="5" t="s">
        <v>412</v>
      </c>
      <c r="G1155" s="5" t="s">
        <v>8971</v>
      </c>
      <c r="H1155" s="1"/>
      <c r="I1155" s="1"/>
      <c r="J1155" s="2"/>
      <c r="K1155" s="5" t="s">
        <v>9932</v>
      </c>
      <c r="L1155" s="19" t="s">
        <v>11123</v>
      </c>
      <c r="M1155" s="18"/>
      <c r="N1155" s="1"/>
      <c r="O1155" s="1"/>
      <c r="P1155" s="21" t="b">
        <f>IF(ISNUMBER(MATCH($C1155,StackableKinds,0)), TRUE, "")</f>
        <v>1</v>
      </c>
    </row>
    <row r="1156" spans="1:17" x14ac:dyDescent="0.2">
      <c r="A1156" s="19" t="str">
        <f>_xlfn.IFNA(VLOOKUP($B1156,Keys!$A:$B,2,FALSE),_xlfn.IFNA(VLOOKUP($B1156,Keys!$D:$E,2,FALSE),VLOOKUP($B1156,Keys!$G:$H,2,FALSE)))</f>
        <v>0x00000018EE0F92A1</v>
      </c>
      <c r="B1156" s="5" t="s">
        <v>2886</v>
      </c>
      <c r="C1156" s="5" t="s">
        <v>6</v>
      </c>
      <c r="D1156" s="5" t="s">
        <v>16862</v>
      </c>
      <c r="E1156" s="5"/>
      <c r="F1156" s="5" t="s">
        <v>412</v>
      </c>
      <c r="G1156" s="5" t="s">
        <v>8971</v>
      </c>
      <c r="H1156" s="1"/>
      <c r="I1156" s="1"/>
      <c r="J1156" s="2"/>
      <c r="K1156" s="5" t="s">
        <v>9936</v>
      </c>
      <c r="L1156" s="19" t="s">
        <v>11123</v>
      </c>
      <c r="M1156" s="18"/>
      <c r="N1156" s="1"/>
      <c r="O1156" s="1"/>
      <c r="P1156" s="21" t="b">
        <f>IF(ISNUMBER(MATCH($C1156,StackableKinds,0)), TRUE, "")</f>
        <v>1</v>
      </c>
      <c r="Q1156" s="2"/>
    </row>
    <row r="1157" spans="1:17" x14ac:dyDescent="0.2">
      <c r="A1157" s="19" t="str">
        <f>_xlfn.IFNA(VLOOKUP($B1157,Keys!$A:$B,2,FALSE),_xlfn.IFNA(VLOOKUP($B1157,Keys!$D:$E,2,FALSE),VLOOKUP($B1157,Keys!$G:$H,2,FALSE)))</f>
        <v>0x00000018E96256B8</v>
      </c>
      <c r="B1157" s="5" t="s">
        <v>2894</v>
      </c>
      <c r="C1157" s="5" t="s">
        <v>6</v>
      </c>
      <c r="D1157" s="5" t="s">
        <v>16862</v>
      </c>
      <c r="E1157" s="5"/>
      <c r="F1157" s="5" t="s">
        <v>412</v>
      </c>
      <c r="G1157" s="5" t="s">
        <v>8971</v>
      </c>
      <c r="H1157" s="1"/>
      <c r="I1157" s="1"/>
      <c r="J1157" s="2"/>
      <c r="K1157" s="5" t="s">
        <v>9940</v>
      </c>
      <c r="L1157" s="19" t="s">
        <v>11123</v>
      </c>
      <c r="M1157" s="18"/>
      <c r="N1157" s="1"/>
      <c r="O1157" s="1"/>
      <c r="P1157" s="21" t="b">
        <f>IF(ISNUMBER(MATCH($C1157,StackableKinds,0)), TRUE, "")</f>
        <v>1</v>
      </c>
      <c r="Q1157" s="2"/>
    </row>
    <row r="1158" spans="1:17" x14ac:dyDescent="0.2">
      <c r="A1158" s="19" t="str">
        <f>_xlfn.IFNA(VLOOKUP($B1158,Keys!$A:$B,2,FALSE),_xlfn.IFNA(VLOOKUP($B1158,Keys!$D:$E,2,FALSE),VLOOKUP($B1158,Keys!$G:$H,2,FALSE)))</f>
        <v>0x000000194CFF728C</v>
      </c>
      <c r="B1158" s="5" t="s">
        <v>2884</v>
      </c>
      <c r="C1158" s="5" t="s">
        <v>6</v>
      </c>
      <c r="D1158" s="5" t="s">
        <v>16862</v>
      </c>
      <c r="E1158" s="5"/>
      <c r="F1158" s="5" t="s">
        <v>412</v>
      </c>
      <c r="G1158" s="5" t="s">
        <v>8971</v>
      </c>
      <c r="H1158" s="1"/>
      <c r="I1158" s="1"/>
      <c r="J1158" s="2"/>
      <c r="K1158" s="5" t="s">
        <v>9935</v>
      </c>
      <c r="L1158" s="19" t="s">
        <v>11123</v>
      </c>
      <c r="M1158" s="18"/>
      <c r="N1158" s="1"/>
      <c r="O1158" s="1"/>
      <c r="P1158" s="21" t="b">
        <f>IF(ISNUMBER(MATCH($C1158,StackableKinds,0)), TRUE, "")</f>
        <v>1</v>
      </c>
      <c r="Q1158" s="2"/>
    </row>
    <row r="1159" spans="1:17" x14ac:dyDescent="0.2">
      <c r="A1159" s="19" t="str">
        <f>_xlfn.IFNA(VLOOKUP($B1159,Keys!$A:$B,2,FALSE),_xlfn.IFNA(VLOOKUP($B1159,Keys!$D:$E,2,FALSE),VLOOKUP($B1159,Keys!$G:$H,2,FALSE)))</f>
        <v>0x00000015A3492FF2</v>
      </c>
      <c r="B1159" s="5" t="s">
        <v>2726</v>
      </c>
      <c r="C1159" s="5" t="s">
        <v>6</v>
      </c>
      <c r="D1159" s="5" t="s">
        <v>16862</v>
      </c>
      <c r="E1159" s="5"/>
      <c r="F1159" s="5" t="s">
        <v>412</v>
      </c>
      <c r="G1159" s="5" t="s">
        <v>8971</v>
      </c>
      <c r="H1159" s="1"/>
      <c r="I1159" s="1"/>
      <c r="J1159" s="2"/>
      <c r="K1159" s="5" t="s">
        <v>9870</v>
      </c>
      <c r="L1159" s="19" t="s">
        <v>11123</v>
      </c>
      <c r="M1159" s="18"/>
      <c r="N1159" s="1"/>
      <c r="O1159" s="1"/>
      <c r="P1159" s="21" t="b">
        <f>IF(ISNUMBER(MATCH($C1159,StackableKinds,0)), TRUE, "")</f>
        <v>1</v>
      </c>
    </row>
    <row r="1160" spans="1:17" x14ac:dyDescent="0.2">
      <c r="A1160" s="19" t="str">
        <f>_xlfn.IFNA(VLOOKUP($B1160,Keys!$A:$B,2,FALSE),_xlfn.IFNA(VLOOKUP($B1160,Keys!$D:$E,2,FALSE),VLOOKUP($B1160,Keys!$G:$H,2,FALSE)))</f>
        <v>0x00000016435218EC</v>
      </c>
      <c r="B1160" s="5" t="s">
        <v>2706</v>
      </c>
      <c r="C1160" s="5" t="s">
        <v>6</v>
      </c>
      <c r="D1160" s="5" t="s">
        <v>16862</v>
      </c>
      <c r="E1160" s="5"/>
      <c r="F1160" s="5" t="s">
        <v>412</v>
      </c>
      <c r="G1160" s="5" t="s">
        <v>8971</v>
      </c>
      <c r="H1160" s="1"/>
      <c r="I1160" s="1"/>
      <c r="J1160" s="2"/>
      <c r="K1160" s="5" t="s">
        <v>9860</v>
      </c>
      <c r="L1160" s="19" t="s">
        <v>11123</v>
      </c>
      <c r="M1160" s="18"/>
      <c r="N1160" s="1"/>
      <c r="O1160" s="1"/>
      <c r="P1160" s="21" t="b">
        <f>IF(ISNUMBER(MATCH($C1160,StackableKinds,0)), TRUE, "")</f>
        <v>1</v>
      </c>
    </row>
    <row r="1161" spans="1:17" x14ac:dyDescent="0.2">
      <c r="A1161" s="19" t="str">
        <f>_xlfn.IFNA(VLOOKUP($B1161,Keys!$A:$B,2,FALSE),_xlfn.IFNA(VLOOKUP($B1161,Keys!$D:$E,2,FALSE),VLOOKUP($B1161,Keys!$G:$H,2,FALSE)))</f>
        <v>0x000000163455287A</v>
      </c>
      <c r="B1161" s="5" t="s">
        <v>2708</v>
      </c>
      <c r="C1161" s="5" t="s">
        <v>6</v>
      </c>
      <c r="D1161" s="5" t="s">
        <v>16862</v>
      </c>
      <c r="E1161" s="5"/>
      <c r="F1161" s="5" t="s">
        <v>412</v>
      </c>
      <c r="G1161" s="5" t="s">
        <v>8971</v>
      </c>
      <c r="H1161" s="1"/>
      <c r="I1161" s="1"/>
      <c r="J1161" s="2"/>
      <c r="K1161" s="5" t="s">
        <v>9861</v>
      </c>
      <c r="L1161" s="19" t="s">
        <v>11123</v>
      </c>
      <c r="M1161" s="18"/>
      <c r="N1161" s="1"/>
      <c r="O1161" s="1"/>
      <c r="P1161" s="21" t="b">
        <f>IF(ISNUMBER(MATCH($C1161,StackableKinds,0)), TRUE, "")</f>
        <v>1</v>
      </c>
    </row>
    <row r="1162" spans="1:17" x14ac:dyDescent="0.2">
      <c r="A1162" s="19" t="str">
        <f>_xlfn.IFNA(VLOOKUP($B1162,Keys!$A:$B,2,FALSE),_xlfn.IFNA(VLOOKUP($B1162,Keys!$D:$E,2,FALSE),VLOOKUP($B1162,Keys!$G:$H,2,FALSE)))</f>
        <v>0x00000016AD5C79C0</v>
      </c>
      <c r="B1162" s="5" t="s">
        <v>2710</v>
      </c>
      <c r="C1162" s="5" t="s">
        <v>6</v>
      </c>
      <c r="D1162" s="5" t="s">
        <v>16862</v>
      </c>
      <c r="E1162" s="5"/>
      <c r="F1162" s="5" t="s">
        <v>412</v>
      </c>
      <c r="G1162" s="5" t="s">
        <v>8971</v>
      </c>
      <c r="H1162" s="1"/>
      <c r="I1162" s="1"/>
      <c r="J1162" s="2"/>
      <c r="K1162" s="5" t="s">
        <v>9862</v>
      </c>
      <c r="L1162" s="19" t="s">
        <v>11123</v>
      </c>
      <c r="M1162" s="18"/>
      <c r="N1162" s="1"/>
      <c r="O1162" s="1"/>
      <c r="P1162" s="21" t="b">
        <f>IF(ISNUMBER(MATCH($C1162,StackableKinds,0)), TRUE, "")</f>
        <v>1</v>
      </c>
    </row>
    <row r="1163" spans="1:17" x14ac:dyDescent="0.2">
      <c r="A1163" s="19" t="str">
        <f>_xlfn.IFNA(VLOOKUP($B1163,Keys!$A:$B,2,FALSE),_xlfn.IFNA(VLOOKUP($B1163,Keys!$D:$E,2,FALSE),VLOOKUP($B1163,Keys!$G:$H,2,FALSE)))</f>
        <v>0x00000016DA5B4956</v>
      </c>
      <c r="B1163" s="5" t="s">
        <v>2712</v>
      </c>
      <c r="C1163" s="5" t="s">
        <v>6</v>
      </c>
      <c r="D1163" s="5" t="s">
        <v>16862</v>
      </c>
      <c r="E1163" s="5"/>
      <c r="F1163" s="5" t="s">
        <v>412</v>
      </c>
      <c r="G1163" s="5" t="s">
        <v>8971</v>
      </c>
      <c r="H1163" s="1"/>
      <c r="I1163" s="1"/>
      <c r="J1163" s="2"/>
      <c r="K1163" s="5" t="s">
        <v>9863</v>
      </c>
      <c r="L1163" s="19" t="s">
        <v>11123</v>
      </c>
      <c r="M1163" s="18"/>
      <c r="N1163" s="1"/>
      <c r="O1163" s="1"/>
      <c r="P1163" s="21" t="b">
        <f>IF(ISNUMBER(MATCH($C1163,StackableKinds,0)), TRUE, "")</f>
        <v>1</v>
      </c>
    </row>
    <row r="1164" spans="1:17" x14ac:dyDescent="0.2">
      <c r="A1164" s="19" t="str">
        <f>_xlfn.IFNA(VLOOKUP($B1164,Keys!$A:$B,2,FALSE),_xlfn.IFNA(VLOOKUP($B1164,Keys!$D:$E,2,FALSE),VLOOKUP($B1164,Keys!$G:$H,2,FALSE)))</f>
        <v>0x000000164AE454C7</v>
      </c>
      <c r="B1164" s="5" t="s">
        <v>2714</v>
      </c>
      <c r="C1164" s="5" t="s">
        <v>6</v>
      </c>
      <c r="D1164" s="5" t="s">
        <v>16862</v>
      </c>
      <c r="E1164" s="5"/>
      <c r="F1164" s="5" t="s">
        <v>412</v>
      </c>
      <c r="G1164" s="5" t="s">
        <v>8971</v>
      </c>
      <c r="H1164" s="1"/>
      <c r="I1164" s="1"/>
      <c r="J1164" s="2"/>
      <c r="K1164" s="5" t="s">
        <v>9864</v>
      </c>
      <c r="L1164" s="19" t="s">
        <v>11123</v>
      </c>
      <c r="M1164" s="18"/>
      <c r="N1164" s="1"/>
      <c r="O1164" s="1"/>
      <c r="P1164" s="21" t="b">
        <f>IF(ISNUMBER(MATCH($C1164,StackableKinds,0)), TRUE, "")</f>
        <v>1</v>
      </c>
    </row>
    <row r="1165" spans="1:17" x14ac:dyDescent="0.2">
      <c r="A1165" s="19" t="str">
        <f>_xlfn.IFNA(VLOOKUP($B1165,Keys!$A:$B,2,FALSE),_xlfn.IFNA(VLOOKUP($B1165,Keys!$D:$E,2,FALSE),VLOOKUP($B1165,Keys!$G:$H,2,FALSE)))</f>
        <v>0x0000001AA5A81A97</v>
      </c>
      <c r="B1165" s="5" t="s">
        <v>2840</v>
      </c>
      <c r="C1165" s="5" t="s">
        <v>6</v>
      </c>
      <c r="D1165" s="5" t="s">
        <v>16862</v>
      </c>
      <c r="E1165" s="5"/>
      <c r="F1165" s="5" t="s">
        <v>411</v>
      </c>
      <c r="G1165" s="5" t="s">
        <v>8971</v>
      </c>
      <c r="H1165" s="1"/>
      <c r="I1165" s="1"/>
      <c r="J1165" s="2"/>
      <c r="K1165" s="5" t="s">
        <v>9914</v>
      </c>
      <c r="L1165" s="19" t="s">
        <v>11210</v>
      </c>
      <c r="M1165" s="18"/>
      <c r="N1165" s="1"/>
      <c r="O1165" s="1"/>
      <c r="P1165" s="21" t="b">
        <f>IF(ISNUMBER(MATCH($C1165,StackableKinds,0)), TRUE, "")</f>
        <v>1</v>
      </c>
    </row>
    <row r="1166" spans="1:17" x14ac:dyDescent="0.2">
      <c r="A1166" s="19" t="str">
        <f>_xlfn.IFNA(VLOOKUP($B1166,Keys!$A:$B,2,FALSE),_xlfn.IFNA(VLOOKUP($B1166,Keys!$D:$E,2,FALSE),VLOOKUP($B1166,Keys!$G:$H,2,FALSE)))</f>
        <v>0x0000001AA2C5DE8E</v>
      </c>
      <c r="B1166" s="5" t="s">
        <v>2832</v>
      </c>
      <c r="C1166" s="5" t="s">
        <v>6</v>
      </c>
      <c r="D1166" s="5" t="s">
        <v>16862</v>
      </c>
      <c r="E1166" s="5"/>
      <c r="F1166" s="5" t="s">
        <v>411</v>
      </c>
      <c r="G1166" s="5" t="s">
        <v>8971</v>
      </c>
      <c r="H1166" s="1"/>
      <c r="I1166" s="1"/>
      <c r="J1166" s="2"/>
      <c r="K1166" s="5" t="s">
        <v>9910</v>
      </c>
      <c r="L1166" s="19" t="s">
        <v>11210</v>
      </c>
      <c r="M1166" s="18"/>
      <c r="N1166" s="1"/>
      <c r="O1166" s="1"/>
      <c r="P1166" s="21" t="b">
        <f>IF(ISNUMBER(MATCH($C1166,StackableKinds,0)), TRUE, "")</f>
        <v>1</v>
      </c>
    </row>
    <row r="1167" spans="1:17" x14ac:dyDescent="0.2">
      <c r="A1167" s="19" t="str">
        <f>_xlfn.IFNA(VLOOKUP($B1167,Keys!$A:$B,2,FALSE),_xlfn.IFNA(VLOOKUP($B1167,Keys!$D:$E,2,FALSE),VLOOKUP($B1167,Keys!$G:$H,2,FALSE)))</f>
        <v>0x00000011022A27DF</v>
      </c>
      <c r="B1167" s="5" t="s">
        <v>3024</v>
      </c>
      <c r="C1167" s="5" t="s">
        <v>6</v>
      </c>
      <c r="D1167" s="5" t="s">
        <v>16862</v>
      </c>
      <c r="E1167" s="5"/>
      <c r="F1167" s="5" t="s">
        <v>412</v>
      </c>
      <c r="G1167" s="5" t="s">
        <v>8971</v>
      </c>
      <c r="H1167" s="1"/>
      <c r="I1167" s="1"/>
      <c r="J1167" s="2"/>
      <c r="K1167" s="5" t="s">
        <v>9979</v>
      </c>
      <c r="L1167" s="19" t="s">
        <v>11123</v>
      </c>
      <c r="M1167" s="18"/>
      <c r="N1167" s="1"/>
      <c r="O1167" s="1"/>
      <c r="P1167" s="21" t="b">
        <f>IF(ISNUMBER(MATCH($C1167,StackableKinds,0)), TRUE, "")</f>
        <v>1</v>
      </c>
      <c r="Q1167" s="2"/>
    </row>
    <row r="1168" spans="1:17" x14ac:dyDescent="0.2">
      <c r="A1168" s="19" t="str">
        <f>_xlfn.IFNA(VLOOKUP($B1168,Keys!$A:$B,2,FALSE),_xlfn.IFNA(VLOOKUP($B1168,Keys!$D:$E,2,FALSE),VLOOKUP($B1168,Keys!$G:$H,2,FALSE)))</f>
        <v>0x00000016D56FD6C3</v>
      </c>
      <c r="B1168" s="5" t="s">
        <v>2662</v>
      </c>
      <c r="C1168" s="5" t="s">
        <v>6</v>
      </c>
      <c r="D1168" s="5" t="s">
        <v>16862</v>
      </c>
      <c r="E1168" s="5"/>
      <c r="F1168" s="5" t="s">
        <v>411</v>
      </c>
      <c r="G1168" s="5" t="s">
        <v>8971</v>
      </c>
      <c r="H1168" s="1"/>
      <c r="I1168" s="1"/>
      <c r="J1168" s="2"/>
      <c r="K1168" s="5" t="s">
        <v>9838</v>
      </c>
      <c r="L1168" s="19" t="s">
        <v>11210</v>
      </c>
      <c r="M1168" s="18"/>
      <c r="N1168" s="1"/>
      <c r="O1168" s="1"/>
      <c r="P1168" s="21" t="b">
        <f>IF(ISNUMBER(MATCH($C1168,StackableKinds,0)), TRUE, "")</f>
        <v>1</v>
      </c>
    </row>
    <row r="1169" spans="1:17" x14ac:dyDescent="0.2">
      <c r="A1169" s="19" t="str">
        <f>_xlfn.IFNA(VLOOKUP($B1169,Keys!$A:$B,2,FALSE),_xlfn.IFNA(VLOOKUP($B1169,Keys!$D:$E,2,FALSE),VLOOKUP($B1169,Keys!$G:$H,2,FALSE)))</f>
        <v>0x00000016A268E655</v>
      </c>
      <c r="B1169" s="5" t="s">
        <v>2664</v>
      </c>
      <c r="C1169" s="5" t="s">
        <v>6</v>
      </c>
      <c r="D1169" s="5" t="s">
        <v>16862</v>
      </c>
      <c r="E1169" s="5"/>
      <c r="F1169" s="5" t="s">
        <v>411</v>
      </c>
      <c r="G1169" s="5" t="s">
        <v>8971</v>
      </c>
      <c r="H1169" s="1"/>
      <c r="I1169" s="1"/>
      <c r="J1169" s="2"/>
      <c r="K1169" s="5" t="s">
        <v>9839</v>
      </c>
      <c r="L1169" s="19" t="s">
        <v>11210</v>
      </c>
      <c r="M1169" s="18"/>
      <c r="N1169" s="1"/>
      <c r="O1169" s="1"/>
      <c r="P1169" s="21" t="b">
        <f>IF(ISNUMBER(MATCH($C1169,StackableKinds,0)), TRUE, "")</f>
        <v>1</v>
      </c>
    </row>
    <row r="1170" spans="1:17" x14ac:dyDescent="0.2">
      <c r="A1170" s="19" t="str">
        <f>_xlfn.IFNA(VLOOKUP($B1170,Keys!$A:$B,2,FALSE),_xlfn.IFNA(VLOOKUP($B1170,Keys!$D:$E,2,FALSE),VLOOKUP($B1170,Keys!$G:$H,2,FALSE)))</f>
        <v>0x00000014B360A9FA</v>
      </c>
      <c r="B1170" s="5" t="s">
        <v>5219</v>
      </c>
      <c r="C1170" s="5" t="s">
        <v>6</v>
      </c>
      <c r="D1170" s="5" t="s">
        <v>16861</v>
      </c>
      <c r="E1170" s="5"/>
      <c r="F1170" s="5" t="s">
        <v>8971</v>
      </c>
      <c r="G1170" s="1"/>
      <c r="H1170" s="1"/>
      <c r="I1170" s="1"/>
      <c r="J1170" s="2"/>
      <c r="K1170" s="5" t="s">
        <v>10419</v>
      </c>
      <c r="L1170" s="19" t="s">
        <v>11213</v>
      </c>
      <c r="M1170" s="20"/>
      <c r="N1170" s="1"/>
      <c r="O1170" s="1"/>
      <c r="P1170" s="21" t="b">
        <f>IF(ISNUMBER(MATCH($C1170,StackableKinds,0)), TRUE, "")</f>
        <v>1</v>
      </c>
      <c r="Q1170" s="2"/>
    </row>
    <row r="1171" spans="1:17" x14ac:dyDescent="0.2">
      <c r="A1171" s="19" t="str">
        <f>_xlfn.IFNA(VLOOKUP($B1171,Keys!$A:$B,2,FALSE),_xlfn.IFNA(VLOOKUP($B1171,Keys!$D:$E,2,FALSE),VLOOKUP($B1171,Keys!$G:$H,2,FALSE)))</f>
        <v>0x000000180001F38D</v>
      </c>
      <c r="B1171" s="5" t="s">
        <v>2860</v>
      </c>
      <c r="C1171" s="5" t="s">
        <v>6</v>
      </c>
      <c r="D1171" s="5" t="s">
        <v>16862</v>
      </c>
      <c r="E1171" s="5"/>
      <c r="F1171" s="5" t="s">
        <v>412</v>
      </c>
      <c r="G1171" s="5" t="s">
        <v>8971</v>
      </c>
      <c r="H1171" s="1"/>
      <c r="I1171" s="1"/>
      <c r="J1171" s="2"/>
      <c r="K1171" s="5" t="s">
        <v>9923</v>
      </c>
      <c r="L1171" s="19" t="s">
        <v>11123</v>
      </c>
      <c r="M1171" s="18"/>
      <c r="N1171" s="1"/>
      <c r="O1171" s="1"/>
      <c r="P1171" s="21" t="b">
        <f>IF(ISNUMBER(MATCH($C1171,StackableKinds,0)), TRUE, "")</f>
        <v>1</v>
      </c>
    </row>
    <row r="1172" spans="1:17" x14ac:dyDescent="0.2">
      <c r="A1172" s="19" t="str">
        <f>_xlfn.IFNA(VLOOKUP($B1172,Keys!$A:$B,2,FALSE),_xlfn.IFNA(VLOOKUP($B1172,Keys!$D:$E,2,FALSE),VLOOKUP($B1172,Keys!$G:$H,2,FALSE)))</f>
        <v>0x000000198EB1847A</v>
      </c>
      <c r="B1172" s="5" t="s">
        <v>2874</v>
      </c>
      <c r="C1172" s="5" t="s">
        <v>6</v>
      </c>
      <c r="D1172" s="5" t="s">
        <v>16862</v>
      </c>
      <c r="E1172" s="5"/>
      <c r="F1172" s="5" t="s">
        <v>412</v>
      </c>
      <c r="G1172" s="5" t="s">
        <v>8971</v>
      </c>
      <c r="H1172" s="1"/>
      <c r="I1172" s="1"/>
      <c r="J1172" s="2"/>
      <c r="K1172" s="5" t="s">
        <v>9930</v>
      </c>
      <c r="L1172" s="19" t="s">
        <v>11123</v>
      </c>
      <c r="M1172" s="18"/>
      <c r="N1172" s="1"/>
      <c r="O1172" s="1"/>
      <c r="P1172" s="21" t="b">
        <f>IF(ISNUMBER(MATCH($C1172,StackableKinds,0)), TRUE, "")</f>
        <v>1</v>
      </c>
    </row>
    <row r="1173" spans="1:17" x14ac:dyDescent="0.2">
      <c r="A1173" s="19" t="str">
        <f>_xlfn.IFNA(VLOOKUP($B1173,Keys!$A:$B,2,FALSE),_xlfn.IFNA(VLOOKUP($B1173,Keys!$D:$E,2,FALSE),VLOOKUP($B1173,Keys!$G:$H,2,FALSE)))</f>
        <v>0x000000165A06DB37</v>
      </c>
      <c r="B1173" s="5" t="s">
        <v>1890</v>
      </c>
      <c r="C1173" s="5" t="s">
        <v>6</v>
      </c>
      <c r="D1173" s="5" t="s">
        <v>16862</v>
      </c>
      <c r="E1173" s="5"/>
      <c r="F1173" s="5" t="s">
        <v>412</v>
      </c>
      <c r="G1173" s="5" t="s">
        <v>8971</v>
      </c>
      <c r="H1173" s="1"/>
      <c r="I1173" s="1"/>
      <c r="J1173" s="2"/>
      <c r="K1173" s="5" t="s">
        <v>9566</v>
      </c>
      <c r="L1173" s="19" t="s">
        <v>11123</v>
      </c>
      <c r="M1173" s="18"/>
      <c r="N1173" s="1"/>
      <c r="O1173" s="1"/>
      <c r="P1173" s="21" t="b">
        <f>IF(ISNUMBER(MATCH($C1173,StackableKinds,0)), TRUE, "")</f>
        <v>1</v>
      </c>
    </row>
    <row r="1174" spans="1:17" x14ac:dyDescent="0.2">
      <c r="A1174" s="19" t="str">
        <f>_xlfn.IFNA(VLOOKUP($B1174,Keys!$A:$B,2,FALSE),_xlfn.IFNA(VLOOKUP($B1174,Keys!$D:$E,2,FALSE),VLOOKUP($B1174,Keys!$G:$H,2,FALSE)))</f>
        <v>0x00000017AA6B4655</v>
      </c>
      <c r="B1174" s="5" t="s">
        <v>1868</v>
      </c>
      <c r="C1174" s="5" t="s">
        <v>6</v>
      </c>
      <c r="D1174" s="5" t="s">
        <v>16862</v>
      </c>
      <c r="E1174" s="5"/>
      <c r="F1174" s="5" t="s">
        <v>411</v>
      </c>
      <c r="G1174" s="5" t="s">
        <v>8971</v>
      </c>
      <c r="H1174" s="1"/>
      <c r="I1174" s="1"/>
      <c r="J1174" s="2"/>
      <c r="K1174" s="5" t="s">
        <v>9556</v>
      </c>
      <c r="L1174" s="19" t="s">
        <v>11210</v>
      </c>
      <c r="M1174" s="18"/>
      <c r="N1174" s="1"/>
      <c r="O1174" s="1"/>
      <c r="P1174" s="21" t="b">
        <f>IF(ISNUMBER(MATCH($C1174,StackableKinds,0)), TRUE, "")</f>
        <v>1</v>
      </c>
    </row>
    <row r="1175" spans="1:17" x14ac:dyDescent="0.2">
      <c r="A1175" s="19" t="str">
        <f>_xlfn.IFNA(VLOOKUP($B1175,Keys!$A:$B,2,FALSE),_xlfn.IFNA(VLOOKUP($B1175,Keys!$D:$E,2,FALSE),VLOOKUP($B1175,Keys!$G:$H,2,FALSE)))</f>
        <v>0x0000001744652779</v>
      </c>
      <c r="B1175" s="5" t="s">
        <v>1872</v>
      </c>
      <c r="C1175" s="5" t="s">
        <v>6</v>
      </c>
      <c r="D1175" s="5" t="s">
        <v>16862</v>
      </c>
      <c r="E1175" s="5"/>
      <c r="F1175" s="5" t="s">
        <v>411</v>
      </c>
      <c r="G1175" s="5" t="s">
        <v>8971</v>
      </c>
      <c r="H1175" s="1"/>
      <c r="I1175" s="1"/>
      <c r="J1175" s="2"/>
      <c r="K1175" s="5" t="s">
        <v>9558</v>
      </c>
      <c r="L1175" s="19" t="s">
        <v>11210</v>
      </c>
      <c r="M1175" s="18"/>
      <c r="N1175" s="1"/>
      <c r="O1175" s="1"/>
      <c r="P1175" s="21" t="b">
        <f>IF(ISNUMBER(MATCH($C1175,StackableKinds,0)), TRUE, "")</f>
        <v>1</v>
      </c>
    </row>
    <row r="1176" spans="1:17" x14ac:dyDescent="0.2">
      <c r="A1176" s="19" t="str">
        <f>_xlfn.IFNA(VLOOKUP($B1176,Keys!$A:$B,2,FALSE),_xlfn.IFNA(VLOOKUP($B1176,Keys!$D:$E,2,FALSE),VLOOKUP($B1176,Keys!$G:$H,2,FALSE)))</f>
        <v>0x00000017336217EF</v>
      </c>
      <c r="B1176" s="5" t="s">
        <v>1870</v>
      </c>
      <c r="C1176" s="5" t="s">
        <v>6</v>
      </c>
      <c r="D1176" s="5" t="s">
        <v>16862</v>
      </c>
      <c r="E1176" s="5"/>
      <c r="F1176" s="5" t="s">
        <v>411</v>
      </c>
      <c r="G1176" s="5" t="s">
        <v>8971</v>
      </c>
      <c r="H1176" s="1"/>
      <c r="I1176" s="1"/>
      <c r="J1176" s="2"/>
      <c r="K1176" s="5" t="s">
        <v>9557</v>
      </c>
      <c r="L1176" s="19" t="s">
        <v>11210</v>
      </c>
      <c r="M1176" s="18"/>
      <c r="N1176" s="1"/>
      <c r="O1176" s="1"/>
      <c r="P1176" s="21" t="b">
        <f>IF(ISNUMBER(MATCH($C1176,StackableKinds,0)), TRUE, "")</f>
        <v>1</v>
      </c>
    </row>
    <row r="1177" spans="1:17" x14ac:dyDescent="0.2">
      <c r="A1177" s="19" t="str">
        <f>_xlfn.IFNA(VLOOKUP($B1177,Keys!$A:$B,2,FALSE),_xlfn.IFNA(VLOOKUP($B1177,Keys!$D:$E,2,FALSE),VLOOKUP($B1177,Keys!$G:$H,2,FALSE)))</f>
        <v>0x00000018C95515C1</v>
      </c>
      <c r="B1177" s="5" t="s">
        <v>2644</v>
      </c>
      <c r="C1177" s="5" t="s">
        <v>6</v>
      </c>
      <c r="D1177" s="5" t="s">
        <v>16862</v>
      </c>
      <c r="E1177" s="5"/>
      <c r="F1177" s="5" t="s">
        <v>10862</v>
      </c>
      <c r="G1177" s="5" t="s">
        <v>8971</v>
      </c>
      <c r="H1177" s="1"/>
      <c r="I1177" s="1"/>
      <c r="J1177" s="2"/>
      <c r="K1177" s="5" t="s">
        <v>9830</v>
      </c>
      <c r="L1177" s="19" t="s">
        <v>11685</v>
      </c>
      <c r="M1177" s="20" t="s">
        <v>11174</v>
      </c>
      <c r="N1177" s="1"/>
      <c r="O1177" s="1"/>
      <c r="P1177" s="21" t="b">
        <f>IF(ISNUMBER(MATCH($C1177,StackableKinds,0)), TRUE, "")</f>
        <v>1</v>
      </c>
    </row>
    <row r="1178" spans="1:17" x14ac:dyDescent="0.2">
      <c r="A1178" s="19" t="str">
        <f>_xlfn.IFNA(VLOOKUP($B1178,Keys!$A:$B,2,FALSE),_xlfn.IFNA(VLOOKUP($B1178,Keys!$D:$E,2,FALSE),VLOOKUP($B1178,Keys!$G:$H,2,FALSE)))</f>
        <v>0x0000001A3BCC8F34</v>
      </c>
      <c r="B1178" s="5" t="s">
        <v>2838</v>
      </c>
      <c r="C1178" s="5" t="s">
        <v>6</v>
      </c>
      <c r="D1178" s="5" t="s">
        <v>16862</v>
      </c>
      <c r="E1178" s="5"/>
      <c r="F1178" s="5" t="s">
        <v>411</v>
      </c>
      <c r="G1178" s="5" t="s">
        <v>8971</v>
      </c>
      <c r="H1178" s="1"/>
      <c r="I1178" s="1"/>
      <c r="J1178" s="2"/>
      <c r="K1178" s="5" t="s">
        <v>9913</v>
      </c>
      <c r="L1178" s="19" t="s">
        <v>11210</v>
      </c>
      <c r="M1178" s="18"/>
      <c r="N1178" s="1"/>
      <c r="O1178" s="1"/>
      <c r="P1178" s="21" t="b">
        <f>IF(ISNUMBER(MATCH($C1178,StackableKinds,0)), TRUE, "")</f>
        <v>1</v>
      </c>
    </row>
    <row r="1179" spans="1:17" x14ac:dyDescent="0.2">
      <c r="A1179" s="19" t="str">
        <f>_xlfn.IFNA(VLOOKUP($B1179,Keys!$A:$B,2,FALSE),_xlfn.IFNA(VLOOKUP($B1179,Keys!$D:$E,2,FALSE),VLOOKUP($B1179,Keys!$G:$H,2,FALSE)))</f>
        <v>0x00000019D4193491</v>
      </c>
      <c r="B1179" s="5" t="s">
        <v>2854</v>
      </c>
      <c r="C1179" s="5" t="s">
        <v>6</v>
      </c>
      <c r="D1179" s="5" t="s">
        <v>16862</v>
      </c>
      <c r="E1179" s="5"/>
      <c r="F1179" s="5" t="s">
        <v>411</v>
      </c>
      <c r="G1179" s="5" t="s">
        <v>8971</v>
      </c>
      <c r="H1179" s="1"/>
      <c r="I1179" s="1"/>
      <c r="J1179" s="2"/>
      <c r="K1179" s="5" t="s">
        <v>9921</v>
      </c>
      <c r="L1179" s="19" t="s">
        <v>11210</v>
      </c>
      <c r="M1179" s="18"/>
      <c r="N1179" s="1"/>
      <c r="O1179" s="1"/>
      <c r="P1179" s="21" t="b">
        <f>IF(ISNUMBER(MATCH($C1179,StackableKinds,0)), TRUE, "")</f>
        <v>1</v>
      </c>
    </row>
    <row r="1180" spans="1:17" x14ac:dyDescent="0.2">
      <c r="A1180" s="19" t="str">
        <f>_xlfn.IFNA(VLOOKUP($B1180,Keys!$A:$B,2,FALSE),_xlfn.IFNA(VLOOKUP($B1180,Keys!$D:$E,2,FALSE),VLOOKUP($B1180,Keys!$G:$H,2,FALSE)))</f>
        <v>0x0000001A4CCBBFA2</v>
      </c>
      <c r="B1180" s="5" t="s">
        <v>2836</v>
      </c>
      <c r="C1180" s="5" t="s">
        <v>6</v>
      </c>
      <c r="D1180" s="5" t="s">
        <v>16862</v>
      </c>
      <c r="E1180" s="5"/>
      <c r="F1180" s="5" t="s">
        <v>411</v>
      </c>
      <c r="G1180" s="5" t="s">
        <v>8971</v>
      </c>
      <c r="H1180" s="1"/>
      <c r="I1180" s="1"/>
      <c r="J1180" s="2"/>
      <c r="K1180" s="5" t="s">
        <v>9912</v>
      </c>
      <c r="L1180" s="19" t="s">
        <v>11210</v>
      </c>
      <c r="M1180" s="18"/>
      <c r="N1180" s="1"/>
      <c r="O1180" s="1"/>
      <c r="P1180" s="21" t="b">
        <f>IF(ISNUMBER(MATCH($C1180,StackableKinds,0)), TRUE, "")</f>
        <v>1</v>
      </c>
    </row>
    <row r="1181" spans="1:17" x14ac:dyDescent="0.2">
      <c r="A1181" s="19" t="str">
        <f>_xlfn.IFNA(VLOOKUP($B1181,Keys!$A:$B,2,FALSE),_xlfn.IFNA(VLOOKUP($B1181,Keys!$D:$E,2,FALSE),VLOOKUP($B1181,Keys!$G:$H,2,FALSE)))</f>
        <v>0x00000019A31E0407</v>
      </c>
      <c r="B1181" s="5" t="s">
        <v>2856</v>
      </c>
      <c r="C1181" s="5" t="s">
        <v>6</v>
      </c>
      <c r="D1181" s="5" t="s">
        <v>16862</v>
      </c>
      <c r="E1181" s="5"/>
      <c r="F1181" s="5" t="s">
        <v>411</v>
      </c>
      <c r="G1181" s="5" t="s">
        <v>8971</v>
      </c>
      <c r="H1181" s="1"/>
      <c r="I1181" s="1"/>
      <c r="J1181" s="2"/>
      <c r="K1181" s="5" t="s">
        <v>9922</v>
      </c>
      <c r="L1181" s="19" t="s">
        <v>11210</v>
      </c>
      <c r="M1181" s="18"/>
      <c r="N1181" s="1"/>
      <c r="O1181" s="1"/>
      <c r="P1181" s="21" t="b">
        <f>IF(ISNUMBER(MATCH($C1181,StackableKinds,0)), TRUE, "")</f>
        <v>1</v>
      </c>
    </row>
    <row r="1182" spans="1:17" x14ac:dyDescent="0.2">
      <c r="A1182" s="19" t="str">
        <f>_xlfn.IFNA(VLOOKUP($B1182,Keys!$A:$B,2,FALSE),_xlfn.IFNA(VLOOKUP($B1182,Keys!$D:$E,2,FALSE),VLOOKUP($B1182,Keys!$G:$H,2,FALSE)))</f>
        <v>0x00000017891F4E1A</v>
      </c>
      <c r="B1182" s="5" t="s">
        <v>1886</v>
      </c>
      <c r="C1182" s="5" t="s">
        <v>6</v>
      </c>
      <c r="D1182" s="5" t="s">
        <v>16862</v>
      </c>
      <c r="E1182" s="5"/>
      <c r="F1182" s="5" t="s">
        <v>412</v>
      </c>
      <c r="G1182" s="5" t="s">
        <v>8971</v>
      </c>
      <c r="H1182" s="1"/>
      <c r="I1182" s="1"/>
      <c r="J1182" s="2"/>
      <c r="K1182" s="5" t="s">
        <v>9564</v>
      </c>
      <c r="L1182" s="19" t="s">
        <v>11123</v>
      </c>
      <c r="M1182" s="18"/>
      <c r="N1182" s="1"/>
      <c r="O1182" s="1"/>
      <c r="P1182" s="21" t="b">
        <f>IF(ISNUMBER(MATCH($C1182,StackableKinds,0)), TRUE, "")</f>
        <v>1</v>
      </c>
    </row>
    <row r="1183" spans="1:17" x14ac:dyDescent="0.2">
      <c r="A1183" s="19" t="str">
        <f>_xlfn.IFNA(VLOOKUP($B1183,Keys!$A:$B,2,FALSE),_xlfn.IFNA(VLOOKUP($B1183,Keys!$D:$E,2,FALSE),VLOOKUP($B1183,Keys!$G:$H,2,FALSE)))</f>
        <v>0x00000018FC1BE48E</v>
      </c>
      <c r="B1183" s="5" t="s">
        <v>1860</v>
      </c>
      <c r="C1183" s="5" t="s">
        <v>6</v>
      </c>
      <c r="D1183" s="5" t="s">
        <v>16862</v>
      </c>
      <c r="E1183" s="5"/>
      <c r="F1183" s="5" t="s">
        <v>411</v>
      </c>
      <c r="G1183" s="5" t="s">
        <v>8971</v>
      </c>
      <c r="H1183" s="1"/>
      <c r="I1183" s="1"/>
      <c r="J1183" s="2"/>
      <c r="K1183" s="5" t="s">
        <v>9552</v>
      </c>
      <c r="L1183" s="19" t="s">
        <v>11210</v>
      </c>
      <c r="M1183" s="18"/>
      <c r="N1183" s="1"/>
      <c r="O1183" s="1"/>
      <c r="P1183" s="21" t="b">
        <f>IF(ISNUMBER(MATCH($C1183,StackableKinds,0)), TRUE, "")</f>
        <v>1</v>
      </c>
    </row>
    <row r="1184" spans="1:17" x14ac:dyDescent="0.2">
      <c r="A1184" s="19" t="str">
        <f>_xlfn.IFNA(VLOOKUP($B1184,Keys!$A:$B,2,FALSE),_xlfn.IFNA(VLOOKUP($B1184,Keys!$D:$E,2,FALSE),VLOOKUP($B1184,Keys!$G:$H,2,FALSE)))</f>
        <v>0x00000014B7C48B5E</v>
      </c>
      <c r="B1184" s="5" t="s">
        <v>3018</v>
      </c>
      <c r="C1184" s="5" t="s">
        <v>6</v>
      </c>
      <c r="D1184" s="5" t="s">
        <v>16862</v>
      </c>
      <c r="E1184" s="5"/>
      <c r="F1184" s="5" t="s">
        <v>10862</v>
      </c>
      <c r="G1184" s="5" t="s">
        <v>8971</v>
      </c>
      <c r="H1184" s="1"/>
      <c r="I1184" s="1"/>
      <c r="J1184" s="2"/>
      <c r="K1184" s="5" t="s">
        <v>9976</v>
      </c>
      <c r="L1184" s="19" t="s">
        <v>11685</v>
      </c>
      <c r="M1184" s="20" t="s">
        <v>11182</v>
      </c>
      <c r="N1184" s="1"/>
      <c r="O1184" s="1"/>
      <c r="P1184" s="21" t="b">
        <f>IF(ISNUMBER(MATCH($C1184,StackableKinds,0)), TRUE, "")</f>
        <v>1</v>
      </c>
      <c r="Q1184" s="2"/>
    </row>
    <row r="1185" spans="1:17" x14ac:dyDescent="0.2">
      <c r="A1185" s="19" t="str">
        <f>_xlfn.IFNA(VLOOKUP($B1185,Keys!$A:$B,2,FALSE),_xlfn.IFNA(VLOOKUP($B1185,Keys!$D:$E,2,FALSE),VLOOKUP($B1185,Keys!$G:$H,2,FALSE)))</f>
        <v>0x00000017A3DD0A7E</v>
      </c>
      <c r="B1185" s="5" t="s">
        <v>1876</v>
      </c>
      <c r="C1185" s="5" t="s">
        <v>6</v>
      </c>
      <c r="D1185" s="5" t="s">
        <v>16862</v>
      </c>
      <c r="E1185" s="5"/>
      <c r="F1185" s="5" t="s">
        <v>411</v>
      </c>
      <c r="G1185" s="5" t="s">
        <v>8971</v>
      </c>
      <c r="H1185" s="1"/>
      <c r="I1185" s="1"/>
      <c r="J1185" s="2"/>
      <c r="K1185" s="5" t="s">
        <v>9560</v>
      </c>
      <c r="L1185" s="19" t="s">
        <v>11210</v>
      </c>
      <c r="M1185" s="18"/>
      <c r="N1185" s="1"/>
      <c r="O1185" s="1"/>
      <c r="P1185" s="21" t="b">
        <f>IF(ISNUMBER(MATCH($C1185,StackableKinds,0)), TRUE, "")</f>
        <v>1</v>
      </c>
    </row>
    <row r="1186" spans="1:17" x14ac:dyDescent="0.2">
      <c r="A1186" s="19" t="str">
        <f>_xlfn.IFNA(VLOOKUP($B1186,Keys!$A:$B,2,FALSE),_xlfn.IFNA(VLOOKUP($B1186,Keys!$D:$E,2,FALSE),VLOOKUP($B1186,Keys!$G:$H,2,FALSE)))</f>
        <v>0x00000017D4DA3AE8</v>
      </c>
      <c r="B1186" s="5" t="s">
        <v>1874</v>
      </c>
      <c r="C1186" s="5" t="s">
        <v>6</v>
      </c>
      <c r="D1186" s="5" t="s">
        <v>16862</v>
      </c>
      <c r="E1186" s="5"/>
      <c r="F1186" s="5" t="s">
        <v>411</v>
      </c>
      <c r="G1186" s="5" t="s">
        <v>8971</v>
      </c>
      <c r="H1186" s="1"/>
      <c r="I1186" s="1"/>
      <c r="J1186" s="2"/>
      <c r="K1186" s="5" t="s">
        <v>9559</v>
      </c>
      <c r="L1186" s="19" t="s">
        <v>11210</v>
      </c>
      <c r="M1186" s="18"/>
      <c r="N1186" s="1"/>
      <c r="O1186" s="1"/>
      <c r="P1186" s="21" t="b">
        <f>IF(ISNUMBER(MATCH($C1186,StackableKinds,0)), TRUE, "")</f>
        <v>1</v>
      </c>
    </row>
    <row r="1187" spans="1:17" x14ac:dyDescent="0.2">
      <c r="A1187" s="19" t="str">
        <f>_xlfn.IFNA(VLOOKUP($B1187,Keys!$A:$B,2,FALSE),_xlfn.IFNA(VLOOKUP($B1187,Keys!$D:$E,2,FALSE),VLOOKUP($B1187,Keys!$G:$H,2,FALSE)))</f>
        <v>0x000000174308E360</v>
      </c>
      <c r="B1187" s="5" t="s">
        <v>1864</v>
      </c>
      <c r="C1187" s="5" t="s">
        <v>6</v>
      </c>
      <c r="D1187" s="5" t="s">
        <v>16862</v>
      </c>
      <c r="E1187" s="5"/>
      <c r="F1187" s="5" t="s">
        <v>411</v>
      </c>
      <c r="G1187" s="5" t="s">
        <v>8971</v>
      </c>
      <c r="H1187" s="1"/>
      <c r="I1187" s="1"/>
      <c r="J1187" s="2"/>
      <c r="K1187" s="5" t="s">
        <v>9554</v>
      </c>
      <c r="L1187" s="19" t="s">
        <v>11210</v>
      </c>
      <c r="M1187" s="18"/>
      <c r="N1187" s="1"/>
      <c r="O1187" s="1"/>
      <c r="P1187" s="21" t="b">
        <f>IF(ISNUMBER(MATCH($C1187,StackableKinds,0)), TRUE, "")</f>
        <v>1</v>
      </c>
    </row>
    <row r="1188" spans="1:17" x14ac:dyDescent="0.2">
      <c r="A1188" s="19" t="str">
        <f>_xlfn.IFNA(VLOOKUP($B1188,Keys!$A:$B,2,FALSE),_xlfn.IFNA(VLOOKUP($B1188,Keys!$D:$E,2,FALSE),VLOOKUP($B1188,Keys!$G:$H,2,FALSE)))</f>
        <v>0x000000188B1CD418</v>
      </c>
      <c r="B1188" s="5" t="s">
        <v>1858</v>
      </c>
      <c r="C1188" s="5" t="s">
        <v>6</v>
      </c>
      <c r="D1188" s="5" t="s">
        <v>16862</v>
      </c>
      <c r="E1188" s="5"/>
      <c r="F1188" s="5" t="s">
        <v>411</v>
      </c>
      <c r="G1188" s="5" t="s">
        <v>8971</v>
      </c>
      <c r="H1188" s="1"/>
      <c r="I1188" s="1"/>
      <c r="J1188" s="2"/>
      <c r="K1188" s="5" t="s">
        <v>9551</v>
      </c>
      <c r="L1188" s="19" t="s">
        <v>11210</v>
      </c>
      <c r="M1188" s="18"/>
      <c r="N1188" s="1"/>
      <c r="O1188" s="1"/>
      <c r="P1188" s="21" t="b">
        <f>IF(ISNUMBER(MATCH($C1188,StackableKinds,0)), TRUE, "")</f>
        <v>1</v>
      </c>
    </row>
    <row r="1189" spans="1:17" x14ac:dyDescent="0.2">
      <c r="A1189" s="19" t="str">
        <f>_xlfn.IFNA(VLOOKUP($B1189,Keys!$A:$B,2,FALSE),_xlfn.IFNA(VLOOKUP($B1189,Keys!$D:$E,2,FALSE),VLOOKUP($B1189,Keys!$G:$H,2,FALSE)))</f>
        <v>0x000000166F128F36</v>
      </c>
      <c r="B1189" s="5" t="s">
        <v>2678</v>
      </c>
      <c r="C1189" s="5" t="s">
        <v>6</v>
      </c>
      <c r="D1189" s="5" t="s">
        <v>16862</v>
      </c>
      <c r="E1189" s="5"/>
      <c r="F1189" s="5" t="s">
        <v>412</v>
      </c>
      <c r="G1189" s="5" t="s">
        <v>8971</v>
      </c>
      <c r="H1189" s="1"/>
      <c r="I1189" s="1"/>
      <c r="J1189" s="2"/>
      <c r="K1189" s="5" t="s">
        <v>9845</v>
      </c>
      <c r="L1189" s="19" t="s">
        <v>11123</v>
      </c>
      <c r="M1189" s="18"/>
      <c r="N1189" s="1"/>
      <c r="O1189" s="1"/>
      <c r="P1189" s="21" t="b">
        <f>IF(ISNUMBER(MATCH($C1189,StackableKinds,0)), TRUE, "")</f>
        <v>1</v>
      </c>
    </row>
    <row r="1190" spans="1:17" x14ac:dyDescent="0.2">
      <c r="A1190" s="19" t="str">
        <f>_xlfn.IFNA(VLOOKUP($B1190,Keys!$A:$B,2,FALSE),_xlfn.IFNA(VLOOKUP($B1190,Keys!$D:$E,2,FALSE),VLOOKUP($B1190,Keys!$G:$H,2,FALSE)))</f>
        <v>0x0000001879DD4B29</v>
      </c>
      <c r="B1190" s="5" t="s">
        <v>2896</v>
      </c>
      <c r="C1190" s="5" t="s">
        <v>6</v>
      </c>
      <c r="D1190" s="5" t="s">
        <v>16862</v>
      </c>
      <c r="E1190" s="5"/>
      <c r="F1190" s="5" t="s">
        <v>412</v>
      </c>
      <c r="G1190" s="5" t="s">
        <v>8971</v>
      </c>
      <c r="H1190" s="1"/>
      <c r="I1190" s="1"/>
      <c r="J1190" s="2"/>
      <c r="K1190" s="5" t="s">
        <v>9941</v>
      </c>
      <c r="L1190" s="19" t="s">
        <v>11123</v>
      </c>
      <c r="M1190" s="18"/>
      <c r="N1190" s="1"/>
      <c r="O1190" s="1"/>
      <c r="P1190" s="21" t="b">
        <f>IF(ISNUMBER(MATCH($C1190,StackableKinds,0)), TRUE, "")</f>
        <v>1</v>
      </c>
      <c r="Q1190" s="2"/>
    </row>
    <row r="1191" spans="1:17" x14ac:dyDescent="0.2">
      <c r="A1191" s="19" t="str">
        <f>_xlfn.IFNA(VLOOKUP($B1191,Keys!$A:$B,2,FALSE),_xlfn.IFNA(VLOOKUP($B1191,Keys!$D:$E,2,FALSE),VLOOKUP($B1191,Keys!$G:$H,2,FALSE)))</f>
        <v>0x0000001F73E49AA1</v>
      </c>
      <c r="B1191" s="5" t="s">
        <v>5221</v>
      </c>
      <c r="C1191" s="5" t="s">
        <v>410</v>
      </c>
      <c r="D1191" s="5" t="s">
        <v>16862</v>
      </c>
      <c r="E1191" s="5"/>
      <c r="F1191" s="5" t="s">
        <v>9054</v>
      </c>
      <c r="G1191" s="1"/>
      <c r="H1191" s="1"/>
      <c r="I1191" s="1"/>
      <c r="J1191" s="2"/>
      <c r="K1191" s="5" t="s">
        <v>10420</v>
      </c>
      <c r="L1191" s="19" t="s">
        <v>11093</v>
      </c>
      <c r="M1191" s="20"/>
      <c r="N1191" s="5" t="s">
        <v>9056</v>
      </c>
      <c r="O1191" s="1"/>
      <c r="P1191" s="21" t="str">
        <f>IF(ISNUMBER(MATCH($C1191,StackableKinds,0)), TRUE, "")</f>
        <v/>
      </c>
      <c r="Q1191" s="7" t="b">
        <v>1</v>
      </c>
    </row>
    <row r="1192" spans="1:17" x14ac:dyDescent="0.2">
      <c r="A1192" s="19" t="str">
        <f>_xlfn.IFNA(VLOOKUP($B1192,Keys!$A:$B,2,FALSE),_xlfn.IFNA(VLOOKUP($B1192,Keys!$D:$E,2,FALSE),VLOOKUP($B1192,Keys!$G:$H,2,FALSE)))</f>
        <v>0x000000215A56DA04</v>
      </c>
      <c r="B1192" s="5" t="s">
        <v>5229</v>
      </c>
      <c r="C1192" s="5" t="s">
        <v>410</v>
      </c>
      <c r="D1192" s="5" t="s">
        <v>16861</v>
      </c>
      <c r="E1192" s="5"/>
      <c r="F1192" s="5" t="s">
        <v>9054</v>
      </c>
      <c r="G1192" s="1"/>
      <c r="H1192" s="1"/>
      <c r="I1192" s="1"/>
      <c r="J1192" s="2"/>
      <c r="K1192" s="5" t="s">
        <v>10420</v>
      </c>
      <c r="L1192" s="19" t="s">
        <v>11097</v>
      </c>
      <c r="M1192" s="20"/>
      <c r="N1192" s="5" t="s">
        <v>9056</v>
      </c>
      <c r="O1192" s="1"/>
      <c r="P1192" s="21" t="str">
        <f>IF(ISNUMBER(MATCH($C1192,StackableKinds,0)), TRUE, "")</f>
        <v/>
      </c>
      <c r="Q1192" s="7" t="b">
        <v>1</v>
      </c>
    </row>
    <row r="1193" spans="1:17" x14ac:dyDescent="0.2">
      <c r="A1193" s="19" t="str">
        <f>_xlfn.IFNA(VLOOKUP($B1193,Keys!$A:$B,2,FALSE),_xlfn.IFNA(VLOOKUP($B1193,Keys!$D:$E,2,FALSE),VLOOKUP($B1193,Keys!$G:$H,2,FALSE)))</f>
        <v>0x0000001D10B9D4FE</v>
      </c>
      <c r="B1193" s="5" t="s">
        <v>5227</v>
      </c>
      <c r="C1193" s="5" t="s">
        <v>410</v>
      </c>
      <c r="D1193" s="5" t="s">
        <v>16860</v>
      </c>
      <c r="E1193" s="5"/>
      <c r="F1193" s="5" t="s">
        <v>9054</v>
      </c>
      <c r="G1193" s="1"/>
      <c r="H1193" s="1"/>
      <c r="I1193" s="1"/>
      <c r="J1193" s="2"/>
      <c r="K1193" s="5" t="s">
        <v>10420</v>
      </c>
      <c r="L1193" s="19" t="s">
        <v>11096</v>
      </c>
      <c r="M1193" s="20"/>
      <c r="N1193" s="5" t="s">
        <v>9056</v>
      </c>
      <c r="O1193" s="1"/>
      <c r="P1193" s="21" t="str">
        <f>IF(ISNUMBER(MATCH($C1193,StackableKinds,0)), TRUE, "")</f>
        <v/>
      </c>
      <c r="Q1193" s="7" t="b">
        <v>1</v>
      </c>
    </row>
    <row r="1194" spans="1:17" x14ac:dyDescent="0.2">
      <c r="A1194" s="19" t="str">
        <f>_xlfn.IFNA(VLOOKUP($B1194,Keys!$A:$B,2,FALSE),_xlfn.IFNA(VLOOKUP($B1194,Keys!$D:$E,2,FALSE),VLOOKUP($B1194,Keys!$G:$H,2,FALSE)))</f>
        <v>0x0000001D80C61C30</v>
      </c>
      <c r="B1194" s="5" t="s">
        <v>5223</v>
      </c>
      <c r="C1194" s="5" t="s">
        <v>410</v>
      </c>
      <c r="D1194" s="5" t="s">
        <v>16859</v>
      </c>
      <c r="E1194" s="5"/>
      <c r="F1194" s="5" t="s">
        <v>9054</v>
      </c>
      <c r="G1194" s="1"/>
      <c r="H1194" s="1"/>
      <c r="I1194" s="1"/>
      <c r="J1194" s="2"/>
      <c r="K1194" s="5" t="s">
        <v>10420</v>
      </c>
      <c r="L1194" s="19" t="s">
        <v>11094</v>
      </c>
      <c r="M1194" s="20"/>
      <c r="N1194" s="5" t="s">
        <v>9056</v>
      </c>
      <c r="O1194" s="1"/>
      <c r="P1194" s="21" t="str">
        <f>IF(ISNUMBER(MATCH($C1194,StackableKinds,0)), TRUE, "")</f>
        <v/>
      </c>
      <c r="Q1194" s="7" t="b">
        <v>1</v>
      </c>
    </row>
    <row r="1195" spans="1:17" x14ac:dyDescent="0.2">
      <c r="A1195" s="19" t="str">
        <f>_xlfn.IFNA(VLOOKUP($B1195,Keys!$A:$B,2,FALSE),_xlfn.IFNA(VLOOKUP($B1195,Keys!$D:$E,2,FALSE),VLOOKUP($B1195,Keys!$G:$H,2,FALSE)))</f>
        <v>0x0000002222701ED2</v>
      </c>
      <c r="B1195" s="5" t="s">
        <v>5225</v>
      </c>
      <c r="C1195" s="5" t="s">
        <v>410</v>
      </c>
      <c r="D1195" s="5" t="s">
        <v>16858</v>
      </c>
      <c r="E1195" s="5"/>
      <c r="F1195" s="5" t="s">
        <v>9054</v>
      </c>
      <c r="G1195" s="1"/>
      <c r="H1195" s="1"/>
      <c r="I1195" s="1"/>
      <c r="J1195" s="2"/>
      <c r="K1195" s="5" t="s">
        <v>10420</v>
      </c>
      <c r="L1195" s="19" t="s">
        <v>11095</v>
      </c>
      <c r="M1195" s="20"/>
      <c r="N1195" s="5" t="s">
        <v>9056</v>
      </c>
      <c r="O1195" s="1"/>
      <c r="P1195" s="21" t="str">
        <f>IF(ISNUMBER(MATCH($C1195,StackableKinds,0)), TRUE, "")</f>
        <v/>
      </c>
      <c r="Q1195" s="7" t="b">
        <v>1</v>
      </c>
    </row>
    <row r="1196" spans="1:17" x14ac:dyDescent="0.2">
      <c r="A1196" s="19" t="str">
        <f>_xlfn.IFNA(VLOOKUP($B1196,Keys!$A:$B,2,FALSE),_xlfn.IFNA(VLOOKUP($B1196,Keys!$D:$E,2,FALSE),VLOOKUP($B1196,Keys!$G:$H,2,FALSE)))</f>
        <v>0x0000001631E27021</v>
      </c>
      <c r="B1196" s="5" t="s">
        <v>438</v>
      </c>
      <c r="C1196" s="5" t="s">
        <v>410</v>
      </c>
      <c r="D1196" s="5" t="s">
        <v>16859</v>
      </c>
      <c r="E1196" s="5"/>
      <c r="F1196" s="5" t="s">
        <v>8995</v>
      </c>
      <c r="G1196" s="5" t="s">
        <v>8996</v>
      </c>
      <c r="H1196" s="1"/>
      <c r="I1196" s="1"/>
      <c r="J1196" s="2"/>
      <c r="K1196" s="5" t="s">
        <v>8997</v>
      </c>
      <c r="L1196" s="5" t="s">
        <v>8998</v>
      </c>
      <c r="M1196" s="20"/>
      <c r="N1196" s="5" t="s">
        <v>9961</v>
      </c>
      <c r="O1196" s="5" t="s">
        <v>8999</v>
      </c>
      <c r="P1196" s="21" t="str">
        <f>IF(ISNUMBER(MATCH($C1196,StackableKinds,0)), TRUE, "")</f>
        <v/>
      </c>
      <c r="Q1196" s="7" t="b">
        <v>1</v>
      </c>
    </row>
    <row r="1197" spans="1:17" x14ac:dyDescent="0.2">
      <c r="A1197" s="19" t="str">
        <f>_xlfn.IFNA(VLOOKUP($B1197,Keys!$A:$B,2,FALSE),_xlfn.IFNA(VLOOKUP($B1197,Keys!$D:$E,2,FALSE),VLOOKUP($B1197,Keys!$G:$H,2,FALSE)))</f>
        <v>0x0000001A020D31C5</v>
      </c>
      <c r="B1197" s="5" t="s">
        <v>440</v>
      </c>
      <c r="C1197" s="5" t="s">
        <v>410</v>
      </c>
      <c r="D1197" s="5" t="s">
        <v>16858</v>
      </c>
      <c r="E1197" s="5"/>
      <c r="F1197" s="5" t="s">
        <v>8995</v>
      </c>
      <c r="G1197" s="5" t="s">
        <v>8996</v>
      </c>
      <c r="H1197" s="1"/>
      <c r="I1197" s="1"/>
      <c r="J1197" s="2"/>
      <c r="K1197" s="5" t="s">
        <v>9000</v>
      </c>
      <c r="L1197" s="5" t="s">
        <v>9001</v>
      </c>
      <c r="M1197" s="20"/>
      <c r="N1197" s="5" t="s">
        <v>9961</v>
      </c>
      <c r="O1197" s="5" t="s">
        <v>8999</v>
      </c>
      <c r="P1197" s="21" t="str">
        <f>IF(ISNUMBER(MATCH($C1197,StackableKinds,0)), TRUE, "")</f>
        <v/>
      </c>
      <c r="Q1197" s="7" t="b">
        <v>1</v>
      </c>
    </row>
    <row r="1198" spans="1:17" x14ac:dyDescent="0.2">
      <c r="A1198" s="19" t="str">
        <f>_xlfn.IFNA(VLOOKUP($B1198,Keys!$A:$B,2,FALSE),_xlfn.IFNA(VLOOKUP($B1198,Keys!$D:$E,2,FALSE),VLOOKUP($B1198,Keys!$G:$H,2,FALSE)))</f>
        <v>0x00000013C695E92C</v>
      </c>
      <c r="B1198" s="5" t="s">
        <v>3330</v>
      </c>
      <c r="C1198" s="5" t="s">
        <v>410</v>
      </c>
      <c r="D1198" s="5" t="s">
        <v>16860</v>
      </c>
      <c r="E1198" s="5"/>
      <c r="F1198" s="5" t="s">
        <v>10119</v>
      </c>
      <c r="G1198" s="1"/>
      <c r="H1198" s="1"/>
      <c r="I1198" s="1"/>
      <c r="J1198" s="2"/>
      <c r="K1198" s="5" t="s">
        <v>10120</v>
      </c>
      <c r="L1198" s="19" t="s">
        <v>11005</v>
      </c>
      <c r="M1198" s="20"/>
      <c r="N1198" s="5" t="s">
        <v>10121</v>
      </c>
      <c r="O1198" s="1"/>
      <c r="P1198" s="21" t="str">
        <f>IF(ISNUMBER(MATCH($C1198,StackableKinds,0)), TRUE, "")</f>
        <v/>
      </c>
      <c r="Q1198" s="7" t="b">
        <v>1</v>
      </c>
    </row>
    <row r="1199" spans="1:17" x14ac:dyDescent="0.2">
      <c r="A1199" s="19" t="str">
        <f>_xlfn.IFNA(VLOOKUP($B1199,Keys!$A:$B,2,FALSE),_xlfn.IFNA(VLOOKUP($B1199,Keys!$D:$E,2,FALSE),VLOOKUP($B1199,Keys!$G:$H,2,FALSE)))</f>
        <v>0x0000001356EA21E2</v>
      </c>
      <c r="B1199" s="5" t="s">
        <v>3326</v>
      </c>
      <c r="C1199" s="5" t="s">
        <v>410</v>
      </c>
      <c r="D1199" s="5" t="s">
        <v>16859</v>
      </c>
      <c r="E1199" s="5"/>
      <c r="F1199" s="5" t="s">
        <v>10119</v>
      </c>
      <c r="G1199" s="1"/>
      <c r="H1199" s="1"/>
      <c r="I1199" s="1"/>
      <c r="J1199" s="2"/>
      <c r="K1199" s="5" t="s">
        <v>10120</v>
      </c>
      <c r="L1199" s="19" t="s">
        <v>11005</v>
      </c>
      <c r="M1199" s="20"/>
      <c r="N1199" s="5" t="s">
        <v>10121</v>
      </c>
      <c r="O1199" s="1"/>
      <c r="P1199" s="21" t="str">
        <f>IF(ISNUMBER(MATCH($C1199,StackableKinds,0)), TRUE, "")</f>
        <v/>
      </c>
      <c r="Q1199" s="7" t="b">
        <v>1</v>
      </c>
    </row>
    <row r="1200" spans="1:17" x14ac:dyDescent="0.2">
      <c r="A1200" s="19" t="str">
        <f>_xlfn.IFNA(VLOOKUP($B1200,Keys!$A:$B,2,FALSE),_xlfn.IFNA(VLOOKUP($B1200,Keys!$D:$E,2,FALSE),VLOOKUP($B1200,Keys!$G:$H,2,FALSE)))</f>
        <v>0x000000183531CF8A</v>
      </c>
      <c r="B1200" s="5" t="s">
        <v>3328</v>
      </c>
      <c r="C1200" s="5" t="s">
        <v>410</v>
      </c>
      <c r="D1200" s="5" t="s">
        <v>16858</v>
      </c>
      <c r="E1200" s="5"/>
      <c r="F1200" s="5" t="s">
        <v>10119</v>
      </c>
      <c r="G1200" s="1"/>
      <c r="H1200" s="1"/>
      <c r="I1200" s="1"/>
      <c r="J1200" s="2"/>
      <c r="K1200" s="5" t="s">
        <v>10120</v>
      </c>
      <c r="L1200" s="19" t="s">
        <v>11005</v>
      </c>
      <c r="M1200" s="20"/>
      <c r="N1200" s="5" t="s">
        <v>10121</v>
      </c>
      <c r="O1200" s="1"/>
      <c r="P1200" s="21" t="str">
        <f>IF(ISNUMBER(MATCH($C1200,StackableKinds,0)), TRUE, "")</f>
        <v/>
      </c>
      <c r="Q1200" s="7" t="b">
        <v>1</v>
      </c>
    </row>
    <row r="1201" spans="1:17" x14ac:dyDescent="0.2">
      <c r="A1201" s="19" t="str">
        <f>_xlfn.IFNA(VLOOKUP($B1201,Keys!$A:$B,2,FALSE),_xlfn.IFNA(VLOOKUP($B1201,Keys!$D:$E,2,FALSE),VLOOKUP($B1201,Keys!$G:$H,2,FALSE)))</f>
        <v>0x000000172D7A9133</v>
      </c>
      <c r="B1201" s="5" t="s">
        <v>570</v>
      </c>
      <c r="C1201" s="5" t="s">
        <v>410</v>
      </c>
      <c r="D1201" s="5" t="s">
        <v>16860</v>
      </c>
      <c r="E1201" s="5"/>
      <c r="F1201" s="5" t="s">
        <v>9054</v>
      </c>
      <c r="G1201" s="5" t="s">
        <v>8971</v>
      </c>
      <c r="H1201" s="1"/>
      <c r="I1201" s="1"/>
      <c r="J1201" s="2"/>
      <c r="K1201" s="5" t="s">
        <v>9055</v>
      </c>
      <c r="L1201" s="5" t="s">
        <v>11216</v>
      </c>
      <c r="M1201" s="20"/>
      <c r="N1201" s="5" t="s">
        <v>9056</v>
      </c>
      <c r="O1201" s="1"/>
      <c r="P1201" s="21" t="str">
        <f>IF(ISNUMBER(MATCH($C1201,StackableKinds,0)), TRUE, "")</f>
        <v/>
      </c>
      <c r="Q1201" s="7" t="b">
        <v>1</v>
      </c>
    </row>
    <row r="1202" spans="1:17" x14ac:dyDescent="0.2">
      <c r="A1202" s="19" t="str">
        <f>_xlfn.IFNA(VLOOKUP($B1202,Keys!$A:$B,2,FALSE),_xlfn.IFNA(VLOOKUP($B1202,Keys!$D:$E,2,FALSE),VLOOKUP($B1202,Keys!$G:$H,2,FALSE)))</f>
        <v>0x00000017BD0559FD</v>
      </c>
      <c r="B1202" s="5" t="s">
        <v>566</v>
      </c>
      <c r="C1202" s="5" t="s">
        <v>410</v>
      </c>
      <c r="D1202" s="5" t="s">
        <v>16859</v>
      </c>
      <c r="E1202" s="5"/>
      <c r="F1202" s="5" t="s">
        <v>9054</v>
      </c>
      <c r="G1202" s="5" t="s">
        <v>8971</v>
      </c>
      <c r="H1202" s="1"/>
      <c r="I1202" s="1"/>
      <c r="J1202" s="2"/>
      <c r="K1202" s="5" t="s">
        <v>9055</v>
      </c>
      <c r="L1202" s="5" t="s">
        <v>11214</v>
      </c>
      <c r="M1202" s="20"/>
      <c r="N1202" s="5" t="s">
        <v>9056</v>
      </c>
      <c r="O1202" s="1"/>
      <c r="P1202" s="21" t="str">
        <f>IF(ISNUMBER(MATCH($C1202,StackableKinds,0)), TRUE, "")</f>
        <v/>
      </c>
      <c r="Q1202" s="7" t="b">
        <v>1</v>
      </c>
    </row>
    <row r="1203" spans="1:17" x14ac:dyDescent="0.2">
      <c r="A1203" s="19" t="str">
        <f>_xlfn.IFNA(VLOOKUP($B1203,Keys!$A:$B,2,FALSE),_xlfn.IFNA(VLOOKUP($B1203,Keys!$D:$E,2,FALSE),VLOOKUP($B1203,Keys!$G:$H,2,FALSE)))</f>
        <v>0x0000001C663EFA10</v>
      </c>
      <c r="B1203" s="5" t="s">
        <v>568</v>
      </c>
      <c r="C1203" s="5" t="s">
        <v>410</v>
      </c>
      <c r="D1203" s="5" t="s">
        <v>16858</v>
      </c>
      <c r="E1203" s="5"/>
      <c r="F1203" s="5" t="s">
        <v>9054</v>
      </c>
      <c r="G1203" s="5" t="s">
        <v>8971</v>
      </c>
      <c r="H1203" s="1"/>
      <c r="I1203" s="1"/>
      <c r="J1203" s="2"/>
      <c r="K1203" s="5" t="s">
        <v>9055</v>
      </c>
      <c r="L1203" s="5" t="s">
        <v>11215</v>
      </c>
      <c r="M1203" s="20"/>
      <c r="N1203" s="5" t="s">
        <v>9056</v>
      </c>
      <c r="O1203" s="1"/>
      <c r="P1203" s="21" t="str">
        <f>IF(ISNUMBER(MATCH($C1203,StackableKinds,0)), TRUE, "")</f>
        <v/>
      </c>
      <c r="Q1203" s="7" t="b">
        <v>1</v>
      </c>
    </row>
    <row r="1204" spans="1:17" x14ac:dyDescent="0.2">
      <c r="A1204" s="19" t="str">
        <f>_xlfn.IFNA(VLOOKUP($B1204,Keys!$A:$B,2,FALSE),_xlfn.IFNA(VLOOKUP($B1204,Keys!$D:$E,2,FALSE),VLOOKUP($B1204,Keys!$G:$H,2,FALSE)))</f>
        <v>0x0000001228714BE9</v>
      </c>
      <c r="B1204" s="5" t="s">
        <v>536</v>
      </c>
      <c r="C1204" s="5" t="s">
        <v>410</v>
      </c>
      <c r="D1204" s="5" t="s">
        <v>16861</v>
      </c>
      <c r="E1204" s="5"/>
      <c r="F1204" s="5" t="s">
        <v>8995</v>
      </c>
      <c r="G1204" s="5" t="s">
        <v>8972</v>
      </c>
      <c r="H1204" s="1"/>
      <c r="I1204" s="1"/>
      <c r="J1204" s="2"/>
      <c r="K1204" s="5" t="s">
        <v>9027</v>
      </c>
      <c r="L1204" s="5" t="s">
        <v>9028</v>
      </c>
      <c r="M1204" s="20"/>
      <c r="N1204" s="5" t="s">
        <v>9961</v>
      </c>
      <c r="O1204" s="5" t="s">
        <v>9022</v>
      </c>
      <c r="P1204" s="21" t="str">
        <f>IF(ISNUMBER(MATCH($C1204,StackableKinds,0)), TRUE, "")</f>
        <v/>
      </c>
      <c r="Q1204" s="7" t="b">
        <v>1</v>
      </c>
    </row>
    <row r="1205" spans="1:17" x14ac:dyDescent="0.2">
      <c r="A1205" s="19" t="str">
        <f>_xlfn.IFNA(VLOOKUP($B1205,Keys!$A:$B,2,FALSE),_xlfn.IFNA(VLOOKUP($B1205,Keys!$D:$E,2,FALSE),VLOOKUP($B1205,Keys!$G:$H,2,FALSE)))</f>
        <v>0x00000012B1781A53</v>
      </c>
      <c r="B1205" s="5" t="s">
        <v>538</v>
      </c>
      <c r="C1205" s="5" t="s">
        <v>410</v>
      </c>
      <c r="D1205" s="5" t="s">
        <v>16860</v>
      </c>
      <c r="E1205" s="5"/>
      <c r="F1205" s="5" t="s">
        <v>8995</v>
      </c>
      <c r="G1205" s="5" t="s">
        <v>8972</v>
      </c>
      <c r="H1205" s="1"/>
      <c r="I1205" s="1"/>
      <c r="J1205" s="2"/>
      <c r="K1205" s="5" t="s">
        <v>9029</v>
      </c>
      <c r="L1205" s="5" t="s">
        <v>9030</v>
      </c>
      <c r="M1205" s="20"/>
      <c r="N1205" s="5" t="s">
        <v>9961</v>
      </c>
      <c r="O1205" s="5" t="s">
        <v>9022</v>
      </c>
      <c r="P1205" s="21" t="str">
        <f>IF(ISNUMBER(MATCH($C1205,StackableKinds,0)), TRUE, "")</f>
        <v/>
      </c>
      <c r="Q1205" s="7" t="b">
        <v>1</v>
      </c>
    </row>
    <row r="1206" spans="1:17" x14ac:dyDescent="0.2">
      <c r="A1206" s="19" t="str">
        <f>_xlfn.IFNA(VLOOKUP($B1206,Keys!$A:$B,2,FALSE),_xlfn.IFNA(VLOOKUP($B1206,Keys!$D:$E,2,FALSE),VLOOKUP($B1206,Keys!$G:$H,2,FALSE)))</f>
        <v>0x00000012C67F2AC5</v>
      </c>
      <c r="B1206" s="5" t="s">
        <v>540</v>
      </c>
      <c r="C1206" s="5" t="s">
        <v>410</v>
      </c>
      <c r="D1206" s="5" t="s">
        <v>16859</v>
      </c>
      <c r="E1206" s="5"/>
      <c r="F1206" s="5" t="s">
        <v>8995</v>
      </c>
      <c r="G1206" s="5" t="s">
        <v>8972</v>
      </c>
      <c r="H1206" s="1"/>
      <c r="I1206" s="1"/>
      <c r="J1206" s="2"/>
      <c r="K1206" s="5" t="s">
        <v>9031</v>
      </c>
      <c r="L1206" s="5" t="s">
        <v>9032</v>
      </c>
      <c r="M1206" s="20"/>
      <c r="N1206" s="5" t="s">
        <v>9961</v>
      </c>
      <c r="O1206" s="5" t="s">
        <v>9022</v>
      </c>
      <c r="P1206" s="21" t="str">
        <f>IF(ISNUMBER(MATCH($C1206,StackableKinds,0)), TRUE, "")</f>
        <v/>
      </c>
      <c r="Q1206" s="7" t="b">
        <v>1</v>
      </c>
    </row>
    <row r="1207" spans="1:17" x14ac:dyDescent="0.2">
      <c r="A1207" s="19" t="str">
        <f>_xlfn.IFNA(VLOOKUP($B1207,Keys!$A:$B,2,FALSE),_xlfn.IFNA(VLOOKUP($B1207,Keys!$D:$E,2,FALSE),VLOOKUP($B1207,Keys!$G:$H,2,FALSE)))</f>
        <v>0x00000012581BBF66</v>
      </c>
      <c r="B1207" s="5" t="s">
        <v>542</v>
      </c>
      <c r="C1207" s="5" t="s">
        <v>410</v>
      </c>
      <c r="D1207" s="5" t="s">
        <v>16858</v>
      </c>
      <c r="E1207" s="5"/>
      <c r="F1207" s="5" t="s">
        <v>8995</v>
      </c>
      <c r="G1207" s="5" t="s">
        <v>8972</v>
      </c>
      <c r="H1207" s="1"/>
      <c r="I1207" s="1"/>
      <c r="J1207" s="2"/>
      <c r="K1207" s="5" t="s">
        <v>9033</v>
      </c>
      <c r="L1207" s="5" t="s">
        <v>9034</v>
      </c>
      <c r="M1207" s="20"/>
      <c r="N1207" s="5" t="s">
        <v>9961</v>
      </c>
      <c r="O1207" s="5" t="s">
        <v>9022</v>
      </c>
      <c r="P1207" s="21" t="str">
        <f>IF(ISNUMBER(MATCH($C1207,StackableKinds,0)), TRUE, "")</f>
        <v/>
      </c>
      <c r="Q1207" s="7" t="b">
        <v>1</v>
      </c>
    </row>
    <row r="1208" spans="1:17" x14ac:dyDescent="0.2">
      <c r="A1208" s="19" t="str">
        <f>_xlfn.IFNA(VLOOKUP($B1208,Keys!$A:$B,2,FALSE),_xlfn.IFNA(VLOOKUP($B1208,Keys!$D:$E,2,FALSE),VLOOKUP($B1208,Keys!$G:$H,2,FALSE)))</f>
        <v>0x00000018CA405A62</v>
      </c>
      <c r="B1208" s="5" t="s">
        <v>574</v>
      </c>
      <c r="C1208" s="5" t="s">
        <v>410</v>
      </c>
      <c r="D1208" s="5" t="s">
        <v>16861</v>
      </c>
      <c r="E1208" s="5"/>
      <c r="F1208" s="5" t="s">
        <v>8995</v>
      </c>
      <c r="G1208" s="5" t="s">
        <v>8996</v>
      </c>
      <c r="H1208" s="1"/>
      <c r="I1208" s="1"/>
      <c r="J1208" s="2"/>
      <c r="K1208" s="5" t="s">
        <v>9059</v>
      </c>
      <c r="L1208" s="5" t="s">
        <v>9060</v>
      </c>
      <c r="M1208" s="20"/>
      <c r="N1208" s="5" t="s">
        <v>9961</v>
      </c>
      <c r="O1208" s="5" t="s">
        <v>8999</v>
      </c>
      <c r="P1208" s="21" t="str">
        <f>IF(ISNUMBER(MATCH($C1208,StackableKinds,0)), TRUE, "")</f>
        <v/>
      </c>
      <c r="Q1208" s="7" t="b">
        <v>1</v>
      </c>
    </row>
    <row r="1209" spans="1:17" x14ac:dyDescent="0.2">
      <c r="A1209" s="19" t="str">
        <f>_xlfn.IFNA(VLOOKUP($B1209,Keys!$A:$B,2,FALSE),_xlfn.IFNA(VLOOKUP($B1209,Keys!$D:$E,2,FALSE),VLOOKUP($B1209,Keys!$G:$H,2,FALSE)))</f>
        <v>0x00000015DF421774</v>
      </c>
      <c r="B1209" s="5" t="s">
        <v>572</v>
      </c>
      <c r="C1209" s="5" t="s">
        <v>410</v>
      </c>
      <c r="D1209" s="5" t="s">
        <v>16860</v>
      </c>
      <c r="E1209" s="5"/>
      <c r="F1209" s="5" t="s">
        <v>8995</v>
      </c>
      <c r="G1209" s="5" t="s">
        <v>8996</v>
      </c>
      <c r="H1209" s="1"/>
      <c r="I1209" s="1"/>
      <c r="J1209" s="2"/>
      <c r="K1209" s="5" t="s">
        <v>9057</v>
      </c>
      <c r="L1209" s="5" t="s">
        <v>9058</v>
      </c>
      <c r="M1209" s="20"/>
      <c r="N1209" s="5" t="s">
        <v>9961</v>
      </c>
      <c r="O1209" s="5" t="s">
        <v>8999</v>
      </c>
      <c r="P1209" s="21" t="str">
        <f>IF(ISNUMBER(MATCH($C1209,StackableKinds,0)), TRUE, "")</f>
        <v/>
      </c>
      <c r="Q1209" s="7" t="b">
        <v>1</v>
      </c>
    </row>
    <row r="1210" spans="1:17" x14ac:dyDescent="0.2">
      <c r="A1210" s="19" t="str">
        <f>_xlfn.IFNA(VLOOKUP($B1210,Keys!$A:$B,2,FALSE),_xlfn.IFNA(VLOOKUP($B1210,Keys!$D:$E,2,FALSE),VLOOKUP($B1210,Keys!$G:$H,2,FALSE)))</f>
        <v>0x000000197413BFEB</v>
      </c>
      <c r="B1210" s="5" t="s">
        <v>2006</v>
      </c>
      <c r="C1210" s="5" t="s">
        <v>410</v>
      </c>
      <c r="D1210" s="5" t="s">
        <v>16862</v>
      </c>
      <c r="E1210" s="5"/>
      <c r="F1210" s="5" t="s">
        <v>9054</v>
      </c>
      <c r="G1210" s="5" t="s">
        <v>8971</v>
      </c>
      <c r="H1210" s="1"/>
      <c r="I1210" s="1"/>
      <c r="J1210" s="2"/>
      <c r="K1210" s="5" t="s">
        <v>9607</v>
      </c>
      <c r="L1210" s="19" t="s">
        <v>10928</v>
      </c>
      <c r="M1210" s="20"/>
      <c r="N1210" s="5" t="s">
        <v>9056</v>
      </c>
      <c r="O1210" s="1"/>
      <c r="P1210" s="21" t="str">
        <f>IF(ISNUMBER(MATCH($C1210,StackableKinds,0)), TRUE, "")</f>
        <v/>
      </c>
      <c r="Q1210" s="7" t="b">
        <v>1</v>
      </c>
    </row>
    <row r="1211" spans="1:17" x14ac:dyDescent="0.2">
      <c r="A1211" s="19" t="str">
        <f>_xlfn.IFNA(VLOOKUP($B1211,Keys!$A:$B,2,FALSE),_xlfn.IFNA(VLOOKUP($B1211,Keys!$D:$E,2,FALSE),VLOOKUP($B1211,Keys!$G:$H,2,FALSE)))</f>
        <v>0x0000001B1BC4AE3B</v>
      </c>
      <c r="B1211" s="5" t="s">
        <v>2014</v>
      </c>
      <c r="C1211" s="5" t="s">
        <v>410</v>
      </c>
      <c r="D1211" s="5" t="s">
        <v>16861</v>
      </c>
      <c r="E1211" s="5"/>
      <c r="F1211" s="5" t="s">
        <v>9054</v>
      </c>
      <c r="G1211" s="5" t="s">
        <v>8971</v>
      </c>
      <c r="H1211" s="1"/>
      <c r="I1211" s="1"/>
      <c r="J1211" s="2"/>
      <c r="K1211" s="5" t="s">
        <v>9607</v>
      </c>
      <c r="L1211" s="19" t="s">
        <v>10932</v>
      </c>
      <c r="M1211" s="20"/>
      <c r="N1211" s="5" t="s">
        <v>9056</v>
      </c>
      <c r="O1211" s="1"/>
      <c r="P1211" s="21" t="str">
        <f>IF(ISNUMBER(MATCH($C1211,StackableKinds,0)), TRUE, "")</f>
        <v/>
      </c>
      <c r="Q1211" s="7" t="b">
        <v>1</v>
      </c>
    </row>
    <row r="1212" spans="1:17" x14ac:dyDescent="0.2">
      <c r="A1212" s="19" t="str">
        <f>_xlfn.IFNA(VLOOKUP($B1212,Keys!$A:$B,2,FALSE),_xlfn.IFNA(VLOOKUP($B1212,Keys!$D:$E,2,FALSE),VLOOKUP($B1212,Keys!$G:$H,2,FALSE)))</f>
        <v>0x000000174E59667F</v>
      </c>
      <c r="B1212" s="5" t="s">
        <v>2012</v>
      </c>
      <c r="C1212" s="5" t="s">
        <v>410</v>
      </c>
      <c r="D1212" s="5" t="s">
        <v>16860</v>
      </c>
      <c r="E1212" s="5"/>
      <c r="F1212" s="5" t="s">
        <v>9054</v>
      </c>
      <c r="G1212" s="5" t="s">
        <v>8971</v>
      </c>
      <c r="H1212" s="1"/>
      <c r="I1212" s="1"/>
      <c r="J1212" s="2"/>
      <c r="K1212" s="5" t="s">
        <v>9607</v>
      </c>
      <c r="L1212" s="19" t="s">
        <v>10931</v>
      </c>
      <c r="M1212" s="20"/>
      <c r="N1212" s="5" t="s">
        <v>9056</v>
      </c>
      <c r="O1212" s="1"/>
      <c r="P1212" s="21" t="str">
        <f>IF(ISNUMBER(MATCH($C1212,StackableKinds,0)), TRUE, "")</f>
        <v/>
      </c>
      <c r="Q1212" s="7" t="b">
        <v>1</v>
      </c>
    </row>
    <row r="1213" spans="1:17" x14ac:dyDescent="0.2">
      <c r="A1213" s="19" t="str">
        <f>_xlfn.IFNA(VLOOKUP($B1213,Keys!$A:$B,2,FALSE),_xlfn.IFNA(VLOOKUP($B1213,Keys!$D:$E,2,FALSE),VLOOKUP($B1213,Keys!$G:$H,2,FALSE)))</f>
        <v>0x00000017DE26AEB1</v>
      </c>
      <c r="B1213" s="5" t="s">
        <v>2008</v>
      </c>
      <c r="C1213" s="5" t="s">
        <v>410</v>
      </c>
      <c r="D1213" s="5" t="s">
        <v>16859</v>
      </c>
      <c r="E1213" s="5"/>
      <c r="F1213" s="5" t="s">
        <v>9054</v>
      </c>
      <c r="G1213" s="5" t="s">
        <v>8971</v>
      </c>
      <c r="H1213" s="1"/>
      <c r="I1213" s="1"/>
      <c r="J1213" s="2"/>
      <c r="K1213" s="5" t="s">
        <v>9607</v>
      </c>
      <c r="L1213" s="19" t="s">
        <v>10929</v>
      </c>
      <c r="M1213" s="20"/>
      <c r="N1213" s="5" t="s">
        <v>9056</v>
      </c>
      <c r="O1213" s="1"/>
      <c r="P1213" s="21" t="str">
        <f>IF(ISNUMBER(MATCH($C1213,StackableKinds,0)), TRUE, "")</f>
        <v/>
      </c>
      <c r="Q1213" s="7" t="b">
        <v>1</v>
      </c>
    </row>
    <row r="1214" spans="1:17" x14ac:dyDescent="0.2">
      <c r="A1214" s="19" t="str">
        <f>_xlfn.IFNA(VLOOKUP($B1214,Keys!$A:$B,2,FALSE),_xlfn.IFNA(VLOOKUP($B1214,Keys!$D:$E,2,FALSE),VLOOKUP($B1214,Keys!$G:$H,2,FALSE)))</f>
        <v>0x0000001C9457A19B</v>
      </c>
      <c r="B1214" s="5" t="s">
        <v>2010</v>
      </c>
      <c r="C1214" s="5" t="s">
        <v>410</v>
      </c>
      <c r="D1214" s="5" t="s">
        <v>16858</v>
      </c>
      <c r="E1214" s="5"/>
      <c r="F1214" s="5" t="s">
        <v>9054</v>
      </c>
      <c r="G1214" s="5" t="s">
        <v>8971</v>
      </c>
      <c r="H1214" s="1"/>
      <c r="I1214" s="1"/>
      <c r="J1214" s="2"/>
      <c r="K1214" s="5" t="s">
        <v>9607</v>
      </c>
      <c r="L1214" s="19" t="s">
        <v>10930</v>
      </c>
      <c r="M1214" s="20"/>
      <c r="N1214" s="5" t="s">
        <v>9056</v>
      </c>
      <c r="O1214" s="1"/>
      <c r="P1214" s="21" t="str">
        <f>IF(ISNUMBER(MATCH($C1214,StackableKinds,0)), TRUE, "")</f>
        <v/>
      </c>
      <c r="Q1214" s="7" t="b">
        <v>1</v>
      </c>
    </row>
    <row r="1215" spans="1:17" x14ac:dyDescent="0.2">
      <c r="A1215" s="19" t="str">
        <f>_xlfn.IFNA(VLOOKUP($B1215,Keys!$A:$B,2,FALSE),_xlfn.IFNA(VLOOKUP($B1215,Keys!$D:$E,2,FALSE),VLOOKUP($B1215,Keys!$G:$H,2,FALSE)))</f>
        <v>0x00000013D27F20CD</v>
      </c>
      <c r="B1215" s="5" t="s">
        <v>2362</v>
      </c>
      <c r="C1215" s="5" t="s">
        <v>410</v>
      </c>
      <c r="D1215" s="5" t="s">
        <v>16860</v>
      </c>
      <c r="E1215" s="5"/>
      <c r="F1215" s="5" t="s">
        <v>9297</v>
      </c>
      <c r="G1215" s="5" t="s">
        <v>8971</v>
      </c>
      <c r="H1215" s="1"/>
      <c r="I1215" s="1"/>
      <c r="J1215" s="2"/>
      <c r="K1215" s="5" t="s">
        <v>9766</v>
      </c>
      <c r="L1215" s="19" t="s">
        <v>11253</v>
      </c>
      <c r="M1215" s="20"/>
      <c r="N1215" s="5" t="s">
        <v>9299</v>
      </c>
      <c r="O1215" s="1"/>
      <c r="P1215" s="21" t="str">
        <f>IF(ISNUMBER(MATCH($C1215,StackableKinds,0)), TRUE, "")</f>
        <v/>
      </c>
      <c r="Q1215" s="7" t="b">
        <v>1</v>
      </c>
    </row>
    <row r="1216" spans="1:17" x14ac:dyDescent="0.2">
      <c r="A1216" s="19" t="str">
        <f>_xlfn.IFNA(VLOOKUP($B1216,Keys!$A:$B,2,FALSE),_xlfn.IFNA(VLOOKUP($B1216,Keys!$D:$E,2,FALSE),VLOOKUP($B1216,Keys!$G:$H,2,FALSE)))</f>
        <v>0x000000134200E803</v>
      </c>
      <c r="B1216" s="5" t="s">
        <v>2360</v>
      </c>
      <c r="C1216" s="5" t="s">
        <v>410</v>
      </c>
      <c r="D1216" s="5" t="s">
        <v>16859</v>
      </c>
      <c r="E1216" s="5"/>
      <c r="F1216" s="5" t="s">
        <v>9297</v>
      </c>
      <c r="G1216" s="5" t="s">
        <v>8971</v>
      </c>
      <c r="H1216" s="1"/>
      <c r="I1216" s="1"/>
      <c r="J1216" s="2"/>
      <c r="K1216" s="5" t="s">
        <v>9766</v>
      </c>
      <c r="L1216" s="19" t="s">
        <v>11252</v>
      </c>
      <c r="M1216" s="20"/>
      <c r="N1216" s="5" t="s">
        <v>9299</v>
      </c>
      <c r="O1216" s="1"/>
      <c r="P1216" s="21" t="str">
        <f>IF(ISNUMBER(MATCH($C1216,StackableKinds,0)), TRUE, "")</f>
        <v/>
      </c>
      <c r="Q1216" s="7" t="b">
        <v>1</v>
      </c>
    </row>
    <row r="1217" spans="1:17" x14ac:dyDescent="0.2">
      <c r="A1217" s="19" t="str">
        <f>_xlfn.IFNA(VLOOKUP($B1217,Keys!$A:$B,2,FALSE),_xlfn.IFNA(VLOOKUP($B1217,Keys!$D:$E,2,FALSE),VLOOKUP($B1217,Keys!$G:$H,2,FALSE)))</f>
        <v>0x0000001A8C845426</v>
      </c>
      <c r="B1217" s="5" t="s">
        <v>1298</v>
      </c>
      <c r="C1217" s="5" t="s">
        <v>410</v>
      </c>
      <c r="D1217" s="5" t="s">
        <v>16862</v>
      </c>
      <c r="E1217" s="5"/>
      <c r="F1217" s="5" t="s">
        <v>9297</v>
      </c>
      <c r="G1217" s="5" t="s">
        <v>8971</v>
      </c>
      <c r="H1217" s="1"/>
      <c r="I1217" s="1"/>
      <c r="J1217" s="2"/>
      <c r="K1217" s="5" t="s">
        <v>9350</v>
      </c>
      <c r="L1217" s="5" t="s">
        <v>11238</v>
      </c>
      <c r="M1217" s="20"/>
      <c r="N1217" s="5" t="s">
        <v>9299</v>
      </c>
      <c r="O1217" s="1"/>
      <c r="P1217" s="21" t="str">
        <f>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16861</v>
      </c>
      <c r="E1218" s="5"/>
      <c r="F1218" s="5" t="s">
        <v>9297</v>
      </c>
      <c r="G1218" s="5" t="s">
        <v>8971</v>
      </c>
      <c r="H1218" s="1"/>
      <c r="I1218" s="1"/>
      <c r="J1218" s="2"/>
      <c r="K1218" s="5" t="s">
        <v>9350</v>
      </c>
      <c r="L1218" s="5" t="s">
        <v>11242</v>
      </c>
      <c r="M1218" s="20"/>
      <c r="N1218" s="5" t="s">
        <v>9299</v>
      </c>
      <c r="O1218" s="1"/>
      <c r="P1218" s="21" t="str">
        <f>IF(ISNUMBER(MATCH($C1218,StackableKinds,0)), TRUE, "")</f>
        <v/>
      </c>
      <c r="Q1218" s="7" t="b">
        <v>1</v>
      </c>
    </row>
    <row r="1219" spans="1:17" x14ac:dyDescent="0.2">
      <c r="A1219" s="19" t="str">
        <f>_xlfn.IFNA(VLOOKUP($B1219,Keys!$A:$B,2,FALSE),_xlfn.IFNA(VLOOKUP($B1219,Keys!$D:$E,2,FALSE),VLOOKUP($B1219,Keys!$G:$H,2,FALSE)))</f>
        <v>0x000000180439EC28</v>
      </c>
      <c r="B1219" s="5" t="s">
        <v>1304</v>
      </c>
      <c r="C1219" s="5" t="s">
        <v>410</v>
      </c>
      <c r="D1219" s="5" t="s">
        <v>16860</v>
      </c>
      <c r="E1219" s="5"/>
      <c r="F1219" s="5" t="s">
        <v>9297</v>
      </c>
      <c r="G1219" s="5" t="s">
        <v>8971</v>
      </c>
      <c r="H1219" s="1"/>
      <c r="I1219" s="1"/>
      <c r="J1219" s="2"/>
      <c r="K1219" s="5" t="s">
        <v>9350</v>
      </c>
      <c r="L1219" s="5" t="s">
        <v>11241</v>
      </c>
      <c r="M1219" s="20"/>
      <c r="N1219" s="5" t="s">
        <v>9299</v>
      </c>
      <c r="O1219" s="1"/>
      <c r="P1219" s="21" t="str">
        <f>IF(ISNUMBER(MATCH($C1219,StackableKinds,0)), TRUE, "")</f>
        <v/>
      </c>
      <c r="Q1219" s="7" t="b">
        <v>1</v>
      </c>
    </row>
    <row r="1220" spans="1:17" x14ac:dyDescent="0.2">
      <c r="A1220" s="19" t="str">
        <f>_xlfn.IFNA(VLOOKUP($B1220,Keys!$A:$B,2,FALSE),_xlfn.IFNA(VLOOKUP($B1220,Keys!$D:$E,2,FALSE),VLOOKUP($B1220,Keys!$G:$H,2,FALSE)))</f>
        <v>0x00000018944624E6</v>
      </c>
      <c r="B1220" s="5" t="s">
        <v>1300</v>
      </c>
      <c r="C1220" s="5" t="s">
        <v>410</v>
      </c>
      <c r="D1220" s="5" t="s">
        <v>16859</v>
      </c>
      <c r="E1220" s="5"/>
      <c r="F1220" s="5" t="s">
        <v>9297</v>
      </c>
      <c r="G1220" s="5" t="s">
        <v>8971</v>
      </c>
      <c r="H1220" s="1"/>
      <c r="I1220" s="1"/>
      <c r="J1220" s="2"/>
      <c r="K1220" s="5" t="s">
        <v>9350</v>
      </c>
      <c r="L1220" s="5" t="s">
        <v>11239</v>
      </c>
      <c r="M1220" s="20"/>
      <c r="N1220" s="5" t="s">
        <v>9299</v>
      </c>
      <c r="O1220" s="1"/>
      <c r="P1220" s="21" t="str">
        <f>IF(ISNUMBER(MATCH($C1220,StackableKinds,0)), TRUE, "")</f>
        <v/>
      </c>
      <c r="Q1220" s="7" t="b">
        <v>1</v>
      </c>
    </row>
    <row r="1221" spans="1:17" x14ac:dyDescent="0.2">
      <c r="A1221" s="19" t="str">
        <f>_xlfn.IFNA(VLOOKUP($B1221,Keys!$A:$B,2,FALSE),_xlfn.IFNA(VLOOKUP($B1221,Keys!$D:$E,2,FALSE),VLOOKUP($B1221,Keys!$G:$H,2,FALSE)))</f>
        <v>0x0000001DDEC188B0</v>
      </c>
      <c r="B1221" s="5" t="s">
        <v>1302</v>
      </c>
      <c r="C1221" s="5" t="s">
        <v>410</v>
      </c>
      <c r="D1221" s="5" t="s">
        <v>16858</v>
      </c>
      <c r="E1221" s="5"/>
      <c r="F1221" s="5" t="s">
        <v>9297</v>
      </c>
      <c r="G1221" s="5" t="s">
        <v>8971</v>
      </c>
      <c r="H1221" s="1"/>
      <c r="I1221" s="1"/>
      <c r="J1221" s="2"/>
      <c r="K1221" s="5" t="s">
        <v>9350</v>
      </c>
      <c r="L1221" s="5" t="s">
        <v>11240</v>
      </c>
      <c r="M1221" s="20"/>
      <c r="N1221" s="5" t="s">
        <v>9299</v>
      </c>
      <c r="O1221" s="1"/>
      <c r="P1221" s="21" t="str">
        <f>IF(ISNUMBER(MATCH($C1221,StackableKinds,0)), TRUE, "")</f>
        <v/>
      </c>
      <c r="Q1221" s="7" t="b">
        <v>1</v>
      </c>
    </row>
    <row r="1222" spans="1:17" x14ac:dyDescent="0.2">
      <c r="A1222" s="19" t="str">
        <f>_xlfn.IFNA(VLOOKUP($B1222,Keys!$A:$B,2,FALSE),_xlfn.IFNA(VLOOKUP($B1222,Keys!$D:$E,2,FALSE),VLOOKUP($B1222,Keys!$G:$H,2,FALSE)))</f>
        <v>0x00000020F8067362</v>
      </c>
      <c r="B1222" s="5" t="s">
        <v>1288</v>
      </c>
      <c r="C1222" s="5" t="s">
        <v>410</v>
      </c>
      <c r="D1222" s="5" t="s">
        <v>16862</v>
      </c>
      <c r="E1222" s="5"/>
      <c r="F1222" s="5" t="s">
        <v>9054</v>
      </c>
      <c r="G1222" s="5" t="s">
        <v>8971</v>
      </c>
      <c r="H1222" s="1"/>
      <c r="I1222" s="1"/>
      <c r="J1222" s="2"/>
      <c r="K1222" s="5" t="s">
        <v>9344</v>
      </c>
      <c r="L1222" s="5" t="s">
        <v>9345</v>
      </c>
      <c r="M1222" s="20"/>
      <c r="N1222" s="5" t="s">
        <v>9056</v>
      </c>
      <c r="O1222" s="1"/>
      <c r="P1222" s="21" t="str">
        <f>IF(ISNUMBER(MATCH($C1222,StackableKinds,0)), TRUE, "")</f>
        <v/>
      </c>
      <c r="Q1222" s="7" t="b">
        <v>1</v>
      </c>
    </row>
    <row r="1223" spans="1:17" x14ac:dyDescent="0.2">
      <c r="A1223" s="19" t="str">
        <f>_xlfn.IFNA(VLOOKUP($B1223,Keys!$A:$B,2,FALSE),_xlfn.IFNA(VLOOKUP($B1223,Keys!$D:$E,2,FALSE),VLOOKUP($B1223,Keys!$G:$H,2,FALSE)))</f>
        <v>0x0000002263578FB7</v>
      </c>
      <c r="B1223" s="5" t="s">
        <v>1296</v>
      </c>
      <c r="C1223" s="5" t="s">
        <v>410</v>
      </c>
      <c r="D1223" s="5" t="s">
        <v>16861</v>
      </c>
      <c r="E1223" s="5"/>
      <c r="F1223" s="5" t="s">
        <v>9054</v>
      </c>
      <c r="G1223" s="5" t="s">
        <v>8971</v>
      </c>
      <c r="H1223" s="1"/>
      <c r="I1223" s="1"/>
      <c r="J1223" s="2"/>
      <c r="K1223" s="5" t="s">
        <v>9344</v>
      </c>
      <c r="L1223" s="5" t="s">
        <v>9349</v>
      </c>
      <c r="M1223" s="20"/>
      <c r="N1223" s="5" t="s">
        <v>9056</v>
      </c>
      <c r="O1223" s="1"/>
      <c r="P1223" s="21" t="str">
        <f>IF(ISNUMBER(MATCH($C1223,StackableKinds,0)), TRUE, "")</f>
        <v/>
      </c>
      <c r="Q1223" s="7" t="b">
        <v>1</v>
      </c>
    </row>
    <row r="1224" spans="1:17" x14ac:dyDescent="0.2">
      <c r="A1224" s="19" t="str">
        <f>_xlfn.IFNA(VLOOKUP($B1224,Keys!$A:$B,2,FALSE),_xlfn.IFNA(VLOOKUP($B1224,Keys!$D:$E,2,FALSE),VLOOKUP($B1224,Keys!$G:$H,2,FALSE)))</f>
        <v>0x0000001EF2FA8A45</v>
      </c>
      <c r="B1224" s="5" t="s">
        <v>1294</v>
      </c>
      <c r="C1224" s="5" t="s">
        <v>410</v>
      </c>
      <c r="D1224" s="5" t="s">
        <v>16860</v>
      </c>
      <c r="E1224" s="5"/>
      <c r="F1224" s="5" t="s">
        <v>9054</v>
      </c>
      <c r="G1224" s="5" t="s">
        <v>8971</v>
      </c>
      <c r="H1224" s="1"/>
      <c r="I1224" s="1"/>
      <c r="J1224" s="2"/>
      <c r="K1224" s="5" t="s">
        <v>9344</v>
      </c>
      <c r="L1224" s="5" t="s">
        <v>9348</v>
      </c>
      <c r="M1224" s="20"/>
      <c r="N1224" s="5" t="s">
        <v>9056</v>
      </c>
      <c r="O1224" s="1"/>
      <c r="P1224" s="21" t="str">
        <f>IF(ISNUMBER(MATCH($C1224,StackableKinds,0)), TRUE, "")</f>
        <v/>
      </c>
      <c r="Q1224" s="7" t="b">
        <v>1</v>
      </c>
    </row>
    <row r="1225" spans="1:17" x14ac:dyDescent="0.2">
      <c r="A1225" s="19" t="str">
        <f>_xlfn.IFNA(VLOOKUP($B1225,Keys!$A:$B,2,FALSE),_xlfn.IFNA(VLOOKUP($B1225,Keys!$D:$E,2,FALSE),VLOOKUP($B1225,Keys!$G:$H,2,FALSE)))</f>
        <v>0x0000001E6285428B</v>
      </c>
      <c r="B1225" s="5" t="s">
        <v>1290</v>
      </c>
      <c r="C1225" s="5" t="s">
        <v>410</v>
      </c>
      <c r="D1225" s="5" t="s">
        <v>16859</v>
      </c>
      <c r="E1225" s="5"/>
      <c r="F1225" s="5" t="s">
        <v>9054</v>
      </c>
      <c r="G1225" s="5" t="s">
        <v>8971</v>
      </c>
      <c r="H1225" s="1"/>
      <c r="I1225" s="1"/>
      <c r="J1225" s="2"/>
      <c r="K1225" s="5" t="s">
        <v>9344</v>
      </c>
      <c r="L1225" s="5" t="s">
        <v>9346</v>
      </c>
      <c r="M1225" s="20"/>
      <c r="N1225" s="5" t="s">
        <v>9056</v>
      </c>
      <c r="O1225" s="1"/>
      <c r="P1225" s="21" t="str">
        <f>IF(ISNUMBER(MATCH($C1225,StackableKinds,0)), TRUE, "")</f>
        <v/>
      </c>
      <c r="Q1225" s="7" t="b">
        <v>1</v>
      </c>
    </row>
    <row r="1226" spans="1:17" x14ac:dyDescent="0.2">
      <c r="A1226" s="19" t="str">
        <f>_xlfn.IFNA(VLOOKUP($B1226,Keys!$A:$B,2,FALSE),_xlfn.IFNA(VLOOKUP($B1226,Keys!$D:$E,2,FALSE),VLOOKUP($B1226,Keys!$G:$H,2,FALSE)))</f>
        <v>0x000000237021FDB1</v>
      </c>
      <c r="B1226" s="5" t="s">
        <v>1292</v>
      </c>
      <c r="C1226" s="5" t="s">
        <v>410</v>
      </c>
      <c r="D1226" s="5" t="s">
        <v>16858</v>
      </c>
      <c r="E1226" s="5"/>
      <c r="F1226" s="5" t="s">
        <v>9054</v>
      </c>
      <c r="G1226" s="5" t="s">
        <v>8971</v>
      </c>
      <c r="H1226" s="1"/>
      <c r="I1226" s="1"/>
      <c r="J1226" s="2"/>
      <c r="K1226" s="5" t="s">
        <v>9344</v>
      </c>
      <c r="L1226" s="5" t="s">
        <v>9347</v>
      </c>
      <c r="M1226" s="20"/>
      <c r="N1226" s="5" t="s">
        <v>9056</v>
      </c>
      <c r="O1226" s="1"/>
      <c r="P1226" s="21" t="str">
        <f>IF(ISNUMBER(MATCH($C1226,StackableKinds,0)), TRUE, "")</f>
        <v/>
      </c>
      <c r="Q1226" s="7" t="b">
        <v>1</v>
      </c>
    </row>
    <row r="1227" spans="1:17" x14ac:dyDescent="0.2">
      <c r="A1227" s="19" t="str">
        <f>_xlfn.IFNA(VLOOKUP($B1227,Keys!$A:$B,2,FALSE),_xlfn.IFNA(VLOOKUP($B1227,Keys!$D:$E,2,FALSE),VLOOKUP($B1227,Keys!$G:$H,2,FALSE)))</f>
        <v>0x0000001893233762</v>
      </c>
      <c r="B1227" s="5" t="s">
        <v>580</v>
      </c>
      <c r="C1227" s="5" t="s">
        <v>410</v>
      </c>
      <c r="D1227" s="5" t="s">
        <v>16861</v>
      </c>
      <c r="E1227" s="5"/>
      <c r="F1227" s="5" t="s">
        <v>8995</v>
      </c>
      <c r="G1227" s="5" t="s">
        <v>8996</v>
      </c>
      <c r="H1227" s="1"/>
      <c r="I1227" s="1"/>
      <c r="J1227" s="2"/>
      <c r="K1227" s="5" t="s">
        <v>9063</v>
      </c>
      <c r="L1227" s="1" t="s">
        <v>11135</v>
      </c>
      <c r="M1227" s="18"/>
      <c r="N1227" s="5" t="s">
        <v>9961</v>
      </c>
      <c r="O1227" s="5" t="s">
        <v>8999</v>
      </c>
      <c r="P1227" s="21" t="str">
        <f>IF(ISNUMBER(MATCH($C1227,StackableKinds,0)), TRUE, "")</f>
        <v/>
      </c>
      <c r="Q1227" s="7" t="b">
        <v>1</v>
      </c>
    </row>
    <row r="1228" spans="1:17" x14ac:dyDescent="0.2">
      <c r="A1228" s="19" t="str">
        <f>_xlfn.IFNA(VLOOKUP($B1228,Keys!$A:$B,2,FALSE),_xlfn.IFNA(VLOOKUP($B1228,Keys!$D:$E,2,FALSE),VLOOKUP($B1228,Keys!$G:$H,2,FALSE)))</f>
        <v>0x000000156B361B9B</v>
      </c>
      <c r="B1228" s="5" t="s">
        <v>578</v>
      </c>
      <c r="C1228" s="5" t="s">
        <v>410</v>
      </c>
      <c r="D1228" s="5" t="s">
        <v>16860</v>
      </c>
      <c r="E1228" s="5"/>
      <c r="F1228" s="5" t="s">
        <v>8995</v>
      </c>
      <c r="G1228" s="5" t="s">
        <v>8996</v>
      </c>
      <c r="H1228" s="1"/>
      <c r="I1228" s="1"/>
      <c r="J1228" s="2"/>
      <c r="K1228" s="5" t="s">
        <v>9062</v>
      </c>
      <c r="L1228" s="1" t="s">
        <v>11137</v>
      </c>
      <c r="M1228" s="18"/>
      <c r="N1228" s="5" t="s">
        <v>9961</v>
      </c>
      <c r="O1228" s="5" t="s">
        <v>8999</v>
      </c>
      <c r="P1228" s="21" t="str">
        <f>IF(ISNUMBER(MATCH($C1228,StackableKinds,0)), TRUE, "")</f>
        <v/>
      </c>
      <c r="Q1228" s="7" t="b">
        <v>1</v>
      </c>
    </row>
    <row r="1229" spans="1:17" x14ac:dyDescent="0.2">
      <c r="A1229" s="19" t="str">
        <f>_xlfn.IFNA(VLOOKUP($B1229,Keys!$A:$B,2,FALSE),_xlfn.IFNA(VLOOKUP($B1229,Keys!$D:$E,2,FALSE),VLOOKUP($B1229,Keys!$G:$H,2,FALSE)))</f>
        <v>0x0000001671845F4A</v>
      </c>
      <c r="B1229" s="5" t="s">
        <v>576</v>
      </c>
      <c r="C1229" s="5" t="s">
        <v>410</v>
      </c>
      <c r="D1229" s="5" t="s">
        <v>16859</v>
      </c>
      <c r="E1229" s="5"/>
      <c r="F1229" s="5" t="s">
        <v>8995</v>
      </c>
      <c r="G1229" s="5" t="s">
        <v>8996</v>
      </c>
      <c r="H1229" s="1"/>
      <c r="I1229" s="1"/>
      <c r="J1229" s="2"/>
      <c r="K1229" s="5" t="s">
        <v>9061</v>
      </c>
      <c r="L1229" s="1" t="s">
        <v>11136</v>
      </c>
      <c r="M1229" s="18"/>
      <c r="N1229" s="5" t="s">
        <v>9961</v>
      </c>
      <c r="O1229" s="5" t="s">
        <v>8999</v>
      </c>
      <c r="P1229" s="21" t="str">
        <f>IF(ISNUMBER(MATCH($C1229,StackableKinds,0)), TRUE, "")</f>
        <v/>
      </c>
      <c r="Q1229" s="7" t="b">
        <v>1</v>
      </c>
    </row>
    <row r="1230" spans="1:17" x14ac:dyDescent="0.2">
      <c r="A1230" s="19" t="str">
        <f>_xlfn.IFNA(VLOOKUP($B1230,Keys!$A:$B,2,FALSE),_xlfn.IFNA(VLOOKUP($B1230,Keys!$D:$E,2,FALSE),VLOOKUP($B1230,Keys!$G:$H,2,FALSE)))</f>
        <v>0x000000156F2EC6F8</v>
      </c>
      <c r="B1230" s="5" t="s">
        <v>590</v>
      </c>
      <c r="C1230" s="5" t="s">
        <v>410</v>
      </c>
      <c r="D1230" s="5" t="s">
        <v>16862</v>
      </c>
      <c r="E1230" s="5"/>
      <c r="F1230" s="5" t="s">
        <v>9054</v>
      </c>
      <c r="G1230" s="5" t="s">
        <v>8971</v>
      </c>
      <c r="H1230" s="1"/>
      <c r="I1230" s="1"/>
      <c r="J1230" s="2"/>
      <c r="K1230" s="5" t="s">
        <v>9066</v>
      </c>
      <c r="L1230" s="5" t="s">
        <v>11217</v>
      </c>
      <c r="M1230" s="20"/>
      <c r="N1230" s="5" t="s">
        <v>9056</v>
      </c>
      <c r="O1230" s="1"/>
      <c r="P1230" s="21" t="str">
        <f>IF(ISNUMBER(MATCH($C1230,StackableKinds,0)), TRUE, "")</f>
        <v/>
      </c>
      <c r="Q1230" s="7" t="b">
        <v>1</v>
      </c>
    </row>
    <row r="1231" spans="1:17" x14ac:dyDescent="0.2">
      <c r="A1231" s="19" t="str">
        <f>_xlfn.IFNA(VLOOKUP($B1231,Keys!$A:$B,2,FALSE),_xlfn.IFNA(VLOOKUP($B1231,Keys!$D:$E,2,FALSE),VLOOKUP($B1231,Keys!$G:$H,2,FALSE)))</f>
        <v>0x0000001753F23D0C</v>
      </c>
      <c r="B1231" s="5" t="s">
        <v>598</v>
      </c>
      <c r="C1231" s="5" t="s">
        <v>410</v>
      </c>
      <c r="D1231" s="5" t="s">
        <v>16861</v>
      </c>
      <c r="E1231" s="5"/>
      <c r="F1231" s="5" t="s">
        <v>9054</v>
      </c>
      <c r="G1231" s="5" t="s">
        <v>8971</v>
      </c>
      <c r="H1231" s="1"/>
      <c r="I1231" s="1"/>
      <c r="J1231" s="2"/>
      <c r="K1231" s="5" t="s">
        <v>9066</v>
      </c>
      <c r="L1231" s="5" t="s">
        <v>11221</v>
      </c>
      <c r="M1231" s="20"/>
      <c r="N1231" s="5" t="s">
        <v>9056</v>
      </c>
      <c r="O1231" s="1"/>
      <c r="P1231" s="21" t="str">
        <f>IF(ISNUMBER(MATCH($C1231,StackableKinds,0)), TRUE, "")</f>
        <v/>
      </c>
      <c r="Q1231" s="7" t="b">
        <v>1</v>
      </c>
    </row>
    <row r="1232" spans="1:17" x14ac:dyDescent="0.2">
      <c r="A1232" s="19" t="str">
        <f>_xlfn.IFNA(VLOOKUP($B1232,Keys!$A:$B,2,FALSE),_xlfn.IFNA(VLOOKUP($B1232,Keys!$D:$E,2,FALSE),VLOOKUP($B1232,Keys!$G:$H,2,FALSE)))</f>
        <v>0x0000001391D5E25B</v>
      </c>
      <c r="B1232" s="5" t="s">
        <v>596</v>
      </c>
      <c r="C1232" s="5" t="s">
        <v>410</v>
      </c>
      <c r="D1232" s="5" t="s">
        <v>16860</v>
      </c>
      <c r="E1232" s="5"/>
      <c r="F1232" s="5" t="s">
        <v>9054</v>
      </c>
      <c r="G1232" s="5" t="s">
        <v>8971</v>
      </c>
      <c r="H1232" s="1"/>
      <c r="I1232" s="1"/>
      <c r="J1232" s="2"/>
      <c r="K1232" s="5" t="s">
        <v>9066</v>
      </c>
      <c r="L1232" s="5" t="s">
        <v>11220</v>
      </c>
      <c r="M1232" s="20"/>
      <c r="N1232" s="5" t="s">
        <v>9056</v>
      </c>
      <c r="O1232" s="1"/>
      <c r="P1232" s="21" t="str">
        <f>IF(ISNUMBER(MATCH($C1232,StackableKinds,0)), TRUE, "")</f>
        <v/>
      </c>
      <c r="Q1232" s="7" t="b">
        <v>1</v>
      </c>
    </row>
    <row r="1233" spans="1:17" x14ac:dyDescent="0.2">
      <c r="A1233" s="19" t="str">
        <f>_xlfn.IFNA(VLOOKUP($B1233,Keys!$A:$B,2,FALSE),_xlfn.IFNA(VLOOKUP($B1233,Keys!$D:$E,2,FALSE),VLOOKUP($B1233,Keys!$G:$H,2,FALSE)))</f>
        <v>0x0000001301AA2A95</v>
      </c>
      <c r="B1233" s="5" t="s">
        <v>592</v>
      </c>
      <c r="C1233" s="5" t="s">
        <v>410</v>
      </c>
      <c r="D1233" s="5" t="s">
        <v>16859</v>
      </c>
      <c r="E1233" s="5"/>
      <c r="F1233" s="5" t="s">
        <v>9054</v>
      </c>
      <c r="G1233" s="5" t="s">
        <v>8971</v>
      </c>
      <c r="H1233" s="1"/>
      <c r="I1233" s="1"/>
      <c r="J1233" s="2"/>
      <c r="K1233" s="5" t="s">
        <v>9066</v>
      </c>
      <c r="L1233" s="5" t="s">
        <v>11218</v>
      </c>
      <c r="M1233" s="20"/>
      <c r="N1233" s="5" t="s">
        <v>9056</v>
      </c>
      <c r="O1233" s="1"/>
      <c r="P1233" s="21" t="str">
        <f>IF(ISNUMBER(MATCH($C1233,StackableKinds,0)), TRUE, "")</f>
        <v/>
      </c>
      <c r="Q1233" s="7" t="b">
        <v>1</v>
      </c>
    </row>
    <row r="1234" spans="1:17" x14ac:dyDescent="0.2">
      <c r="A1234" s="19" t="str">
        <f>_xlfn.IFNA(VLOOKUP($B1234,Keys!$A:$B,2,FALSE),_xlfn.IFNA(VLOOKUP($B1234,Keys!$D:$E,2,FALSE),VLOOKUP($B1234,Keys!$G:$H,2,FALSE)))</f>
        <v>0x000000182CA23207</v>
      </c>
      <c r="B1234" s="5" t="s">
        <v>594</v>
      </c>
      <c r="C1234" s="5" t="s">
        <v>410</v>
      </c>
      <c r="D1234" s="5" t="s">
        <v>16858</v>
      </c>
      <c r="E1234" s="5"/>
      <c r="F1234" s="5" t="s">
        <v>9054</v>
      </c>
      <c r="G1234" s="5" t="s">
        <v>8971</v>
      </c>
      <c r="H1234" s="1"/>
      <c r="I1234" s="1"/>
      <c r="J1234" s="2"/>
      <c r="K1234" s="5" t="s">
        <v>9066</v>
      </c>
      <c r="L1234" s="5" t="s">
        <v>11219</v>
      </c>
      <c r="M1234" s="20"/>
      <c r="N1234" s="5" t="s">
        <v>9056</v>
      </c>
      <c r="O1234" s="1"/>
      <c r="P1234" s="21" t="str">
        <f>IF(ISNUMBER(MATCH($C1234,StackableKinds,0)), TRUE, "")</f>
        <v/>
      </c>
      <c r="Q1234" s="7" t="b">
        <v>1</v>
      </c>
    </row>
    <row r="1235" spans="1:17" x14ac:dyDescent="0.2">
      <c r="A1235" s="19" t="str">
        <f>_xlfn.IFNA(VLOOKUP($B1235,Keys!$A:$B,2,FALSE),_xlfn.IFNA(VLOOKUP($B1235,Keys!$D:$E,2,FALSE),VLOOKUP($B1235,Keys!$G:$H,2,FALSE)))</f>
        <v>0x0000001DB6E0EA3A</v>
      </c>
      <c r="B1235" s="5" t="s">
        <v>2924</v>
      </c>
      <c r="C1235" s="5" t="s">
        <v>410</v>
      </c>
      <c r="D1235" s="5" t="s">
        <v>16859</v>
      </c>
      <c r="E1235" s="5"/>
      <c r="F1235" s="5" t="s">
        <v>8991</v>
      </c>
      <c r="G1235" s="5" t="s">
        <v>8971</v>
      </c>
      <c r="H1235" s="1"/>
      <c r="I1235" s="1"/>
      <c r="J1235" s="2"/>
      <c r="K1235" s="5" t="s">
        <v>9950</v>
      </c>
      <c r="L1235" s="19" t="s">
        <v>10978</v>
      </c>
      <c r="M1235" s="20"/>
      <c r="N1235" s="5" t="s">
        <v>8994</v>
      </c>
      <c r="O1235" s="1"/>
      <c r="P1235" s="21" t="str">
        <f>IF(ISNUMBER(MATCH($C1235,StackableKinds,0)), TRUE, "")</f>
        <v/>
      </c>
      <c r="Q1235" s="7" t="b">
        <v>1</v>
      </c>
    </row>
    <row r="1236" spans="1:17" x14ac:dyDescent="0.2">
      <c r="A1236" s="19" t="str">
        <f>_xlfn.IFNA(VLOOKUP($B1236,Keys!$A:$B,2,FALSE),_xlfn.IFNA(VLOOKUP($B1236,Keys!$D:$E,2,FALSE),VLOOKUP($B1236,Keys!$G:$H,2,FALSE)))</f>
        <v>0x000000227E11E42F</v>
      </c>
      <c r="B1236" s="5" t="s">
        <v>2926</v>
      </c>
      <c r="C1236" s="5" t="s">
        <v>410</v>
      </c>
      <c r="D1236" s="5" t="s">
        <v>16858</v>
      </c>
      <c r="E1236" s="5"/>
      <c r="F1236" s="5" t="s">
        <v>8991</v>
      </c>
      <c r="G1236" s="5" t="s">
        <v>8971</v>
      </c>
      <c r="H1236" s="1"/>
      <c r="I1236" s="1"/>
      <c r="J1236" s="2"/>
      <c r="K1236" s="5" t="s">
        <v>9950</v>
      </c>
      <c r="L1236" s="19" t="s">
        <v>10979</v>
      </c>
      <c r="M1236" s="20"/>
      <c r="N1236" s="5" t="s">
        <v>8994</v>
      </c>
      <c r="O1236" s="1"/>
      <c r="P1236" s="21" t="str">
        <f>IF(ISNUMBER(MATCH($C1236,StackableKinds,0)), TRUE, "")</f>
        <v/>
      </c>
      <c r="Q1236" s="7" t="b">
        <v>1</v>
      </c>
    </row>
    <row r="1237" spans="1:17" x14ac:dyDescent="0.2">
      <c r="A1237" s="19" t="str">
        <f>_xlfn.IFNA(VLOOKUP($B1237,Keys!$A:$B,2,FALSE),_xlfn.IFNA(VLOOKUP($B1237,Keys!$D:$E,2,FALSE),VLOOKUP($B1237,Keys!$G:$H,2,FALSE)))</f>
        <v>0x0000001E697BA0C6</v>
      </c>
      <c r="B1237" s="5" t="s">
        <v>4849</v>
      </c>
      <c r="C1237" s="5" t="s">
        <v>410</v>
      </c>
      <c r="D1237" s="5" t="s">
        <v>16862</v>
      </c>
      <c r="E1237" s="5"/>
      <c r="F1237" s="5" t="s">
        <v>9328</v>
      </c>
      <c r="G1237" s="5" t="s">
        <v>8971</v>
      </c>
      <c r="H1237" s="1"/>
      <c r="I1237" s="1"/>
      <c r="J1237" s="2"/>
      <c r="K1237" s="5" t="s">
        <v>10283</v>
      </c>
      <c r="L1237" s="19" t="s">
        <v>11268</v>
      </c>
      <c r="M1237" s="20"/>
      <c r="N1237" s="5" t="s">
        <v>9331</v>
      </c>
      <c r="O1237" s="1"/>
      <c r="P1237" s="21" t="str">
        <f>IF(ISNUMBER(MATCH($C1237,StackableKinds,0)), TRUE, "")</f>
        <v/>
      </c>
      <c r="Q1237" s="7" t="b">
        <v>1</v>
      </c>
    </row>
    <row r="1238" spans="1:17" x14ac:dyDescent="0.2">
      <c r="A1238" s="19" t="str">
        <f>_xlfn.IFNA(VLOOKUP($B1238,Keys!$A:$B,2,FALSE),_xlfn.IFNA(VLOOKUP($B1238,Keys!$D:$E,2,FALSE),VLOOKUP($B1238,Keys!$G:$H,2,FALSE)))</f>
        <v>0x00000020B6E6E449</v>
      </c>
      <c r="B1238" s="5" t="s">
        <v>4855</v>
      </c>
      <c r="C1238" s="5" t="s">
        <v>410</v>
      </c>
      <c r="D1238" s="5" t="s">
        <v>16861</v>
      </c>
      <c r="E1238" s="5"/>
      <c r="F1238" s="5" t="s">
        <v>9328</v>
      </c>
      <c r="G1238" s="5" t="s">
        <v>8971</v>
      </c>
      <c r="H1238" s="1"/>
      <c r="I1238" s="1"/>
      <c r="J1238" s="2"/>
      <c r="K1238" s="5" t="s">
        <v>10283</v>
      </c>
      <c r="L1238" s="19" t="s">
        <v>11271</v>
      </c>
      <c r="M1238" s="20"/>
      <c r="N1238" s="5" t="s">
        <v>9331</v>
      </c>
      <c r="O1238" s="1"/>
      <c r="P1238" s="21" t="str">
        <f>IF(ISNUMBER(MATCH($C1238,StackableKinds,0)), TRUE, "")</f>
        <v/>
      </c>
      <c r="Q1238" s="7" t="b">
        <v>1</v>
      </c>
    </row>
    <row r="1239" spans="1:17" x14ac:dyDescent="0.2">
      <c r="A1239" s="19" t="str">
        <f>_xlfn.IFNA(VLOOKUP($B1239,Keys!$A:$B,2,FALSE),_xlfn.IFNA(VLOOKUP($B1239,Keys!$D:$E,2,FALSE),VLOOKUP($B1239,Keys!$G:$H,2,FALSE)))</f>
        <v>0x0000001CB1807D1D</v>
      </c>
      <c r="B1239" s="5" t="s">
        <v>4851</v>
      </c>
      <c r="C1239" s="5" t="s">
        <v>410</v>
      </c>
      <c r="D1239" s="5" t="s">
        <v>16859</v>
      </c>
      <c r="E1239" s="5"/>
      <c r="F1239" s="5" t="s">
        <v>9328</v>
      </c>
      <c r="G1239" s="5" t="s">
        <v>8971</v>
      </c>
      <c r="H1239" s="1"/>
      <c r="I1239" s="1"/>
      <c r="J1239" s="2"/>
      <c r="K1239" s="5" t="s">
        <v>10283</v>
      </c>
      <c r="L1239" s="19" t="s">
        <v>11269</v>
      </c>
      <c r="M1239" s="20"/>
      <c r="N1239" s="5" t="s">
        <v>9331</v>
      </c>
      <c r="O1239" s="1"/>
      <c r="P1239" s="21" t="str">
        <f>IF(ISNUMBER(MATCH($C1239,StackableKinds,0)), TRUE, "")</f>
        <v/>
      </c>
      <c r="Q1239" s="7" t="b">
        <v>1</v>
      </c>
    </row>
    <row r="1240" spans="1:17" x14ac:dyDescent="0.2">
      <c r="A1240" s="19" t="str">
        <f>_xlfn.IFNA(VLOOKUP($B1240,Keys!$A:$B,2,FALSE),_xlfn.IFNA(VLOOKUP($B1240,Keys!$D:$E,2,FALSE),VLOOKUP($B1240,Keys!$G:$H,2,FALSE)))</f>
        <v>0x000000212AF193C1</v>
      </c>
      <c r="B1240" s="5" t="s">
        <v>4853</v>
      </c>
      <c r="C1240" s="5" t="s">
        <v>410</v>
      </c>
      <c r="D1240" s="5" t="s">
        <v>16858</v>
      </c>
      <c r="E1240" s="5"/>
      <c r="F1240" s="5" t="s">
        <v>9328</v>
      </c>
      <c r="G1240" s="5" t="s">
        <v>8971</v>
      </c>
      <c r="H1240" s="1"/>
      <c r="I1240" s="1"/>
      <c r="J1240" s="2"/>
      <c r="K1240" s="5" t="s">
        <v>10283</v>
      </c>
      <c r="L1240" s="19" t="s">
        <v>11270</v>
      </c>
      <c r="M1240" s="20"/>
      <c r="N1240" s="5" t="s">
        <v>9331</v>
      </c>
      <c r="O1240" s="1"/>
      <c r="P1240" s="21" t="str">
        <f>IF(ISNUMBER(MATCH($C1240,StackableKinds,0)), TRUE, "")</f>
        <v/>
      </c>
      <c r="Q1240" s="7" t="b">
        <v>1</v>
      </c>
    </row>
    <row r="1241" spans="1:17" x14ac:dyDescent="0.2">
      <c r="A1241" s="19" t="str">
        <f>_xlfn.IFNA(VLOOKUP($B1241,Keys!$A:$B,2,FALSE),_xlfn.IFNA(VLOOKUP($B1241,Keys!$D:$E,2,FALSE),VLOOKUP($B1241,Keys!$G:$H,2,FALSE)))</f>
        <v>0x0000001916182F44</v>
      </c>
      <c r="B1241" s="5" t="s">
        <v>1206</v>
      </c>
      <c r="C1241" s="5" t="s">
        <v>410</v>
      </c>
      <c r="D1241" s="5" t="s">
        <v>16861</v>
      </c>
      <c r="E1241" s="5"/>
      <c r="F1241" s="5" t="s">
        <v>9297</v>
      </c>
      <c r="G1241" s="5" t="s">
        <v>8971</v>
      </c>
      <c r="H1241" s="1"/>
      <c r="I1241" s="1"/>
      <c r="J1241" s="2"/>
      <c r="K1241" s="5" t="s">
        <v>9301</v>
      </c>
      <c r="L1241" s="5" t="s">
        <v>11232</v>
      </c>
      <c r="M1241" s="20"/>
      <c r="N1241" s="5" t="s">
        <v>9299</v>
      </c>
      <c r="O1241" s="1"/>
      <c r="P1241" s="21" t="str">
        <f>IF(ISNUMBER(MATCH($C1241,StackableKinds,0)), TRUE, "")</f>
        <v/>
      </c>
      <c r="Q1241" s="7" t="b">
        <v>1</v>
      </c>
    </row>
    <row r="1242" spans="1:17" x14ac:dyDescent="0.2">
      <c r="A1242" s="19" t="str">
        <f>_xlfn.IFNA(VLOOKUP($B1242,Keys!$A:$B,2,FALSE),_xlfn.IFNA(VLOOKUP($B1242,Keys!$D:$E,2,FALSE),VLOOKUP($B1242,Keys!$G:$H,2,FALSE)))</f>
        <v>0x000000150EE2DDF0</v>
      </c>
      <c r="B1242" s="5" t="s">
        <v>1204</v>
      </c>
      <c r="C1242" s="5" t="s">
        <v>410</v>
      </c>
      <c r="D1242" s="5" t="s">
        <v>16860</v>
      </c>
      <c r="E1242" s="5"/>
      <c r="F1242" s="5" t="s">
        <v>9297</v>
      </c>
      <c r="G1242" s="5" t="s">
        <v>8971</v>
      </c>
      <c r="H1242" s="1"/>
      <c r="I1242" s="1"/>
      <c r="J1242" s="2"/>
      <c r="K1242" s="5" t="s">
        <v>9301</v>
      </c>
      <c r="L1242" s="5" t="s">
        <v>11231</v>
      </c>
      <c r="M1242" s="20"/>
      <c r="N1242" s="5" t="s">
        <v>9299</v>
      </c>
      <c r="O1242" s="1"/>
      <c r="P1242" s="21" t="str">
        <f>IF(ISNUMBER(MATCH($C1242,StackableKinds,0)), TRUE, "")</f>
        <v/>
      </c>
      <c r="Q1242" s="7" t="b">
        <v>1</v>
      </c>
    </row>
    <row r="1243" spans="1:17" x14ac:dyDescent="0.2">
      <c r="A1243" s="19" t="str">
        <f>_xlfn.IFNA(VLOOKUP($B1243,Keys!$A:$B,2,FALSE),_xlfn.IFNA(VLOOKUP($B1243,Keys!$D:$E,2,FALSE),VLOOKUP($B1243,Keys!$G:$H,2,FALSE)))</f>
        <v>0x000000159E9D153E</v>
      </c>
      <c r="B1243" s="5" t="s">
        <v>1202</v>
      </c>
      <c r="C1243" s="5" t="s">
        <v>410</v>
      </c>
      <c r="D1243" s="5" t="s">
        <v>16859</v>
      </c>
      <c r="E1243" s="5"/>
      <c r="F1243" s="5" t="s">
        <v>9297</v>
      </c>
      <c r="G1243" s="5" t="s">
        <v>8971</v>
      </c>
      <c r="H1243" s="1"/>
      <c r="I1243" s="1"/>
      <c r="J1243" s="2"/>
      <c r="K1243" s="5" t="s">
        <v>9301</v>
      </c>
      <c r="L1243" s="5" t="s">
        <v>11230</v>
      </c>
      <c r="M1243" s="20"/>
      <c r="N1243" s="5" t="s">
        <v>9299</v>
      </c>
      <c r="O1243" s="1"/>
      <c r="P1243" s="21" t="str">
        <f>IF(ISNUMBER(MATCH($C1243,StackableKinds,0)), TRUE, "")</f>
        <v/>
      </c>
      <c r="Q1243" s="7" t="b">
        <v>1</v>
      </c>
    </row>
    <row r="1244" spans="1:17" x14ac:dyDescent="0.2">
      <c r="A1244" s="19" t="str">
        <f>_xlfn.IFNA(VLOOKUP($B1244,Keys!$A:$B,2,FALSE),_xlfn.IFNA(VLOOKUP($B1244,Keys!$D:$E,2,FALSE),VLOOKUP($B1244,Keys!$G:$H,2,FALSE)))</f>
        <v>0x000000137FFA80E1</v>
      </c>
      <c r="B1244" s="5" t="s">
        <v>5527</v>
      </c>
      <c r="C1244" s="5" t="s">
        <v>410</v>
      </c>
      <c r="D1244" s="5" t="s">
        <v>16860</v>
      </c>
      <c r="E1244" s="5"/>
      <c r="F1244" s="5" t="s">
        <v>9328</v>
      </c>
      <c r="G1244" s="1"/>
      <c r="H1244" s="1"/>
      <c r="I1244" s="1"/>
      <c r="J1244" s="2"/>
      <c r="K1244" s="5" t="s">
        <v>10462</v>
      </c>
      <c r="L1244" s="19" t="s">
        <v>11110</v>
      </c>
      <c r="M1244" s="20"/>
      <c r="N1244" s="5" t="s">
        <v>9331</v>
      </c>
      <c r="O1244" s="1"/>
      <c r="P1244" s="21" t="str">
        <f>IF(ISNUMBER(MATCH($C1244,StackableKinds,0)), TRUE, "")</f>
        <v/>
      </c>
      <c r="Q1244" s="7" t="b">
        <v>1</v>
      </c>
    </row>
    <row r="1245" spans="1:17" x14ac:dyDescent="0.2">
      <c r="A1245" s="19" t="str">
        <f>_xlfn.IFNA(VLOOKUP($B1245,Keys!$A:$B,2,FALSE),_xlfn.IFNA(VLOOKUP($B1245,Keys!$D:$E,2,FALSE),VLOOKUP($B1245,Keys!$G:$H,2,FALSE)))</f>
        <v>0x000000167BDFF0E5</v>
      </c>
      <c r="B1245" s="5" t="s">
        <v>4923</v>
      </c>
      <c r="C1245" s="5" t="s">
        <v>410</v>
      </c>
      <c r="D1245" s="5" t="s">
        <v>16861</v>
      </c>
      <c r="E1245" s="5"/>
      <c r="F1245" s="5" t="s">
        <v>8995</v>
      </c>
      <c r="G1245" s="5" t="s">
        <v>8755</v>
      </c>
      <c r="H1245" s="1"/>
      <c r="I1245" s="1"/>
      <c r="J1245" s="2"/>
      <c r="K1245" s="5" t="s">
        <v>10292</v>
      </c>
      <c r="L1245" s="19" t="s">
        <v>11053</v>
      </c>
      <c r="M1245" s="20"/>
      <c r="N1245" s="5" t="s">
        <v>9961</v>
      </c>
      <c r="O1245" s="5" t="s">
        <v>10289</v>
      </c>
      <c r="P1245" s="21" t="str">
        <f>IF(ISNUMBER(MATCH($C1245,StackableKinds,0)), TRUE, "")</f>
        <v/>
      </c>
      <c r="Q1245" s="7" t="b">
        <v>1</v>
      </c>
    </row>
    <row r="1246" spans="1:17" x14ac:dyDescent="0.2">
      <c r="A1246" s="19" t="str">
        <f>_xlfn.IFNA(VLOOKUP($B1246,Keys!$A:$B,2,FALSE),_xlfn.IFNA(VLOOKUP($B1246,Keys!$D:$E,2,FALSE),VLOOKUP($B1246,Keys!$G:$H,2,FALSE)))</f>
        <v>0x00000016E2D6A15F</v>
      </c>
      <c r="B1246" s="5" t="s">
        <v>4925</v>
      </c>
      <c r="C1246" s="5" t="s">
        <v>410</v>
      </c>
      <c r="D1246" s="5" t="s">
        <v>16860</v>
      </c>
      <c r="E1246" s="5"/>
      <c r="F1246" s="5" t="s">
        <v>8995</v>
      </c>
      <c r="G1246" s="5" t="s">
        <v>8755</v>
      </c>
      <c r="H1246" s="1"/>
      <c r="I1246" s="1"/>
      <c r="J1246" s="2"/>
      <c r="K1246" s="5" t="s">
        <v>10293</v>
      </c>
      <c r="L1246" s="19" t="s">
        <v>11054</v>
      </c>
      <c r="M1246" s="20"/>
      <c r="N1246" s="5" t="s">
        <v>9961</v>
      </c>
      <c r="O1246" s="5" t="s">
        <v>10289</v>
      </c>
      <c r="P1246" s="21" t="str">
        <f>IF(ISNUMBER(MATCH($C1246,StackableKinds,0)), TRUE, "")</f>
        <v/>
      </c>
      <c r="Q1246" s="7" t="b">
        <v>1</v>
      </c>
    </row>
    <row r="1247" spans="1:17" x14ac:dyDescent="0.2">
      <c r="A1247" s="19" t="str">
        <f>_xlfn.IFNA(VLOOKUP($B1247,Keys!$A:$B,2,FALSE),_xlfn.IFNA(VLOOKUP($B1247,Keys!$D:$E,2,FALSE),VLOOKUP($B1247,Keys!$G:$H,2,FALSE)))</f>
        <v>0x0000001695D191C9</v>
      </c>
      <c r="B1247" s="5" t="s">
        <v>4927</v>
      </c>
      <c r="C1247" s="5" t="s">
        <v>410</v>
      </c>
      <c r="D1247" s="5" t="s">
        <v>16859</v>
      </c>
      <c r="E1247" s="5"/>
      <c r="F1247" s="5" t="s">
        <v>8995</v>
      </c>
      <c r="G1247" s="5" t="s">
        <v>8755</v>
      </c>
      <c r="H1247" s="1"/>
      <c r="I1247" s="1"/>
      <c r="J1247" s="2"/>
      <c r="K1247" s="5" t="s">
        <v>10294</v>
      </c>
      <c r="L1247" s="19" t="s">
        <v>11055</v>
      </c>
      <c r="M1247" s="20"/>
      <c r="N1247" s="5" t="s">
        <v>9961</v>
      </c>
      <c r="O1247" s="5" t="s">
        <v>10289</v>
      </c>
      <c r="P1247" s="21" t="str">
        <f>IF(ISNUMBER(MATCH($C1247,StackableKinds,0)), TRUE, "")</f>
        <v/>
      </c>
      <c r="Q1247" s="7" t="b">
        <v>1</v>
      </c>
    </row>
    <row r="1248" spans="1:17" x14ac:dyDescent="0.2">
      <c r="A1248" s="19" t="str">
        <f>_xlfn.IFNA(VLOOKUP($B1248,Keys!$A:$B,2,FALSE),_xlfn.IFNA(VLOOKUP($B1248,Keys!$D:$E,2,FALSE),VLOOKUP($B1248,Keys!$G:$H,2,FALSE)))</f>
        <v>0x000000160BB5046A</v>
      </c>
      <c r="B1248" s="5" t="s">
        <v>4929</v>
      </c>
      <c r="C1248" s="5" t="s">
        <v>410</v>
      </c>
      <c r="D1248" s="5" t="s">
        <v>16858</v>
      </c>
      <c r="E1248" s="5"/>
      <c r="F1248" s="5" t="s">
        <v>8995</v>
      </c>
      <c r="G1248" s="5" t="s">
        <v>8755</v>
      </c>
      <c r="H1248" s="1"/>
      <c r="I1248" s="1"/>
      <c r="J1248" s="2"/>
      <c r="K1248" s="5" t="s">
        <v>10295</v>
      </c>
      <c r="L1248" s="19" t="s">
        <v>11056</v>
      </c>
      <c r="M1248" s="20"/>
      <c r="N1248" s="5" t="s">
        <v>9961</v>
      </c>
      <c r="O1248" s="5" t="s">
        <v>10289</v>
      </c>
      <c r="P1248" s="21" t="str">
        <f>IF(ISNUMBER(MATCH($C1248,StackableKinds,0)), TRUE, "")</f>
        <v/>
      </c>
      <c r="Q1248" s="7" t="b">
        <v>1</v>
      </c>
    </row>
    <row r="1249" spans="1:17" x14ac:dyDescent="0.2">
      <c r="A1249" s="19" t="str">
        <f>_xlfn.IFNA(VLOOKUP($B1249,Keys!$A:$B,2,FALSE),_xlfn.IFNA(VLOOKUP($B1249,Keys!$D:$E,2,FALSE),VLOOKUP($B1249,Keys!$G:$H,2,FALSE)))</f>
        <v>0x0000001ECB6246F5</v>
      </c>
      <c r="B1249" s="5" t="s">
        <v>744</v>
      </c>
      <c r="C1249" s="5" t="s">
        <v>410</v>
      </c>
      <c r="D1249" s="5" t="s">
        <v>16860</v>
      </c>
      <c r="E1249" s="5"/>
      <c r="F1249" s="5" t="s">
        <v>8991</v>
      </c>
      <c r="G1249" s="5" t="s">
        <v>8971</v>
      </c>
      <c r="H1249" s="1"/>
      <c r="I1249" s="1"/>
      <c r="J1249" s="2"/>
      <c r="K1249" s="5" t="s">
        <v>9140</v>
      </c>
      <c r="L1249" s="5" t="s">
        <v>11224</v>
      </c>
      <c r="M1249" s="20"/>
      <c r="N1249" s="5" t="s">
        <v>8994</v>
      </c>
      <c r="O1249" s="1"/>
      <c r="P1249" s="21" t="str">
        <f>IF(ISNUMBER(MATCH($C1249,StackableKinds,0)), TRUE, "")</f>
        <v/>
      </c>
      <c r="Q1249" s="7" t="b">
        <v>1</v>
      </c>
    </row>
    <row r="1250" spans="1:17" x14ac:dyDescent="0.2">
      <c r="A1250" s="19" t="str">
        <f>_xlfn.IFNA(VLOOKUP($B1250,Keys!$A:$B,2,FALSE),_xlfn.IFNA(VLOOKUP($B1250,Keys!$D:$E,2,FALSE),VLOOKUP($B1250,Keys!$G:$H,2,FALSE)))</f>
        <v>0x0000001E5B1D8E3B</v>
      </c>
      <c r="B1250" s="5" t="s">
        <v>740</v>
      </c>
      <c r="C1250" s="5" t="s">
        <v>410</v>
      </c>
      <c r="D1250" s="5" t="s">
        <v>16859</v>
      </c>
      <c r="E1250" s="5"/>
      <c r="F1250" s="5" t="s">
        <v>8991</v>
      </c>
      <c r="G1250" s="5" t="s">
        <v>8971</v>
      </c>
      <c r="H1250" s="1"/>
      <c r="I1250" s="1"/>
      <c r="J1250" s="2"/>
      <c r="K1250" s="5" t="s">
        <v>9140</v>
      </c>
      <c r="L1250" s="5" t="s">
        <v>11222</v>
      </c>
      <c r="M1250" s="20"/>
      <c r="N1250" s="5" t="s">
        <v>8994</v>
      </c>
      <c r="O1250" s="1"/>
      <c r="P1250" s="21" t="str">
        <f>IF(ISNUMBER(MATCH($C1250,StackableKinds,0)), TRUE, "")</f>
        <v/>
      </c>
      <c r="Q1250" s="7" t="b">
        <v>1</v>
      </c>
    </row>
    <row r="1251" spans="1:17" x14ac:dyDescent="0.2">
      <c r="A1251" s="19" t="str">
        <f>_xlfn.IFNA(VLOOKUP($B1251,Keys!$A:$B,2,FALSE),_xlfn.IFNA(VLOOKUP($B1251,Keys!$D:$E,2,FALSE),VLOOKUP($B1251,Keys!$G:$H,2,FALSE)))</f>
        <v>0x00000023A1F9C0E9</v>
      </c>
      <c r="B1251" s="5" t="s">
        <v>742</v>
      </c>
      <c r="C1251" s="5" t="s">
        <v>410</v>
      </c>
      <c r="D1251" s="5" t="s">
        <v>16858</v>
      </c>
      <c r="E1251" s="5"/>
      <c r="F1251" s="5" t="s">
        <v>8991</v>
      </c>
      <c r="G1251" s="5" t="s">
        <v>8971</v>
      </c>
      <c r="H1251" s="1"/>
      <c r="I1251" s="1"/>
      <c r="J1251" s="2"/>
      <c r="K1251" s="5" t="s">
        <v>9140</v>
      </c>
      <c r="L1251" s="5" t="s">
        <v>11223</v>
      </c>
      <c r="M1251" s="20"/>
      <c r="N1251" s="5" t="s">
        <v>8994</v>
      </c>
      <c r="O1251" s="1"/>
      <c r="P1251" s="21" t="str">
        <f>IF(ISNUMBER(MATCH($C1251,StackableKinds,0)), TRUE, "")</f>
        <v/>
      </c>
      <c r="Q1251" s="7" t="b">
        <v>1</v>
      </c>
    </row>
    <row r="1252" spans="1:17" x14ac:dyDescent="0.2">
      <c r="A1252" s="19" t="str">
        <f>_xlfn.IFNA(VLOOKUP($B1252,Keys!$A:$B,2,FALSE),_xlfn.IFNA(VLOOKUP($B1252,Keys!$D:$E,2,FALSE),VLOOKUP($B1252,Keys!$G:$H,2,FALSE)))</f>
        <v>0x0000001CF0F0E531</v>
      </c>
      <c r="B1252" s="5" t="s">
        <v>1218</v>
      </c>
      <c r="C1252" s="5" t="s">
        <v>410</v>
      </c>
      <c r="D1252" s="5" t="s">
        <v>16860</v>
      </c>
      <c r="E1252" s="5"/>
      <c r="F1252" s="5" t="s">
        <v>9054</v>
      </c>
      <c r="G1252" s="5" t="s">
        <v>8971</v>
      </c>
      <c r="H1252" s="1"/>
      <c r="I1252" s="1"/>
      <c r="J1252" s="2"/>
      <c r="K1252" s="5" t="s">
        <v>9306</v>
      </c>
      <c r="L1252" s="5" t="s">
        <v>9309</v>
      </c>
      <c r="M1252" s="20"/>
      <c r="N1252" s="5" t="s">
        <v>9056</v>
      </c>
      <c r="O1252" s="1"/>
      <c r="P1252" s="21" t="str">
        <f>IF(ISNUMBER(MATCH($C1252,StackableKinds,0)), TRUE, "")</f>
        <v/>
      </c>
      <c r="Q1252" s="7" t="b">
        <v>1</v>
      </c>
    </row>
    <row r="1253" spans="1:17" x14ac:dyDescent="0.2">
      <c r="A1253" s="19" t="str">
        <f>_xlfn.IFNA(VLOOKUP($B1253,Keys!$A:$B,2,FALSE),_xlfn.IFNA(VLOOKUP($B1253,Keys!$D:$E,2,FALSE),VLOOKUP($B1253,Keys!$G:$H,2,FALSE)))</f>
        <v>0x0000001C608F2DFF</v>
      </c>
      <c r="B1253" s="5" t="s">
        <v>1214</v>
      </c>
      <c r="C1253" s="5" t="s">
        <v>410</v>
      </c>
      <c r="D1253" s="5" t="s">
        <v>16859</v>
      </c>
      <c r="E1253" s="5"/>
      <c r="F1253" s="5" t="s">
        <v>9054</v>
      </c>
      <c r="G1253" s="5" t="s">
        <v>8971</v>
      </c>
      <c r="H1253" s="1"/>
      <c r="I1253" s="1"/>
      <c r="J1253" s="2"/>
      <c r="K1253" s="5" t="s">
        <v>9306</v>
      </c>
      <c r="L1253" s="5" t="s">
        <v>9307</v>
      </c>
      <c r="M1253" s="20"/>
      <c r="N1253" s="5" t="s">
        <v>9056</v>
      </c>
      <c r="O1253" s="1"/>
      <c r="P1253" s="21" t="str">
        <f>IF(ISNUMBER(MATCH($C1253,StackableKinds,0)), TRUE, "")</f>
        <v/>
      </c>
      <c r="Q1253" s="7" t="b">
        <v>1</v>
      </c>
    </row>
    <row r="1254" spans="1:17" x14ac:dyDescent="0.2">
      <c r="A1254" s="19" t="str">
        <f>_xlfn.IFNA(VLOOKUP($B1254,Keys!$A:$B,2,FALSE),_xlfn.IFNA(VLOOKUP($B1254,Keys!$D:$E,2,FALSE),VLOOKUP($B1254,Keys!$G:$H,2,FALSE)))</f>
        <v>0x000000212097BBBF</v>
      </c>
      <c r="B1254" s="5" t="s">
        <v>1216</v>
      </c>
      <c r="C1254" s="5" t="s">
        <v>410</v>
      </c>
      <c r="D1254" s="5" t="s">
        <v>16858</v>
      </c>
      <c r="E1254" s="5"/>
      <c r="F1254" s="5" t="s">
        <v>9054</v>
      </c>
      <c r="G1254" s="5" t="s">
        <v>8971</v>
      </c>
      <c r="H1254" s="1"/>
      <c r="I1254" s="1"/>
      <c r="J1254" s="2"/>
      <c r="K1254" s="5" t="s">
        <v>9306</v>
      </c>
      <c r="L1254" s="5" t="s">
        <v>9308</v>
      </c>
      <c r="M1254" s="20"/>
      <c r="N1254" s="5" t="s">
        <v>9056</v>
      </c>
      <c r="O1254" s="1"/>
      <c r="P1254" s="21" t="str">
        <f>IF(ISNUMBER(MATCH($C1254,StackableKinds,0)), TRUE, "")</f>
        <v/>
      </c>
      <c r="Q1254" s="7" t="b">
        <v>1</v>
      </c>
    </row>
    <row r="1255" spans="1:17" x14ac:dyDescent="0.2">
      <c r="A1255" s="19" t="str">
        <f>_xlfn.IFNA(VLOOKUP($B1255,Keys!$A:$B,2,FALSE),_xlfn.IFNA(VLOOKUP($B1255,Keys!$D:$E,2,FALSE),VLOOKUP($B1255,Keys!$G:$H,2,FALSE)))</f>
        <v>0x000000131BF96086</v>
      </c>
      <c r="B1255" s="5" t="s">
        <v>1450</v>
      </c>
      <c r="C1255" s="5" t="s">
        <v>410</v>
      </c>
      <c r="D1255" s="5" t="s">
        <v>16860</v>
      </c>
      <c r="E1255" s="5"/>
      <c r="F1255" s="5" t="s">
        <v>9359</v>
      </c>
      <c r="G1255" s="5" t="s">
        <v>8971</v>
      </c>
      <c r="H1255" s="1"/>
      <c r="I1255" s="1"/>
      <c r="J1255" s="2"/>
      <c r="K1255" s="5" t="s">
        <v>9360</v>
      </c>
      <c r="L1255" s="19" t="s">
        <v>10867</v>
      </c>
      <c r="M1255" s="20"/>
      <c r="N1255" s="5" t="s">
        <v>9361</v>
      </c>
      <c r="O1255" s="1"/>
      <c r="P1255" s="21" t="str">
        <f>IF(ISNUMBER(MATCH($C1255,StackableKinds,0)), TRUE, "")</f>
        <v/>
      </c>
      <c r="Q1255" s="7" t="b">
        <v>1</v>
      </c>
    </row>
    <row r="1256" spans="1:17" x14ac:dyDescent="0.2">
      <c r="A1256" s="19" t="str">
        <f>_xlfn.IFNA(VLOOKUP($B1256,Keys!$A:$B,2,FALSE),_xlfn.IFNA(VLOOKUP($B1256,Keys!$D:$E,2,FALSE),VLOOKUP($B1256,Keys!$G:$H,2,FALSE)))</f>
        <v>0x0000001B72037888</v>
      </c>
      <c r="B1256" s="5" t="s">
        <v>4845</v>
      </c>
      <c r="C1256" s="5" t="s">
        <v>410</v>
      </c>
      <c r="D1256" s="5" t="s">
        <v>16860</v>
      </c>
      <c r="E1256" s="5"/>
      <c r="F1256" s="5" t="s">
        <v>9070</v>
      </c>
      <c r="G1256" s="5" t="s">
        <v>8971</v>
      </c>
      <c r="H1256" s="1"/>
      <c r="I1256" s="1"/>
      <c r="J1256" s="2"/>
      <c r="K1256" s="5" t="s">
        <v>10282</v>
      </c>
      <c r="L1256" s="19" t="s">
        <v>11132</v>
      </c>
      <c r="M1256" s="20"/>
      <c r="N1256" s="5" t="s">
        <v>9072</v>
      </c>
      <c r="O1256" s="1"/>
      <c r="P1256" s="21" t="str">
        <f>IF(ISNUMBER(MATCH($C1256,StackableKinds,0)), TRUE, "")</f>
        <v/>
      </c>
      <c r="Q1256" s="7" t="b">
        <v>1</v>
      </c>
    </row>
    <row r="1257" spans="1:17" x14ac:dyDescent="0.2">
      <c r="A1257" s="19" t="str">
        <f>_xlfn.IFNA(VLOOKUP($B1257,Keys!$A:$B,2,FALSE),_xlfn.IFNA(VLOOKUP($B1257,Keys!$D:$E,2,FALSE),VLOOKUP($B1257,Keys!$G:$H,2,FALSE)))</f>
        <v>0x0000001BE27CB046</v>
      </c>
      <c r="B1257" s="5" t="s">
        <v>4843</v>
      </c>
      <c r="C1257" s="5" t="s">
        <v>410</v>
      </c>
      <c r="D1257" s="5" t="s">
        <v>16859</v>
      </c>
      <c r="E1257" s="5"/>
      <c r="F1257" s="5" t="s">
        <v>9070</v>
      </c>
      <c r="G1257" s="5" t="s">
        <v>8971</v>
      </c>
      <c r="H1257" s="1"/>
      <c r="I1257" s="1"/>
      <c r="J1257" s="2"/>
      <c r="K1257" s="5" t="s">
        <v>10282</v>
      </c>
      <c r="L1257" s="19" t="s">
        <v>11133</v>
      </c>
      <c r="M1257" s="20"/>
      <c r="N1257" s="5" t="s">
        <v>9072</v>
      </c>
      <c r="O1257" s="1"/>
      <c r="P1257" s="21" t="str">
        <f>IF(ISNUMBER(MATCH($C1257,StackableKinds,0)), TRUE, "")</f>
        <v/>
      </c>
      <c r="Q1257" s="7" t="b">
        <v>1</v>
      </c>
    </row>
    <row r="1258" spans="1:17" x14ac:dyDescent="0.2">
      <c r="A1258" s="19" t="str">
        <f>_xlfn.IFNA(VLOOKUP($B1258,Keys!$A:$B,2,FALSE),_xlfn.IFNA(VLOOKUP($B1258,Keys!$D:$E,2,FALSE),VLOOKUP($B1258,Keys!$G:$H,2,FALSE)))</f>
        <v>0x000000176DB1FDED</v>
      </c>
      <c r="B1258" s="5" t="s">
        <v>1674</v>
      </c>
      <c r="C1258" s="5" t="s">
        <v>410</v>
      </c>
      <c r="D1258" s="5" t="s">
        <v>16862</v>
      </c>
      <c r="E1258" s="5"/>
      <c r="F1258" s="5" t="s">
        <v>8995</v>
      </c>
      <c r="G1258" s="5" t="s">
        <v>8996</v>
      </c>
      <c r="H1258" s="1"/>
      <c r="I1258" s="1"/>
      <c r="J1258" s="2"/>
      <c r="K1258" s="5" t="s">
        <v>9465</v>
      </c>
      <c r="L1258" s="19" t="s">
        <v>11125</v>
      </c>
      <c r="M1258" s="18"/>
      <c r="N1258" s="5" t="s">
        <v>9961</v>
      </c>
      <c r="O1258" s="5" t="s">
        <v>8999</v>
      </c>
      <c r="P1258" s="21" t="str">
        <f>IF(ISNUMBER(MATCH($C1258,StackableKinds,0)), TRUE, "")</f>
        <v/>
      </c>
      <c r="Q1258" s="7" t="b">
        <v>1</v>
      </c>
    </row>
    <row r="1259" spans="1:17" x14ac:dyDescent="0.2">
      <c r="A1259" s="19" t="str">
        <f>_xlfn.IFNA(VLOOKUP($B1259,Keys!$A:$B,2,FALSE),_xlfn.IFNA(VLOOKUP($B1259,Keys!$D:$E,2,FALSE),VLOOKUP($B1259,Keys!$G:$H,2,FALSE)))</f>
        <v>0x000000241226D096</v>
      </c>
      <c r="B1259" s="5" t="s">
        <v>1676</v>
      </c>
      <c r="C1259" s="5" t="s">
        <v>410</v>
      </c>
      <c r="D1259" s="5" t="s">
        <v>16858</v>
      </c>
      <c r="E1259" s="5"/>
      <c r="F1259" s="5" t="s">
        <v>8995</v>
      </c>
      <c r="G1259" s="5" t="s">
        <v>8996</v>
      </c>
      <c r="H1259" s="1"/>
      <c r="I1259" s="1"/>
      <c r="J1259" s="2"/>
      <c r="K1259" s="5" t="s">
        <v>9466</v>
      </c>
      <c r="L1259" s="19" t="s">
        <v>11138</v>
      </c>
      <c r="M1259" s="20"/>
      <c r="N1259" s="5" t="s">
        <v>9961</v>
      </c>
      <c r="O1259" s="5" t="s">
        <v>8999</v>
      </c>
      <c r="P1259" s="21" t="str">
        <f>IF(ISNUMBER(MATCH($C1259,StackableKinds,0)), TRUE, "")</f>
        <v/>
      </c>
      <c r="Q1259" s="7" t="b">
        <v>1</v>
      </c>
    </row>
    <row r="1260" spans="1:17" x14ac:dyDescent="0.2">
      <c r="A1260" s="19" t="str">
        <f>_xlfn.IFNA(VLOOKUP($B1260,Keys!$A:$B,2,FALSE),_xlfn.IFNA(VLOOKUP($B1260,Keys!$D:$E,2,FALSE),VLOOKUP($B1260,Keys!$G:$H,2,FALSE)))</f>
        <v>0x000000104D88D601</v>
      </c>
      <c r="B1260" s="5" t="s">
        <v>5239</v>
      </c>
      <c r="C1260" s="5" t="s">
        <v>410</v>
      </c>
      <c r="D1260" s="5" t="s">
        <v>16860</v>
      </c>
      <c r="E1260" s="5"/>
      <c r="F1260" s="5" t="s">
        <v>9884</v>
      </c>
      <c r="G1260" s="5" t="s">
        <v>8989</v>
      </c>
      <c r="H1260" s="1"/>
      <c r="I1260" s="1"/>
      <c r="J1260" s="2"/>
      <c r="K1260" s="5" t="s">
        <v>8989</v>
      </c>
      <c r="L1260" s="19" t="s">
        <v>11098</v>
      </c>
      <c r="M1260" s="20"/>
      <c r="N1260" s="5" t="s">
        <v>9885</v>
      </c>
      <c r="O1260" s="5" t="s">
        <v>10425</v>
      </c>
      <c r="P1260" s="21" t="str">
        <f>IF(ISNUMBER(MATCH($C1260,StackableKinds,0)), TRUE, "")</f>
        <v/>
      </c>
      <c r="Q1260" s="7" t="b">
        <v>1</v>
      </c>
    </row>
    <row r="1261" spans="1:17" x14ac:dyDescent="0.2">
      <c r="A1261" s="19" t="str">
        <f>_xlfn.IFNA(VLOOKUP($B1261,Keys!$A:$B,2,FALSE),_xlfn.IFNA(VLOOKUP($B1261,Keys!$D:$E,2,FALSE),VLOOKUP($B1261,Keys!$G:$H,2,FALSE)))</f>
        <v>0x000000147374FEC6</v>
      </c>
      <c r="B1261" s="5" t="s">
        <v>5243</v>
      </c>
      <c r="C1261" s="5" t="s">
        <v>410</v>
      </c>
      <c r="D1261" s="5" t="s">
        <v>16859</v>
      </c>
      <c r="E1261" s="5"/>
      <c r="F1261" s="5" t="s">
        <v>9884</v>
      </c>
      <c r="G1261" s="5" t="s">
        <v>8989</v>
      </c>
      <c r="H1261" s="1"/>
      <c r="I1261" s="1"/>
      <c r="J1261" s="2"/>
      <c r="K1261" s="5" t="s">
        <v>8989</v>
      </c>
      <c r="L1261" s="19" t="s">
        <v>11098</v>
      </c>
      <c r="M1261" s="20"/>
      <c r="N1261" s="5" t="s">
        <v>9885</v>
      </c>
      <c r="O1261" s="5" t="s">
        <v>10425</v>
      </c>
      <c r="P1261" s="21" t="str">
        <f>IF(ISNUMBER(MATCH($C1261,StackableKinds,0)), TRUE, "")</f>
        <v/>
      </c>
      <c r="Q1261" s="7" t="b">
        <v>1</v>
      </c>
    </row>
    <row r="1262" spans="1:17" x14ac:dyDescent="0.2">
      <c r="A1262" s="19" t="str">
        <f>_xlfn.IFNA(VLOOKUP($B1262,Keys!$A:$B,2,FALSE),_xlfn.IFNA(VLOOKUP($B1262,Keys!$D:$E,2,FALSE),VLOOKUP($B1262,Keys!$G:$H,2,FALSE)))</f>
        <v>0x000000196039AA9C</v>
      </c>
      <c r="B1262" s="5" t="s">
        <v>5247</v>
      </c>
      <c r="C1262" s="5" t="s">
        <v>410</v>
      </c>
      <c r="D1262" s="5" t="s">
        <v>16858</v>
      </c>
      <c r="E1262" s="5"/>
      <c r="F1262" s="5" t="s">
        <v>9884</v>
      </c>
      <c r="G1262" s="5" t="s">
        <v>8989</v>
      </c>
      <c r="H1262" s="1"/>
      <c r="I1262" s="1"/>
      <c r="J1262" s="2"/>
      <c r="K1262" s="5" t="s">
        <v>8989</v>
      </c>
      <c r="L1262" s="19" t="s">
        <v>11098</v>
      </c>
      <c r="M1262" s="20"/>
      <c r="N1262" s="5" t="s">
        <v>9885</v>
      </c>
      <c r="O1262" s="5" t="s">
        <v>10425</v>
      </c>
      <c r="P1262" s="21" t="str">
        <f>IF(ISNUMBER(MATCH($C1262,StackableKinds,0)), TRUE, "")</f>
        <v/>
      </c>
      <c r="Q1262" s="7" t="b">
        <v>1</v>
      </c>
    </row>
    <row r="1263" spans="1:17" x14ac:dyDescent="0.2">
      <c r="A1263" s="19" t="str">
        <f>_xlfn.IFNA(VLOOKUP($B1263,Keys!$A:$B,2,FALSE),_xlfn.IFNA(VLOOKUP($B1263,Keys!$D:$E,2,FALSE),VLOOKUP($B1263,Keys!$G:$H,2,FALSE)))</f>
        <v>0x00000016D3E61D7B</v>
      </c>
      <c r="B1263" s="5" t="s">
        <v>1946</v>
      </c>
      <c r="C1263" s="5" t="s">
        <v>410</v>
      </c>
      <c r="D1263" s="5" t="s">
        <v>16860</v>
      </c>
      <c r="E1263" s="5"/>
      <c r="F1263" s="5" t="s">
        <v>9359</v>
      </c>
      <c r="G1263" s="5" t="s">
        <v>8971</v>
      </c>
      <c r="H1263" s="1"/>
      <c r="I1263" s="1"/>
      <c r="J1263" s="2"/>
      <c r="K1263" s="5" t="s">
        <v>9582</v>
      </c>
      <c r="L1263" s="19" t="s">
        <v>10923</v>
      </c>
      <c r="M1263" s="20"/>
      <c r="N1263" s="5" t="s">
        <v>9361</v>
      </c>
      <c r="O1263" s="1"/>
      <c r="P1263" s="21" t="str">
        <f>IF(ISNUMBER(MATCH($C1263,StackableKinds,0)), TRUE, "")</f>
        <v/>
      </c>
      <c r="Q1263" s="7" t="b">
        <v>1</v>
      </c>
    </row>
    <row r="1264" spans="1:17" x14ac:dyDescent="0.2">
      <c r="A1264" s="19" t="str">
        <f>_xlfn.IFNA(VLOOKUP($B1264,Keys!$A:$B,2,FALSE),_xlfn.IFNA(VLOOKUP($B1264,Keys!$D:$E,2,FALSE),VLOOKUP($B1264,Keys!$G:$H,2,FALSE)))</f>
        <v>0x000000160528814F</v>
      </c>
      <c r="B1264" s="5" t="s">
        <v>1996</v>
      </c>
      <c r="C1264" s="5" t="s">
        <v>410</v>
      </c>
      <c r="D1264" s="5" t="s">
        <v>16862</v>
      </c>
      <c r="E1264" s="5"/>
      <c r="F1264" s="5" t="s">
        <v>8991</v>
      </c>
      <c r="G1264" s="5" t="s">
        <v>8971</v>
      </c>
      <c r="H1264" s="1"/>
      <c r="I1264" s="1"/>
      <c r="J1264" s="2"/>
      <c r="K1264" s="5" t="s">
        <v>9605</v>
      </c>
      <c r="L1264" s="19" t="s">
        <v>10924</v>
      </c>
      <c r="M1264" s="20"/>
      <c r="N1264" s="5" t="s">
        <v>8994</v>
      </c>
      <c r="O1264" s="1"/>
      <c r="P1264" s="21" t="str">
        <f>IF(ISNUMBER(MATCH($C1264,StackableKinds,0)), TRUE, "")</f>
        <v/>
      </c>
      <c r="Q1264" s="7" t="b">
        <v>1</v>
      </c>
    </row>
    <row r="1265" spans="1:17" x14ac:dyDescent="0.2">
      <c r="A1265" s="19" t="str">
        <f>_xlfn.IFNA(VLOOKUP($B1265,Keys!$A:$B,2,FALSE),_xlfn.IFNA(VLOOKUP($B1265,Keys!$D:$E,2,FALSE),VLOOKUP($B1265,Keys!$G:$H,2,FALSE)))</f>
        <v>0x0000001810CEBB46</v>
      </c>
      <c r="B1265" s="5" t="s">
        <v>2002</v>
      </c>
      <c r="C1265" s="5" t="s">
        <v>410</v>
      </c>
      <c r="D1265" s="5" t="s">
        <v>16861</v>
      </c>
      <c r="E1265" s="5"/>
      <c r="F1265" s="5" t="s">
        <v>8991</v>
      </c>
      <c r="G1265" s="5" t="s">
        <v>8971</v>
      </c>
      <c r="H1265" s="1"/>
      <c r="I1265" s="1"/>
      <c r="J1265" s="2"/>
      <c r="K1265" s="5" t="s">
        <v>9605</v>
      </c>
      <c r="L1265" s="19" t="s">
        <v>10927</v>
      </c>
      <c r="M1265" s="20"/>
      <c r="N1265" s="5" t="s">
        <v>8994</v>
      </c>
      <c r="O1265" s="1"/>
      <c r="P1265" s="21" t="str">
        <f>IF(ISNUMBER(MATCH($C1265,StackableKinds,0)), TRUE, "")</f>
        <v/>
      </c>
      <c r="Q1265" s="7" t="b">
        <v>1</v>
      </c>
    </row>
    <row r="1266" spans="1:17" x14ac:dyDescent="0.2">
      <c r="A1266" s="19" t="str">
        <f>_xlfn.IFNA(VLOOKUP($B1266,Keys!$A:$B,2,FALSE),_xlfn.IFNA(VLOOKUP($B1266,Keys!$D:$E,2,FALSE),VLOOKUP($B1266,Keys!$G:$H,2,FALSE)))</f>
        <v>0x0000001400C206AA</v>
      </c>
      <c r="B1266" s="5" t="s">
        <v>1998</v>
      </c>
      <c r="C1266" s="5" t="s">
        <v>410</v>
      </c>
      <c r="D1266" s="5" t="s">
        <v>16859</v>
      </c>
      <c r="E1266" s="5"/>
      <c r="F1266" s="5" t="s">
        <v>8991</v>
      </c>
      <c r="G1266" s="5" t="s">
        <v>8971</v>
      </c>
      <c r="H1266" s="1"/>
      <c r="I1266" s="1"/>
      <c r="J1266" s="2"/>
      <c r="K1266" s="5" t="s">
        <v>9605</v>
      </c>
      <c r="L1266" s="19" t="s">
        <v>10925</v>
      </c>
      <c r="M1266" s="20"/>
      <c r="N1266" s="5" t="s">
        <v>8994</v>
      </c>
      <c r="O1266" s="1"/>
      <c r="P1266" s="21" t="str">
        <f>IF(ISNUMBER(MATCH($C1266,StackableKinds,0)), TRUE, "")</f>
        <v/>
      </c>
      <c r="Q1266" s="7" t="b">
        <v>1</v>
      </c>
    </row>
    <row r="1267" spans="1:17" x14ac:dyDescent="0.2">
      <c r="A1267" s="19" t="str">
        <f>_xlfn.IFNA(VLOOKUP($B1267,Keys!$A:$B,2,FALSE),_xlfn.IFNA(VLOOKUP($B1267,Keys!$D:$E,2,FALSE),VLOOKUP($B1267,Keys!$G:$H,2,FALSE)))</f>
        <v>0x00000019BAE8A60F</v>
      </c>
      <c r="B1267" s="5" t="s">
        <v>2000</v>
      </c>
      <c r="C1267" s="5" t="s">
        <v>410</v>
      </c>
      <c r="D1267" s="5" t="s">
        <v>16858</v>
      </c>
      <c r="E1267" s="5"/>
      <c r="F1267" s="5" t="s">
        <v>8991</v>
      </c>
      <c r="G1267" s="5" t="s">
        <v>8971</v>
      </c>
      <c r="H1267" s="1"/>
      <c r="I1267" s="1"/>
      <c r="J1267" s="2"/>
      <c r="K1267" s="5" t="s">
        <v>9605</v>
      </c>
      <c r="L1267" s="19" t="s">
        <v>10926</v>
      </c>
      <c r="M1267" s="20"/>
      <c r="N1267" s="5" t="s">
        <v>8994</v>
      </c>
      <c r="O1267" s="1"/>
      <c r="P1267" s="21" t="str">
        <f>IF(ISNUMBER(MATCH($C1267,StackableKinds,0)), TRUE, "")</f>
        <v/>
      </c>
      <c r="Q1267" s="7" t="b">
        <v>1</v>
      </c>
    </row>
    <row r="1268" spans="1:17" x14ac:dyDescent="0.2">
      <c r="A1268" s="19" t="str">
        <f>_xlfn.IFNA(VLOOKUP($B1268,Keys!$A:$B,2,FALSE),_xlfn.IFNA(VLOOKUP($B1268,Keys!$D:$E,2,FALSE),VLOOKUP($B1268,Keys!$G:$H,2,FALSE)))</f>
        <v>0x00000016B8F151C1</v>
      </c>
      <c r="B1268" s="5" t="s">
        <v>2016</v>
      </c>
      <c r="C1268" s="5" t="s">
        <v>410</v>
      </c>
      <c r="D1268" s="1" t="s">
        <v>16859</v>
      </c>
      <c r="E1268" s="1"/>
      <c r="F1268" s="1" t="s">
        <v>9359</v>
      </c>
      <c r="G1268" s="5" t="s">
        <v>8971</v>
      </c>
      <c r="H1268" s="1"/>
      <c r="I1268" s="1"/>
      <c r="J1268" s="2"/>
      <c r="K1268" s="5" t="s">
        <v>16855</v>
      </c>
      <c r="L1268" s="19" t="s">
        <v>16856</v>
      </c>
      <c r="M1268" s="18" t="s">
        <v>16857</v>
      </c>
      <c r="N1268" s="1"/>
      <c r="O1268" s="1"/>
      <c r="P1268" s="21" t="str">
        <f>IF(ISNUMBER(MATCH($C1268,StackableKinds,0)), TRUE, "")</f>
        <v/>
      </c>
      <c r="Q1268" s="7" t="b">
        <v>1</v>
      </c>
    </row>
    <row r="1269" spans="1:17" x14ac:dyDescent="0.2">
      <c r="A1269" s="19" t="str">
        <f>_xlfn.IFNA(VLOOKUP($B1269,Keys!$A:$B,2,FALSE),_xlfn.IFNA(VLOOKUP($B1269,Keys!$D:$E,2,FALSE),VLOOKUP($B1269,Keys!$G:$H,2,FALSE)))</f>
        <v>0x0000001A0295DD8F</v>
      </c>
      <c r="B1269" s="5" t="s">
        <v>4859</v>
      </c>
      <c r="C1269" s="5" t="s">
        <v>410</v>
      </c>
      <c r="D1269" s="5" t="s">
        <v>16859</v>
      </c>
      <c r="E1269" s="5"/>
      <c r="F1269" s="5" t="s">
        <v>9328</v>
      </c>
      <c r="G1269" s="5" t="s">
        <v>8971</v>
      </c>
      <c r="H1269" s="1"/>
      <c r="I1269" s="1"/>
      <c r="J1269" s="2"/>
      <c r="K1269" s="5" t="s">
        <v>10285</v>
      </c>
      <c r="L1269" s="19" t="s">
        <v>11049</v>
      </c>
      <c r="M1269" s="20"/>
      <c r="N1269" s="5" t="s">
        <v>9331</v>
      </c>
      <c r="O1269" s="1"/>
      <c r="P1269" s="21" t="str">
        <f>IF(ISNUMBER(MATCH($C1269,StackableKinds,0)), TRUE, "")</f>
        <v/>
      </c>
      <c r="Q1269" s="7" t="b">
        <v>1</v>
      </c>
    </row>
    <row r="1270" spans="1:17" x14ac:dyDescent="0.2">
      <c r="A1270" s="19" t="str">
        <f>_xlfn.IFNA(VLOOKUP($B1270,Keys!$A:$B,2,FALSE),_xlfn.IFNA(VLOOKUP($B1270,Keys!$D:$E,2,FALSE),VLOOKUP($B1270,Keys!$G:$H,2,FALSE)))</f>
        <v>0x0000001604623934</v>
      </c>
      <c r="B1270" s="5" t="s">
        <v>2416</v>
      </c>
      <c r="C1270" s="5" t="s">
        <v>410</v>
      </c>
      <c r="D1270" s="5" t="s">
        <v>16862</v>
      </c>
      <c r="E1270" s="5"/>
      <c r="F1270" s="5" t="s">
        <v>9645</v>
      </c>
      <c r="G1270" s="5" t="s">
        <v>8971</v>
      </c>
      <c r="H1270" s="1"/>
      <c r="I1270" s="1"/>
      <c r="J1270" s="2"/>
      <c r="K1270" s="5" t="s">
        <v>9789</v>
      </c>
      <c r="L1270" s="19" t="s">
        <v>10944</v>
      </c>
      <c r="M1270" s="20"/>
      <c r="N1270" s="5" t="s">
        <v>9647</v>
      </c>
      <c r="O1270" s="1"/>
      <c r="P1270" s="21" t="str">
        <f>IF(ISNUMBER(MATCH($C1270,StackableKinds,0)), TRUE, "")</f>
        <v/>
      </c>
      <c r="Q1270" s="7" t="b">
        <v>1</v>
      </c>
    </row>
    <row r="1271" spans="1:17" x14ac:dyDescent="0.2">
      <c r="A1271" s="19" t="str">
        <f>_xlfn.IFNA(VLOOKUP($B1271,Keys!$A:$B,2,FALSE),_xlfn.IFNA(VLOOKUP($B1271,Keys!$D:$E,2,FALSE),VLOOKUP($B1271,Keys!$G:$H,2,FALSE)))</f>
        <v>0x0000001819BF218F</v>
      </c>
      <c r="B1271" s="5" t="s">
        <v>2424</v>
      </c>
      <c r="C1271" s="5" t="s">
        <v>410</v>
      </c>
      <c r="D1271" s="5" t="s">
        <v>16861</v>
      </c>
      <c r="E1271" s="5"/>
      <c r="F1271" s="5" t="s">
        <v>9645</v>
      </c>
      <c r="G1271" s="5" t="s">
        <v>8971</v>
      </c>
      <c r="H1271" s="1"/>
      <c r="I1271" s="1"/>
      <c r="J1271" s="2"/>
      <c r="K1271" s="5" t="s">
        <v>9789</v>
      </c>
      <c r="L1271" s="19" t="s">
        <v>10948</v>
      </c>
      <c r="M1271" s="20"/>
      <c r="N1271" s="5" t="s">
        <v>9647</v>
      </c>
      <c r="O1271" s="1"/>
      <c r="P1271" s="21" t="str">
        <f>IF(ISNUMBER(MATCH($C1271,StackableKinds,0)), TRUE, "")</f>
        <v/>
      </c>
      <c r="Q1271" s="7" t="b">
        <v>1</v>
      </c>
    </row>
    <row r="1272" spans="1:17" x14ac:dyDescent="0.2">
      <c r="A1272" s="19" t="str">
        <f>_xlfn.IFNA(VLOOKUP($B1272,Keys!$A:$B,2,FALSE),_xlfn.IFNA(VLOOKUP($B1272,Keys!$D:$E,2,FALSE),VLOOKUP($B1272,Keys!$G:$H,2,FALSE)))</f>
        <v>0x000000143DAC182A</v>
      </c>
      <c r="B1272" s="5" t="s">
        <v>2422</v>
      </c>
      <c r="C1272" s="5" t="s">
        <v>410</v>
      </c>
      <c r="D1272" s="5" t="s">
        <v>16860</v>
      </c>
      <c r="E1272" s="5"/>
      <c r="F1272" s="5" t="s">
        <v>9645</v>
      </c>
      <c r="G1272" s="5" t="s">
        <v>8971</v>
      </c>
      <c r="H1272" s="1"/>
      <c r="I1272" s="1"/>
      <c r="J1272" s="2"/>
      <c r="K1272" s="5" t="s">
        <v>9789</v>
      </c>
      <c r="L1272" s="19" t="s">
        <v>10947</v>
      </c>
      <c r="M1272" s="20"/>
      <c r="N1272" s="5" t="s">
        <v>9647</v>
      </c>
      <c r="O1272" s="1"/>
      <c r="P1272" s="21" t="str">
        <f>IF(ISNUMBER(MATCH($C1272,StackableKinds,0)), TRUE, "")</f>
        <v/>
      </c>
      <c r="Q1272" s="7" t="b">
        <v>1</v>
      </c>
    </row>
    <row r="1273" spans="1:17" x14ac:dyDescent="0.2">
      <c r="A1273" s="19" t="str">
        <f>_xlfn.IFNA(VLOOKUP($B1273,Keys!$A:$B,2,FALSE),_xlfn.IFNA(VLOOKUP($B1273,Keys!$D:$E,2,FALSE),VLOOKUP($B1273,Keys!$G:$H,2,FALSE)))</f>
        <v>0x00000014ADD3D0E4</v>
      </c>
      <c r="B1273" s="5" t="s">
        <v>2418</v>
      </c>
      <c r="C1273" s="5" t="s">
        <v>410</v>
      </c>
      <c r="D1273" s="5" t="s">
        <v>16859</v>
      </c>
      <c r="E1273" s="5"/>
      <c r="F1273" s="5" t="s">
        <v>9645</v>
      </c>
      <c r="G1273" s="5" t="s">
        <v>8971</v>
      </c>
      <c r="H1273" s="1"/>
      <c r="I1273" s="1"/>
      <c r="J1273" s="2"/>
      <c r="K1273" s="5" t="s">
        <v>9789</v>
      </c>
      <c r="L1273" s="19" t="s">
        <v>10945</v>
      </c>
      <c r="M1273" s="20"/>
      <c r="N1273" s="5" t="s">
        <v>9647</v>
      </c>
      <c r="O1273" s="1"/>
      <c r="P1273" s="21" t="str">
        <f>IF(ISNUMBER(MATCH($C1273,StackableKinds,0)), TRUE, "")</f>
        <v/>
      </c>
      <c r="Q1273" s="7" t="b">
        <v>1</v>
      </c>
    </row>
    <row r="1274" spans="1:17" x14ac:dyDescent="0.2">
      <c r="A1274" s="19" t="str">
        <f>_xlfn.IFNA(VLOOKUP($B1274,Keys!$A:$B,2,FALSE),_xlfn.IFNA(VLOOKUP($B1274,Keys!$D:$E,2,FALSE),VLOOKUP($B1274,Keys!$G:$H,2,FALSE)))</f>
        <v>0x000000195859AD81</v>
      </c>
      <c r="B1274" s="5" t="s">
        <v>2420</v>
      </c>
      <c r="C1274" s="5" t="s">
        <v>410</v>
      </c>
      <c r="D1274" s="5" t="s">
        <v>16858</v>
      </c>
      <c r="E1274" s="5"/>
      <c r="F1274" s="5" t="s">
        <v>9645</v>
      </c>
      <c r="G1274" s="5" t="s">
        <v>8971</v>
      </c>
      <c r="H1274" s="1"/>
      <c r="I1274" s="1"/>
      <c r="J1274" s="2"/>
      <c r="K1274" s="5" t="s">
        <v>9789</v>
      </c>
      <c r="L1274" s="19" t="s">
        <v>10946</v>
      </c>
      <c r="M1274" s="20"/>
      <c r="N1274" s="5" t="s">
        <v>9647</v>
      </c>
      <c r="O1274" s="1"/>
      <c r="P1274" s="21" t="str">
        <f>IF(ISNUMBER(MATCH($C1274,StackableKinds,0)), TRUE, "")</f>
        <v/>
      </c>
      <c r="Q1274" s="7" t="b">
        <v>1</v>
      </c>
    </row>
    <row r="1275" spans="1:17" x14ac:dyDescent="0.2">
      <c r="A1275" s="19" t="str">
        <f>_xlfn.IFNA(VLOOKUP($B1275,Keys!$A:$B,2,FALSE),_xlfn.IFNA(VLOOKUP($B1275,Keys!$D:$E,2,FALSE),VLOOKUP($B1275,Keys!$G:$H,2,FALSE)))</f>
        <v>0x00000013B3551483</v>
      </c>
      <c r="B1275" s="5" t="s">
        <v>2426</v>
      </c>
      <c r="C1275" s="5" t="s">
        <v>410</v>
      </c>
      <c r="D1275" s="5" t="s">
        <v>16862</v>
      </c>
      <c r="E1275" s="5"/>
      <c r="F1275" s="5" t="s">
        <v>9790</v>
      </c>
      <c r="G1275" s="5" t="s">
        <v>8971</v>
      </c>
      <c r="H1275" s="1"/>
      <c r="I1275" s="1"/>
      <c r="J1275" s="2"/>
      <c r="K1275" s="5" t="s">
        <v>9791</v>
      </c>
      <c r="L1275" s="19" t="s">
        <v>10949</v>
      </c>
      <c r="M1275" s="20"/>
      <c r="N1275" s="5" t="s">
        <v>9792</v>
      </c>
      <c r="O1275" s="5" t="s">
        <v>9793</v>
      </c>
      <c r="P1275" s="21" t="str">
        <f>IF(ISNUMBER(MATCH($C1275,StackableKinds,0)), TRUE, "")</f>
        <v/>
      </c>
      <c r="Q1275" s="7" t="b">
        <v>1</v>
      </c>
    </row>
    <row r="1276" spans="1:17" x14ac:dyDescent="0.2">
      <c r="A1276" s="19" t="str">
        <f>_xlfn.IFNA(VLOOKUP($B1276,Keys!$A:$B,2,FALSE),_xlfn.IFNA(VLOOKUP($B1276,Keys!$D:$E,2,FALSE),VLOOKUP($B1276,Keys!$G:$H,2,FALSE)))</f>
        <v>0x0000001758E36EDF</v>
      </c>
      <c r="B1276" s="5" t="s">
        <v>2446</v>
      </c>
      <c r="C1276" s="5" t="s">
        <v>410</v>
      </c>
      <c r="D1276" s="5" t="s">
        <v>16860</v>
      </c>
      <c r="E1276" s="5"/>
      <c r="F1276" s="5" t="s">
        <v>9790</v>
      </c>
      <c r="G1276" s="5" t="s">
        <v>8971</v>
      </c>
      <c r="H1276" s="1"/>
      <c r="I1276" s="1"/>
      <c r="J1276" s="2"/>
      <c r="K1276" s="5" t="s">
        <v>9803</v>
      </c>
      <c r="L1276" s="19" t="s">
        <v>10954</v>
      </c>
      <c r="M1276" s="20"/>
      <c r="N1276" s="5" t="s">
        <v>9792</v>
      </c>
      <c r="O1276" s="5" t="s">
        <v>9793</v>
      </c>
      <c r="P1276" s="21" t="str">
        <f>IF(ISNUMBER(MATCH($C1276,StackableKinds,0)), TRUE, "")</f>
        <v/>
      </c>
      <c r="Q1276" s="7" t="b">
        <v>1</v>
      </c>
    </row>
    <row r="1277" spans="1:17" x14ac:dyDescent="0.2">
      <c r="A1277" s="19" t="str">
        <f>_xlfn.IFNA(VLOOKUP($B1277,Keys!$A:$B,2,FALSE),_xlfn.IFNA(VLOOKUP($B1277,Keys!$D:$E,2,FALSE),VLOOKUP($B1277,Keys!$G:$H,2,FALSE)))</f>
        <v>0x00000017C89CA611</v>
      </c>
      <c r="B1277" s="5" t="s">
        <v>2430</v>
      </c>
      <c r="C1277" s="5" t="s">
        <v>410</v>
      </c>
      <c r="D1277" s="5" t="s">
        <v>16859</v>
      </c>
      <c r="E1277" s="5"/>
      <c r="F1277" s="5" t="s">
        <v>9790</v>
      </c>
      <c r="G1277" s="5" t="s">
        <v>8971</v>
      </c>
      <c r="H1277" s="1"/>
      <c r="I1277" s="1"/>
      <c r="J1277" s="2"/>
      <c r="K1277" s="5" t="s">
        <v>9794</v>
      </c>
      <c r="L1277" s="19" t="s">
        <v>10950</v>
      </c>
      <c r="M1277" s="20"/>
      <c r="N1277" s="5" t="s">
        <v>9792</v>
      </c>
      <c r="O1277" s="5" t="s">
        <v>9793</v>
      </c>
      <c r="P1277" s="21" t="str">
        <f>IF(ISNUMBER(MATCH($C1277,StackableKinds,0)), TRUE, "")</f>
        <v/>
      </c>
      <c r="Q1277" s="7" t="b">
        <v>1</v>
      </c>
    </row>
    <row r="1278" spans="1:17" x14ac:dyDescent="0.2">
      <c r="A1278" s="19" t="str">
        <f>_xlfn.IFNA(VLOOKUP($B1278,Keys!$A:$B,2,FALSE),_xlfn.IFNA(VLOOKUP($B1278,Keys!$D:$E,2,FALSE),VLOOKUP($B1278,Keys!$G:$H,2,FALSE)))</f>
        <v>0x00000023B6A5D2C4</v>
      </c>
      <c r="B1278" s="5" t="s">
        <v>2580</v>
      </c>
      <c r="C1278" s="5" t="s">
        <v>410</v>
      </c>
      <c r="D1278" s="5" t="s">
        <v>16862</v>
      </c>
      <c r="E1278" s="5"/>
      <c r="F1278" s="5" t="s">
        <v>8991</v>
      </c>
      <c r="G1278" s="5" t="s">
        <v>8971</v>
      </c>
      <c r="H1278" s="1"/>
      <c r="I1278" s="1"/>
      <c r="J1278" s="2"/>
      <c r="K1278" s="5" t="s">
        <v>9806</v>
      </c>
      <c r="L1278" s="19" t="s">
        <v>11254</v>
      </c>
      <c r="M1278" s="20"/>
      <c r="N1278" s="5" t="s">
        <v>8994</v>
      </c>
      <c r="O1278" s="1"/>
      <c r="P1278" s="21" t="str">
        <f>IF(ISNUMBER(MATCH($C1278,StackableKinds,0)), TRUE, "")</f>
        <v/>
      </c>
      <c r="Q1278" s="7" t="b">
        <v>1</v>
      </c>
    </row>
    <row r="1279" spans="1:17" x14ac:dyDescent="0.2">
      <c r="A1279" s="19" t="str">
        <f>_xlfn.IFNA(VLOOKUP($B1279,Keys!$A:$B,2,FALSE),_xlfn.IFNA(VLOOKUP($B1279,Keys!$D:$E,2,FALSE),VLOOKUP($B1279,Keys!$G:$H,2,FALSE)))</f>
        <v>0x00000021B72E09A1</v>
      </c>
      <c r="B1279" s="5" t="s">
        <v>2584</v>
      </c>
      <c r="C1279" s="5" t="s">
        <v>410</v>
      </c>
      <c r="D1279" s="5" t="s">
        <v>16860</v>
      </c>
      <c r="E1279" s="5"/>
      <c r="F1279" s="5" t="s">
        <v>8991</v>
      </c>
      <c r="G1279" s="5" t="s">
        <v>8971</v>
      </c>
      <c r="H1279" s="1"/>
      <c r="I1279" s="1"/>
      <c r="J1279" s="2"/>
      <c r="K1279" s="5" t="s">
        <v>9806</v>
      </c>
      <c r="L1279" s="19" t="s">
        <v>11256</v>
      </c>
      <c r="M1279" s="20"/>
      <c r="N1279" s="5" t="s">
        <v>8994</v>
      </c>
      <c r="O1279" s="1"/>
      <c r="P1279" s="21" t="str">
        <f>IF(ISNUMBER(MATCH($C1279,StackableKinds,0)), TRUE, "")</f>
        <v/>
      </c>
      <c r="Q1279" s="7" t="b">
        <v>1</v>
      </c>
    </row>
    <row r="1280" spans="1:17" x14ac:dyDescent="0.2">
      <c r="A1280" s="19" t="str">
        <f>_xlfn.IFNA(VLOOKUP($B1280,Keys!$A:$B,2,FALSE),_xlfn.IFNA(VLOOKUP($B1280,Keys!$D:$E,2,FALSE),VLOOKUP($B1280,Keys!$G:$H,2,FALSE)))</f>
        <v>0x000000265517A3D7</v>
      </c>
      <c r="B1280" s="5" t="s">
        <v>2582</v>
      </c>
      <c r="C1280" s="5" t="s">
        <v>410</v>
      </c>
      <c r="D1280" s="5" t="s">
        <v>16858</v>
      </c>
      <c r="E1280" s="5"/>
      <c r="F1280" s="5" t="s">
        <v>8991</v>
      </c>
      <c r="G1280" s="5" t="s">
        <v>8971</v>
      </c>
      <c r="H1280" s="1"/>
      <c r="I1280" s="1"/>
      <c r="J1280" s="2"/>
      <c r="K1280" s="5" t="s">
        <v>9806</v>
      </c>
      <c r="L1280" s="19" t="s">
        <v>11255</v>
      </c>
      <c r="M1280" s="20"/>
      <c r="N1280" s="5" t="s">
        <v>8994</v>
      </c>
      <c r="O1280" s="1"/>
      <c r="P1280" s="21" t="str">
        <f>IF(ISNUMBER(MATCH($C1280,StackableKinds,0)), TRUE, "")</f>
        <v/>
      </c>
      <c r="Q1280" s="7" t="b">
        <v>1</v>
      </c>
    </row>
    <row r="1281" spans="1:17" x14ac:dyDescent="0.2">
      <c r="A1281" s="19" t="str">
        <f>_xlfn.IFNA(VLOOKUP($B1281,Keys!$A:$B,2,FALSE),_xlfn.IFNA(VLOOKUP($B1281,Keys!$D:$E,2,FALSE),VLOOKUP($B1281,Keys!$G:$H,2,FALSE)))</f>
        <v>0x0000000DA31BC992</v>
      </c>
      <c r="B1281" s="5" t="s">
        <v>968</v>
      </c>
      <c r="C1281" s="5" t="s">
        <v>410</v>
      </c>
      <c r="D1281" s="5" t="s">
        <v>16859</v>
      </c>
      <c r="E1281" s="5"/>
      <c r="F1281" s="5" t="s">
        <v>9070</v>
      </c>
      <c r="G1281" s="5" t="s">
        <v>8971</v>
      </c>
      <c r="H1281" s="1"/>
      <c r="I1281" s="1"/>
      <c r="J1281" s="2"/>
      <c r="K1281" s="5" t="s">
        <v>9239</v>
      </c>
      <c r="L1281" s="5" t="s">
        <v>9240</v>
      </c>
      <c r="M1281" s="20"/>
      <c r="N1281" s="5" t="s">
        <v>9072</v>
      </c>
      <c r="O1281" s="1"/>
      <c r="P1281" s="21" t="str">
        <f>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16860</v>
      </c>
      <c r="E1282" s="5"/>
      <c r="F1282" s="5" t="s">
        <v>9884</v>
      </c>
      <c r="G1282" s="5" t="s">
        <v>9008</v>
      </c>
      <c r="H1282" s="1"/>
      <c r="I1282" s="1"/>
      <c r="J1282" s="2"/>
      <c r="K1282" s="5" t="s">
        <v>9008</v>
      </c>
      <c r="L1282" s="19" t="s">
        <v>10968</v>
      </c>
      <c r="M1282" s="20"/>
      <c r="N1282" s="5" t="s">
        <v>9885</v>
      </c>
      <c r="O1282" s="5" t="s">
        <v>9886</v>
      </c>
      <c r="P1282" s="21" t="str">
        <f>IF(ISNUMBER(MATCH($C1282,StackableKinds,0)), TRUE, "")</f>
        <v/>
      </c>
      <c r="Q1282" s="7" t="b">
        <v>1</v>
      </c>
    </row>
    <row r="1283" spans="1:17" x14ac:dyDescent="0.2">
      <c r="A1283" s="19" t="str">
        <f>_xlfn.IFNA(VLOOKUP($B1283,Keys!$A:$B,2,FALSE),_xlfn.IFNA(VLOOKUP($B1283,Keys!$D:$E,2,FALSE),VLOOKUP($B1283,Keys!$G:$H,2,FALSE)))</f>
        <v>0x00000016ECEDCAFD</v>
      </c>
      <c r="B1283" s="5" t="s">
        <v>2758</v>
      </c>
      <c r="C1283" s="5" t="s">
        <v>410</v>
      </c>
      <c r="D1283" s="5" t="s">
        <v>16859</v>
      </c>
      <c r="E1283" s="5"/>
      <c r="F1283" s="5" t="s">
        <v>9884</v>
      </c>
      <c r="G1283" s="5" t="s">
        <v>9008</v>
      </c>
      <c r="H1283" s="1"/>
      <c r="I1283" s="1"/>
      <c r="J1283" s="2"/>
      <c r="K1283" s="5" t="s">
        <v>9008</v>
      </c>
      <c r="L1283" s="19" t="s">
        <v>10968</v>
      </c>
      <c r="M1283" s="20"/>
      <c r="N1283" s="5" t="s">
        <v>9885</v>
      </c>
      <c r="O1283" s="5" t="s">
        <v>9886</v>
      </c>
      <c r="P1283" s="21" t="str">
        <f>IF(ISNUMBER(MATCH($C1283,StackableKinds,0)), TRUE, "")</f>
        <v/>
      </c>
      <c r="Q1283" s="7" t="b">
        <v>1</v>
      </c>
    </row>
    <row r="1284" spans="1:17" x14ac:dyDescent="0.2">
      <c r="A1284" s="19" t="str">
        <f>_xlfn.IFNA(VLOOKUP($B1284,Keys!$A:$B,2,FALSE),_xlfn.IFNA(VLOOKUP($B1284,Keys!$D:$E,2,FALSE),VLOOKUP($B1284,Keys!$G:$H,2,FALSE)))</f>
        <v>0x0000001BCD9A5957</v>
      </c>
      <c r="B1284" s="5" t="s">
        <v>2760</v>
      </c>
      <c r="C1284" s="5" t="s">
        <v>410</v>
      </c>
      <c r="D1284" s="5" t="s">
        <v>16858</v>
      </c>
      <c r="E1284" s="5"/>
      <c r="F1284" s="5" t="s">
        <v>9884</v>
      </c>
      <c r="G1284" s="5" t="s">
        <v>9008</v>
      </c>
      <c r="H1284" s="1"/>
      <c r="I1284" s="1"/>
      <c r="J1284" s="2"/>
      <c r="K1284" s="5" t="s">
        <v>9008</v>
      </c>
      <c r="L1284" s="19" t="s">
        <v>10968</v>
      </c>
      <c r="M1284" s="20"/>
      <c r="N1284" s="5" t="s">
        <v>9885</v>
      </c>
      <c r="O1284" s="5" t="s">
        <v>9886</v>
      </c>
      <c r="P1284" s="21" t="str">
        <f>IF(ISNUMBER(MATCH($C1284,StackableKinds,0)), TRUE, "")</f>
        <v/>
      </c>
      <c r="Q1284" s="7" t="b">
        <v>1</v>
      </c>
    </row>
    <row r="1285" spans="1:17" x14ac:dyDescent="0.2">
      <c r="A1285" s="19" t="str">
        <f>_xlfn.IFNA(VLOOKUP($B1285,Keys!$A:$B,2,FALSE),_xlfn.IFNA(VLOOKUP($B1285,Keys!$D:$E,2,FALSE),VLOOKUP($B1285,Keys!$G:$H,2,FALSE)))</f>
        <v>0x0000001CDC150928</v>
      </c>
      <c r="B1285" s="5" t="s">
        <v>2994</v>
      </c>
      <c r="C1285" s="5" t="s">
        <v>410</v>
      </c>
      <c r="D1285" s="5" t="s">
        <v>16860</v>
      </c>
      <c r="E1285" s="5"/>
      <c r="F1285" s="5" t="s">
        <v>9645</v>
      </c>
      <c r="G1285" s="5" t="s">
        <v>8971</v>
      </c>
      <c r="H1285" s="1"/>
      <c r="I1285" s="1"/>
      <c r="J1285" s="2"/>
      <c r="K1285" s="5" t="s">
        <v>9973</v>
      </c>
      <c r="L1285" s="19" t="s">
        <v>10991</v>
      </c>
      <c r="M1285" s="20"/>
      <c r="N1285" s="5" t="s">
        <v>9647</v>
      </c>
      <c r="O1285" s="1"/>
      <c r="P1285" s="21" t="str">
        <f>IF(ISNUMBER(MATCH($C1285,StackableKinds,0)), TRUE, "")</f>
        <v/>
      </c>
      <c r="Q1285" s="7" t="b">
        <v>1</v>
      </c>
    </row>
    <row r="1286" spans="1:17" x14ac:dyDescent="0.2">
      <c r="A1286" s="19" t="str">
        <f>_xlfn.IFNA(VLOOKUP($B1286,Keys!$A:$B,2,FALSE),_xlfn.IFNA(VLOOKUP($B1286,Keys!$D:$E,2,FALSE),VLOOKUP($B1286,Keys!$G:$H,2,FALSE)))</f>
        <v>0x000000173E544208</v>
      </c>
      <c r="B1286" s="5" t="s">
        <v>4861</v>
      </c>
      <c r="C1286" s="5" t="s">
        <v>410</v>
      </c>
      <c r="D1286" s="5" t="s">
        <v>16862</v>
      </c>
      <c r="E1286" s="5"/>
      <c r="F1286" s="5" t="s">
        <v>8991</v>
      </c>
      <c r="G1286" s="5" t="s">
        <v>8971</v>
      </c>
      <c r="H1286" s="1"/>
      <c r="I1286" s="1"/>
      <c r="J1286" s="2"/>
      <c r="K1286" s="5" t="s">
        <v>10286</v>
      </c>
      <c r="L1286" s="19" t="s">
        <v>11272</v>
      </c>
      <c r="M1286" s="20"/>
      <c r="N1286" s="5" t="s">
        <v>8994</v>
      </c>
      <c r="O1286" s="1"/>
      <c r="P1286" s="21" t="str">
        <f>IF(ISNUMBER(MATCH($C1286,StackableKinds,0)), TRUE, "")</f>
        <v/>
      </c>
      <c r="Q1286" s="7" t="b">
        <v>1</v>
      </c>
    </row>
    <row r="1287" spans="1:17" x14ac:dyDescent="0.2">
      <c r="A1287" s="19" t="str">
        <f>_xlfn.IFNA(VLOOKUP($B1287,Keys!$A:$B,2,FALSE),_xlfn.IFNA(VLOOKUP($B1287,Keys!$D:$E,2,FALSE),VLOOKUP($B1287,Keys!$G:$H,2,FALSE)))</f>
        <v>0x00000019AD9BCAF2</v>
      </c>
      <c r="B1287" s="5" t="s">
        <v>4869</v>
      </c>
      <c r="C1287" s="5" t="s">
        <v>410</v>
      </c>
      <c r="D1287" s="5" t="s">
        <v>16861</v>
      </c>
      <c r="E1287" s="5"/>
      <c r="F1287" s="5" t="s">
        <v>8991</v>
      </c>
      <c r="G1287" s="5" t="s">
        <v>8971</v>
      </c>
      <c r="H1287" s="1"/>
      <c r="I1287" s="1"/>
      <c r="J1287" s="2"/>
      <c r="K1287" s="5" t="s">
        <v>10286</v>
      </c>
      <c r="L1287" s="19" t="s">
        <v>11276</v>
      </c>
      <c r="M1287" s="20"/>
      <c r="N1287" s="5" t="s">
        <v>8994</v>
      </c>
      <c r="O1287" s="1"/>
      <c r="P1287" s="21" t="str">
        <f>IF(ISNUMBER(MATCH($C1287,StackableKinds,0)), TRUE, "")</f>
        <v/>
      </c>
      <c r="Q1287" s="7" t="b">
        <v>1</v>
      </c>
    </row>
    <row r="1288" spans="1:17" x14ac:dyDescent="0.2">
      <c r="A1288" s="19" t="str">
        <f>_xlfn.IFNA(VLOOKUP($B1288,Keys!$A:$B,2,FALSE),_xlfn.IFNA(VLOOKUP($B1288,Keys!$D:$E,2,FALSE),VLOOKUP($B1288,Keys!$G:$H,2,FALSE)))</f>
        <v>0x00000015C4DBBE3D</v>
      </c>
      <c r="B1288" s="5" t="s">
        <v>4867</v>
      </c>
      <c r="C1288" s="5" t="s">
        <v>410</v>
      </c>
      <c r="D1288" s="5" t="s">
        <v>16860</v>
      </c>
      <c r="E1288" s="5"/>
      <c r="F1288" s="5" t="s">
        <v>8991</v>
      </c>
      <c r="G1288" s="5" t="s">
        <v>8971</v>
      </c>
      <c r="H1288" s="1"/>
      <c r="I1288" s="1"/>
      <c r="J1288" s="2"/>
      <c r="K1288" s="5" t="s">
        <v>10286</v>
      </c>
      <c r="L1288" s="19" t="s">
        <v>11275</v>
      </c>
      <c r="M1288" s="20"/>
      <c r="N1288" s="5" t="s">
        <v>8994</v>
      </c>
      <c r="O1288" s="1"/>
      <c r="P1288" s="21" t="str">
        <f>IF(ISNUMBER(MATCH($C1288,StackableKinds,0)), TRUE, "")</f>
        <v/>
      </c>
      <c r="Q1288" s="7" t="b">
        <v>1</v>
      </c>
    </row>
    <row r="1289" spans="1:17" x14ac:dyDescent="0.2">
      <c r="A1289" s="19" t="str">
        <f>_xlfn.IFNA(VLOOKUP($B1289,Keys!$A:$B,2,FALSE),_xlfn.IFNA(VLOOKUP($B1289,Keys!$D:$E,2,FALSE),VLOOKUP($B1289,Keys!$G:$H,2,FALSE)))</f>
        <v>0x0000001554A476F3</v>
      </c>
      <c r="B1289" s="5" t="s">
        <v>4863</v>
      </c>
      <c r="C1289" s="5" t="s">
        <v>410</v>
      </c>
      <c r="D1289" s="5" t="s">
        <v>16859</v>
      </c>
      <c r="E1289" s="5"/>
      <c r="F1289" s="5" t="s">
        <v>8991</v>
      </c>
      <c r="G1289" s="5" t="s">
        <v>8971</v>
      </c>
      <c r="H1289" s="1"/>
      <c r="I1289" s="1"/>
      <c r="J1289" s="2"/>
      <c r="K1289" s="5" t="s">
        <v>10286</v>
      </c>
      <c r="L1289" s="19" t="s">
        <v>11273</v>
      </c>
      <c r="M1289" s="20"/>
      <c r="N1289" s="5" t="s">
        <v>8994</v>
      </c>
      <c r="O1289" s="1"/>
      <c r="P1289" s="21" t="str">
        <f>IF(ISNUMBER(MATCH($C1289,StackableKinds,0)), TRUE, "")</f>
        <v/>
      </c>
      <c r="Q1289" s="7" t="b">
        <v>1</v>
      </c>
    </row>
    <row r="1290" spans="1:17" x14ac:dyDescent="0.2">
      <c r="A1290" s="19" t="str">
        <f>_xlfn.IFNA(VLOOKUP($B1290,Keys!$A:$B,2,FALSE),_xlfn.IFNA(VLOOKUP($B1290,Keys!$D:$E,2,FALSE),VLOOKUP($B1290,Keys!$G:$H,2,FALSE)))</f>
        <v>0x0000001A765984EB</v>
      </c>
      <c r="B1290" s="5" t="s">
        <v>4865</v>
      </c>
      <c r="C1290" s="5" t="s">
        <v>410</v>
      </c>
      <c r="D1290" s="5" t="s">
        <v>16858</v>
      </c>
      <c r="E1290" s="5"/>
      <c r="F1290" s="5" t="s">
        <v>8991</v>
      </c>
      <c r="G1290" s="5" t="s">
        <v>8971</v>
      </c>
      <c r="H1290" s="1"/>
      <c r="I1290" s="1"/>
      <c r="J1290" s="2"/>
      <c r="K1290" s="5" t="s">
        <v>10286</v>
      </c>
      <c r="L1290" s="19" t="s">
        <v>11274</v>
      </c>
      <c r="M1290" s="20"/>
      <c r="N1290" s="5" t="s">
        <v>8994</v>
      </c>
      <c r="O1290" s="1"/>
      <c r="P1290" s="21" t="str">
        <f>IF(ISNUMBER(MATCH($C1290,StackableKinds,0)), TRUE, "")</f>
        <v/>
      </c>
      <c r="Q1290" s="7" t="b">
        <v>1</v>
      </c>
    </row>
    <row r="1291" spans="1:17" x14ac:dyDescent="0.2">
      <c r="A1291" s="19" t="str">
        <f>_xlfn.IFNA(VLOOKUP($B1291,Keys!$A:$B,2,FALSE),_xlfn.IFNA(VLOOKUP($B1291,Keys!$D:$E,2,FALSE),VLOOKUP($B1291,Keys!$G:$H,2,FALSE)))</f>
        <v>0x00000017FC31879D</v>
      </c>
      <c r="B1291" s="5" t="s">
        <v>2914</v>
      </c>
      <c r="C1291" s="5" t="s">
        <v>410</v>
      </c>
      <c r="D1291" s="5" t="s">
        <v>16862</v>
      </c>
      <c r="E1291" s="5"/>
      <c r="F1291" s="5" t="s">
        <v>8991</v>
      </c>
      <c r="G1291" s="5" t="s">
        <v>8971</v>
      </c>
      <c r="H1291" s="1"/>
      <c r="I1291" s="1"/>
      <c r="J1291" s="2"/>
      <c r="K1291" s="5" t="s">
        <v>9948</v>
      </c>
      <c r="L1291" s="19" t="s">
        <v>10974</v>
      </c>
      <c r="M1291" s="20"/>
      <c r="N1291" s="5" t="s">
        <v>8994</v>
      </c>
      <c r="O1291" s="1"/>
      <c r="P1291" s="21" t="str">
        <f>IF(ISNUMBER(MATCH($C1291,StackableKinds,0)), TRUE, "")</f>
        <v/>
      </c>
      <c r="Q1291" s="7" t="b">
        <v>1</v>
      </c>
    </row>
    <row r="1292" spans="1:17" x14ac:dyDescent="0.2">
      <c r="A1292" s="19" t="str">
        <f>_xlfn.IFNA(VLOOKUP($B1292,Keys!$A:$B,2,FALSE),_xlfn.IFNA(VLOOKUP($B1292,Keys!$D:$E,2,FALSE),VLOOKUP($B1292,Keys!$G:$H,2,FALSE)))</f>
        <v>0x000000194AA340F7</v>
      </c>
      <c r="B1292" s="5" t="s">
        <v>2920</v>
      </c>
      <c r="C1292" s="5" t="s">
        <v>410</v>
      </c>
      <c r="D1292" s="5" t="s">
        <v>16861</v>
      </c>
      <c r="E1292" s="5"/>
      <c r="F1292" s="5" t="s">
        <v>8991</v>
      </c>
      <c r="G1292" s="5" t="s">
        <v>8971</v>
      </c>
      <c r="H1292" s="1"/>
      <c r="I1292" s="1"/>
      <c r="J1292" s="2"/>
      <c r="K1292" s="5" t="s">
        <v>9948</v>
      </c>
      <c r="L1292" s="19" t="s">
        <v>10977</v>
      </c>
      <c r="M1292" s="20"/>
      <c r="N1292" s="5" t="s">
        <v>8994</v>
      </c>
      <c r="O1292" s="1"/>
      <c r="P1292" s="21" t="str">
        <f>IF(ISNUMBER(MATCH($C1292,StackableKinds,0)), TRUE, "")</f>
        <v/>
      </c>
      <c r="Q1292" s="7" t="b">
        <v>1</v>
      </c>
    </row>
    <row r="1293" spans="1:17" x14ac:dyDescent="0.2">
      <c r="A1293" s="19" t="str">
        <f>_xlfn.IFNA(VLOOKUP($B1293,Keys!$A:$B,2,FALSE),_xlfn.IFNA(VLOOKUP($B1293,Keys!$D:$E,2,FALSE),VLOOKUP($B1293,Keys!$G:$H,2,FALSE)))</f>
        <v>0x0000001543E22A84</v>
      </c>
      <c r="B1293" s="5" t="s">
        <v>2918</v>
      </c>
      <c r="C1293" s="5" t="s">
        <v>410</v>
      </c>
      <c r="D1293" s="5" t="s">
        <v>16860</v>
      </c>
      <c r="E1293" s="5"/>
      <c r="F1293" s="5" t="s">
        <v>8991</v>
      </c>
      <c r="G1293" s="5" t="s">
        <v>8971</v>
      </c>
      <c r="H1293" s="1"/>
      <c r="I1293" s="1"/>
      <c r="J1293" s="2"/>
      <c r="K1293" s="5" t="s">
        <v>9948</v>
      </c>
      <c r="L1293" s="19" t="s">
        <v>10976</v>
      </c>
      <c r="M1293" s="20"/>
      <c r="N1293" s="5" t="s">
        <v>8994</v>
      </c>
      <c r="O1293" s="1"/>
      <c r="P1293" s="21" t="str">
        <f>IF(ISNUMBER(MATCH($C1293,StackableKinds,0)), TRUE, "")</f>
        <v/>
      </c>
      <c r="Q1293" s="7" t="b">
        <v>1</v>
      </c>
    </row>
    <row r="1294" spans="1:17" x14ac:dyDescent="0.2">
      <c r="A1294" s="19" t="str">
        <f>_xlfn.IFNA(VLOOKUP($B1294,Keys!$A:$B,2,FALSE),_xlfn.IFNA(VLOOKUP($B1294,Keys!$D:$E,2,FALSE),VLOOKUP($B1294,Keys!$G:$H,2,FALSE)))</f>
        <v>0x00000015D39DE24A</v>
      </c>
      <c r="B1294" s="5" t="s">
        <v>2916</v>
      </c>
      <c r="C1294" s="5" t="s">
        <v>410</v>
      </c>
      <c r="D1294" s="5" t="s">
        <v>16859</v>
      </c>
      <c r="E1294" s="5"/>
      <c r="F1294" s="5" t="s">
        <v>8991</v>
      </c>
      <c r="G1294" s="5" t="s">
        <v>8971</v>
      </c>
      <c r="H1294" s="1"/>
      <c r="I1294" s="1"/>
      <c r="J1294" s="2"/>
      <c r="K1294" s="5" t="s">
        <v>9948</v>
      </c>
      <c r="L1294" s="19" t="s">
        <v>10975</v>
      </c>
      <c r="M1294" s="20"/>
      <c r="N1294" s="5" t="s">
        <v>8994</v>
      </c>
      <c r="O1294" s="1"/>
      <c r="P1294" s="21" t="str">
        <f>IF(ISNUMBER(MATCH($C1294,StackableKinds,0)), TRUE, "")</f>
        <v/>
      </c>
      <c r="Q1294" s="7" t="b">
        <v>1</v>
      </c>
    </row>
    <row r="1295" spans="1:17" x14ac:dyDescent="0.2">
      <c r="A1295" s="19" t="str">
        <f>_xlfn.IFNA(VLOOKUP($B1295,Keys!$A:$B,2,FALSE),_xlfn.IFNA(VLOOKUP($B1295,Keys!$D:$E,2,FALSE),VLOOKUP($B1295,Keys!$G:$H,2,FALSE)))</f>
        <v>0x0000001ECAC27B08</v>
      </c>
      <c r="B1295" s="5" t="s">
        <v>4857</v>
      </c>
      <c r="C1295" s="5" t="s">
        <v>410</v>
      </c>
      <c r="D1295" s="5" t="s">
        <v>16859</v>
      </c>
      <c r="E1295" s="5"/>
      <c r="F1295" s="5" t="s">
        <v>9328</v>
      </c>
      <c r="G1295" s="5" t="s">
        <v>8971</v>
      </c>
      <c r="H1295" s="1"/>
      <c r="I1295" s="1"/>
      <c r="J1295" s="2"/>
      <c r="K1295" s="5" t="s">
        <v>10284</v>
      </c>
      <c r="L1295" s="19" t="s">
        <v>11048</v>
      </c>
      <c r="M1295" s="20"/>
      <c r="N1295" s="5" t="s">
        <v>9331</v>
      </c>
      <c r="O1295" s="1"/>
      <c r="P1295" s="21" t="str">
        <f>IF(ISNUMBER(MATCH($C1295,StackableKinds,0)), TRUE, "")</f>
        <v/>
      </c>
      <c r="Q1295" s="7" t="b">
        <v>1</v>
      </c>
    </row>
    <row r="1296" spans="1:17" x14ac:dyDescent="0.2">
      <c r="A1296" s="19" t="str">
        <f>_xlfn.IFNA(VLOOKUP($B1296,Keys!$A:$B,2,FALSE),_xlfn.IFNA(VLOOKUP($B1296,Keys!$D:$E,2,FALSE),VLOOKUP($B1296,Keys!$G:$H,2,FALSE)))</f>
        <v>0x0000001A7E909E59</v>
      </c>
      <c r="B1296" s="5" t="s">
        <v>2936</v>
      </c>
      <c r="C1296" s="5" t="s">
        <v>410</v>
      </c>
      <c r="D1296" s="5" t="s">
        <v>16862</v>
      </c>
      <c r="E1296" s="5"/>
      <c r="F1296" s="5" t="s">
        <v>9054</v>
      </c>
      <c r="G1296" s="5" t="s">
        <v>8971</v>
      </c>
      <c r="H1296" s="1"/>
      <c r="I1296" s="1"/>
      <c r="J1296" s="2"/>
      <c r="K1296" s="5" t="s">
        <v>9954</v>
      </c>
      <c r="L1296" s="19" t="s">
        <v>11127</v>
      </c>
      <c r="M1296" s="20"/>
      <c r="N1296" s="5" t="s">
        <v>9056</v>
      </c>
      <c r="O1296" s="1"/>
      <c r="P1296" s="21" t="str">
        <f>IF(ISNUMBER(MATCH($C1296,StackableKinds,0)), TRUE, "")</f>
        <v/>
      </c>
      <c r="Q1296" s="7" t="b">
        <v>1</v>
      </c>
    </row>
    <row r="1297" spans="1:17" x14ac:dyDescent="0.2">
      <c r="A1297" s="19" t="str">
        <f>_xlfn.IFNA(VLOOKUP($B1297,Keys!$A:$B,2,FALSE),_xlfn.IFNA(VLOOKUP($B1297,Keys!$D:$E,2,FALSE),VLOOKUP($B1297,Keys!$G:$H,2,FALSE)))</f>
        <v>0x0000001C815E78DC</v>
      </c>
      <c r="B1297" s="5" t="s">
        <v>2944</v>
      </c>
      <c r="C1297" s="5" t="s">
        <v>410</v>
      </c>
      <c r="D1297" s="5" t="s">
        <v>16861</v>
      </c>
      <c r="E1297" s="5"/>
      <c r="F1297" s="5" t="s">
        <v>9054</v>
      </c>
      <c r="G1297" s="5" t="s">
        <v>8971</v>
      </c>
      <c r="H1297" s="1"/>
      <c r="I1297" s="1"/>
      <c r="J1297" s="2"/>
      <c r="K1297" s="5" t="s">
        <v>9954</v>
      </c>
      <c r="L1297" s="19" t="s">
        <v>11131</v>
      </c>
      <c r="M1297" s="18"/>
      <c r="N1297" s="5" t="s">
        <v>9056</v>
      </c>
      <c r="O1297" s="1"/>
      <c r="P1297" s="21" t="str">
        <f>IF(ISNUMBER(MATCH($C1297,StackableKinds,0)), TRUE, "")</f>
        <v/>
      </c>
      <c r="Q1297" s="7" t="b">
        <v>1</v>
      </c>
    </row>
    <row r="1298" spans="1:17" x14ac:dyDescent="0.2">
      <c r="A1298" s="19" t="str">
        <f>_xlfn.IFNA(VLOOKUP($B1298,Keys!$A:$B,2,FALSE),_xlfn.IFNA(VLOOKUP($B1298,Keys!$D:$E,2,FALSE),VLOOKUP($B1298,Keys!$G:$H,2,FALSE)))</f>
        <v>0x0000001812492F68</v>
      </c>
      <c r="B1298" s="5" t="s">
        <v>2942</v>
      </c>
      <c r="C1298" s="5" t="s">
        <v>410</v>
      </c>
      <c r="D1298" s="5" t="s">
        <v>16860</v>
      </c>
      <c r="E1298" s="5"/>
      <c r="F1298" s="5" t="s">
        <v>9054</v>
      </c>
      <c r="G1298" s="5" t="s">
        <v>8971</v>
      </c>
      <c r="H1298" s="1"/>
      <c r="I1298" s="1"/>
      <c r="J1298" s="2"/>
      <c r="K1298" s="5" t="s">
        <v>9954</v>
      </c>
      <c r="L1298" s="19" t="s">
        <v>11130</v>
      </c>
      <c r="M1298" s="20"/>
      <c r="N1298" s="5" t="s">
        <v>9056</v>
      </c>
      <c r="O1298" s="1"/>
      <c r="P1298" s="21" t="str">
        <f>IF(ISNUMBER(MATCH($C1298,StackableKinds,0)), TRUE, "")</f>
        <v/>
      </c>
      <c r="Q1298" s="7" t="b">
        <v>1</v>
      </c>
    </row>
    <row r="1299" spans="1:17" x14ac:dyDescent="0.2">
      <c r="A1299" s="19" t="str">
        <f>_xlfn.IFNA(VLOOKUP($B1299,Keys!$A:$B,2,FALSE),_xlfn.IFNA(VLOOKUP($B1299,Keys!$D:$E,2,FALSE),VLOOKUP($B1299,Keys!$G:$H,2,FALSE)))</f>
        <v>0x000000188236E7A6</v>
      </c>
      <c r="B1299" s="5" t="s">
        <v>2938</v>
      </c>
      <c r="C1299" s="5" t="s">
        <v>410</v>
      </c>
      <c r="D1299" s="5" t="s">
        <v>16859</v>
      </c>
      <c r="E1299" s="5"/>
      <c r="F1299" s="5" t="s">
        <v>9054</v>
      </c>
      <c r="G1299" s="5" t="s">
        <v>8971</v>
      </c>
      <c r="H1299" s="1"/>
      <c r="I1299" s="1"/>
      <c r="J1299" s="2"/>
      <c r="K1299" s="5" t="s">
        <v>9954</v>
      </c>
      <c r="L1299" s="19" t="s">
        <v>11128</v>
      </c>
      <c r="M1299" s="20"/>
      <c r="N1299" s="5" t="s">
        <v>9056</v>
      </c>
      <c r="O1299" s="1"/>
      <c r="P1299" s="21" t="str">
        <f>IF(ISNUMBER(MATCH($C1299,StackableKinds,0)), TRUE, "")</f>
        <v/>
      </c>
      <c r="Q1299" s="7" t="b">
        <v>1</v>
      </c>
    </row>
    <row r="1300" spans="1:17" x14ac:dyDescent="0.2">
      <c r="A1300" s="19" t="str">
        <f>_xlfn.IFNA(VLOOKUP($B1300,Keys!$A:$B,2,FALSE),_xlfn.IFNA(VLOOKUP($B1300,Keys!$D:$E,2,FALSE),VLOOKUP($B1300,Keys!$G:$H,2,FALSE)))</f>
        <v>0x0000001DAAA34C96</v>
      </c>
      <c r="B1300" s="5" t="s">
        <v>2940</v>
      </c>
      <c r="C1300" s="5" t="s">
        <v>410</v>
      </c>
      <c r="D1300" s="5" t="s">
        <v>16858</v>
      </c>
      <c r="E1300" s="5"/>
      <c r="F1300" s="5" t="s">
        <v>9054</v>
      </c>
      <c r="G1300" s="5" t="s">
        <v>8971</v>
      </c>
      <c r="H1300" s="1"/>
      <c r="I1300" s="1"/>
      <c r="J1300" s="2"/>
      <c r="K1300" s="5" t="s">
        <v>9954</v>
      </c>
      <c r="L1300" s="19" t="s">
        <v>11129</v>
      </c>
      <c r="M1300" s="20"/>
      <c r="N1300" s="5" t="s">
        <v>9056</v>
      </c>
      <c r="O1300" s="1"/>
      <c r="P1300" s="21" t="str">
        <f>IF(ISNUMBER(MATCH($C1300,StackableKinds,0)), TRUE, "")</f>
        <v/>
      </c>
      <c r="Q1300" s="7" t="b">
        <v>1</v>
      </c>
    </row>
    <row r="1301" spans="1:17" x14ac:dyDescent="0.2">
      <c r="A1301" s="19" t="str">
        <f>_xlfn.IFNA(VLOOKUP($B1301,Keys!$A:$B,2,FALSE),_xlfn.IFNA(VLOOKUP($B1301,Keys!$D:$E,2,FALSE),VLOOKUP($B1301,Keys!$G:$H,2,FALSE)))</f>
        <v>0x0000001788477272</v>
      </c>
      <c r="B1301" s="5" t="s">
        <v>1186</v>
      </c>
      <c r="C1301" s="5" t="s">
        <v>410</v>
      </c>
      <c r="D1301" s="5" t="s">
        <v>16862</v>
      </c>
      <c r="E1301" s="5"/>
      <c r="F1301" s="5" t="s">
        <v>9297</v>
      </c>
      <c r="G1301" s="5" t="s">
        <v>8971</v>
      </c>
      <c r="H1301" s="1"/>
      <c r="I1301" s="1"/>
      <c r="J1301" s="2"/>
      <c r="K1301" s="5" t="s">
        <v>9298</v>
      </c>
      <c r="L1301" s="5" t="s">
        <v>11225</v>
      </c>
      <c r="M1301" s="20"/>
      <c r="N1301" s="5" t="s">
        <v>9299</v>
      </c>
      <c r="O1301" s="1"/>
      <c r="P1301" s="21" t="str">
        <f>IF(ISNUMBER(MATCH($C1301,StackableKinds,0)), TRUE, "")</f>
        <v/>
      </c>
      <c r="Q1301" s="7" t="b">
        <v>1</v>
      </c>
    </row>
    <row r="1302" spans="1:17" x14ac:dyDescent="0.2">
      <c r="A1302" s="19" t="str">
        <f>_xlfn.IFNA(VLOOKUP($B1302,Keys!$A:$B,2,FALSE),_xlfn.IFNA(VLOOKUP($B1302,Keys!$D:$E,2,FALSE),VLOOKUP($B1302,Keys!$G:$H,2,FALSE)))</f>
        <v>0x000000195E92DD31</v>
      </c>
      <c r="B1302" s="5" t="s">
        <v>1194</v>
      </c>
      <c r="C1302" s="5" t="s">
        <v>410</v>
      </c>
      <c r="D1302" s="5" t="s">
        <v>16861</v>
      </c>
      <c r="E1302" s="5"/>
      <c r="F1302" s="5" t="s">
        <v>9297</v>
      </c>
      <c r="G1302" s="5" t="s">
        <v>8971</v>
      </c>
      <c r="H1302" s="1"/>
      <c r="I1302" s="1"/>
      <c r="J1302" s="2"/>
      <c r="K1302" s="5" t="s">
        <v>9298</v>
      </c>
      <c r="L1302" s="5" t="s">
        <v>11229</v>
      </c>
      <c r="M1302" s="20"/>
      <c r="N1302" s="5" t="s">
        <v>9299</v>
      </c>
      <c r="O1302" s="1"/>
      <c r="P1302" s="21" t="str">
        <f>IF(ISNUMBER(MATCH($C1302,StackableKinds,0)), TRUE, "")</f>
        <v/>
      </c>
      <c r="Q1302" s="7" t="b">
        <v>1</v>
      </c>
    </row>
    <row r="1303" spans="1:17" x14ac:dyDescent="0.2">
      <c r="A1303" s="19" t="str">
        <f>_xlfn.IFNA(VLOOKUP($B1303,Keys!$A:$B,2,FALSE),_xlfn.IFNA(VLOOKUP($B1303,Keys!$D:$E,2,FALSE),VLOOKUP($B1303,Keys!$G:$H,2,FALSE)))</f>
        <v>0x00000015B33F1DFF</v>
      </c>
      <c r="B1303" s="5" t="s">
        <v>1192</v>
      </c>
      <c r="C1303" s="5" t="s">
        <v>410</v>
      </c>
      <c r="D1303" s="5" t="s">
        <v>16860</v>
      </c>
      <c r="E1303" s="5"/>
      <c r="F1303" s="5" t="s">
        <v>9297</v>
      </c>
      <c r="G1303" s="5" t="s">
        <v>8971</v>
      </c>
      <c r="H1303" s="1"/>
      <c r="I1303" s="1"/>
      <c r="J1303" s="2"/>
      <c r="K1303" s="5" t="s">
        <v>9298</v>
      </c>
      <c r="L1303" s="5" t="s">
        <v>11228</v>
      </c>
      <c r="M1303" s="20"/>
      <c r="N1303" s="5" t="s">
        <v>9299</v>
      </c>
      <c r="O1303" s="1"/>
      <c r="P1303" s="21" t="str">
        <f>IF(ISNUMBER(MATCH($C1303,StackableKinds,0)), TRUE, "")</f>
        <v/>
      </c>
      <c r="Q1303" s="7" t="b">
        <v>1</v>
      </c>
    </row>
    <row r="1304" spans="1:17" x14ac:dyDescent="0.2">
      <c r="A1304" s="19" t="str">
        <f>_xlfn.IFNA(VLOOKUP($B1304,Keys!$A:$B,2,FALSE),_xlfn.IFNA(VLOOKUP($B1304,Keys!$D:$E,2,FALSE),VLOOKUP($B1304,Keys!$G:$H,2,FALSE)))</f>
        <v>0x000000152340D531</v>
      </c>
      <c r="B1304" s="5" t="s">
        <v>1188</v>
      </c>
      <c r="C1304" s="5" t="s">
        <v>410</v>
      </c>
      <c r="D1304" s="5" t="s">
        <v>16859</v>
      </c>
      <c r="E1304" s="5"/>
      <c r="F1304" s="5" t="s">
        <v>9297</v>
      </c>
      <c r="G1304" s="5" t="s">
        <v>8971</v>
      </c>
      <c r="H1304" s="1"/>
      <c r="I1304" s="1"/>
      <c r="J1304" s="2"/>
      <c r="K1304" s="5" t="s">
        <v>9298</v>
      </c>
      <c r="L1304" s="5" t="s">
        <v>11226</v>
      </c>
      <c r="M1304" s="20"/>
      <c r="N1304" s="5" t="s">
        <v>9299</v>
      </c>
      <c r="O1304" s="1"/>
      <c r="P1304" s="21" t="str">
        <f>IF(ISNUMBER(MATCH($C1304,StackableKinds,0)), TRUE, "")</f>
        <v/>
      </c>
      <c r="Q1304" s="7" t="b">
        <v>1</v>
      </c>
    </row>
    <row r="1305" spans="1:17" x14ac:dyDescent="0.2">
      <c r="A1305" s="19" t="str">
        <f>_xlfn.IFNA(VLOOKUP($B1305,Keys!$A:$B,2,FALSE),_xlfn.IFNA(VLOOKUP($B1305,Keys!$D:$E,2,FALSE),VLOOKUP($B1305,Keys!$G:$H,2,FALSE)))</f>
        <v>0x0000001A74C71EF6</v>
      </c>
      <c r="B1305" s="5" t="s">
        <v>1190</v>
      </c>
      <c r="C1305" s="5" t="s">
        <v>410</v>
      </c>
      <c r="D1305" s="5" t="s">
        <v>16858</v>
      </c>
      <c r="E1305" s="5"/>
      <c r="F1305" s="5" t="s">
        <v>9297</v>
      </c>
      <c r="G1305" s="5" t="s">
        <v>8971</v>
      </c>
      <c r="H1305" s="1"/>
      <c r="I1305" s="1"/>
      <c r="J1305" s="2"/>
      <c r="K1305" s="5" t="s">
        <v>9298</v>
      </c>
      <c r="L1305" s="5" t="s">
        <v>11227</v>
      </c>
      <c r="M1305" s="20"/>
      <c r="N1305" s="5" t="s">
        <v>9299</v>
      </c>
      <c r="O1305" s="1"/>
      <c r="P1305" s="21" t="str">
        <f>IF(ISNUMBER(MATCH($C1305,StackableKinds,0)), TRUE, "")</f>
        <v/>
      </c>
      <c r="Q1305" s="7" t="b">
        <v>1</v>
      </c>
    </row>
    <row r="1306" spans="1:17" x14ac:dyDescent="0.2">
      <c r="A1306" s="19" t="str">
        <f>_xlfn.IFNA(VLOOKUP($B1306,Keys!$A:$B,2,FALSE),_xlfn.IFNA(VLOOKUP($B1306,Keys!$D:$E,2,FALSE),VLOOKUP($B1306,Keys!$G:$H,2,FALSE)))</f>
        <v>0x000000264F1DC4CC</v>
      </c>
      <c r="B1306" s="5" t="s">
        <v>2950</v>
      </c>
      <c r="C1306" s="5" t="s">
        <v>410</v>
      </c>
      <c r="D1306" s="5" t="s">
        <v>16861</v>
      </c>
      <c r="E1306" s="5"/>
      <c r="F1306" s="5" t="s">
        <v>9297</v>
      </c>
      <c r="G1306" s="5" t="s">
        <v>8971</v>
      </c>
      <c r="H1306" s="1"/>
      <c r="I1306" s="1"/>
      <c r="J1306" s="2"/>
      <c r="K1306" s="5" t="s">
        <v>9955</v>
      </c>
      <c r="L1306" s="19" t="s">
        <v>11259</v>
      </c>
      <c r="M1306" s="20"/>
      <c r="N1306" s="5" t="s">
        <v>9299</v>
      </c>
      <c r="O1306" s="1"/>
      <c r="P1306" s="21" t="str">
        <f>IF(ISNUMBER(MATCH($C1306,StackableKinds,0)), TRUE, "")</f>
        <v/>
      </c>
      <c r="Q1306" s="7" t="b">
        <v>1</v>
      </c>
    </row>
    <row r="1307" spans="1:17" x14ac:dyDescent="0.2">
      <c r="A1307" s="19" t="str">
        <f>_xlfn.IFNA(VLOOKUP($B1307,Keys!$A:$B,2,FALSE),_xlfn.IFNA(VLOOKUP($B1307,Keys!$D:$E,2,FALSE),VLOOKUP($B1307,Keys!$G:$H,2,FALSE)))</f>
        <v>0x000000220AE278AC</v>
      </c>
      <c r="B1307" s="5" t="s">
        <v>2948</v>
      </c>
      <c r="C1307" s="5" t="s">
        <v>410</v>
      </c>
      <c r="D1307" s="5" t="s">
        <v>16860</v>
      </c>
      <c r="E1307" s="5"/>
      <c r="F1307" s="5" t="s">
        <v>9297</v>
      </c>
      <c r="G1307" s="5" t="s">
        <v>8971</v>
      </c>
      <c r="H1307" s="1"/>
      <c r="I1307" s="1"/>
      <c r="J1307" s="2"/>
      <c r="K1307" s="5" t="s">
        <v>9955</v>
      </c>
      <c r="L1307" s="19" t="s">
        <v>11258</v>
      </c>
      <c r="M1307" s="20"/>
      <c r="N1307" s="5" t="s">
        <v>9299</v>
      </c>
      <c r="O1307" s="1"/>
      <c r="P1307" s="21" t="str">
        <f>IF(ISNUMBER(MATCH($C1307,StackableKinds,0)), TRUE, "")</f>
        <v/>
      </c>
      <c r="Q1307" s="7" t="b">
        <v>1</v>
      </c>
    </row>
    <row r="1308" spans="1:17" x14ac:dyDescent="0.2">
      <c r="A1308" s="19" t="str">
        <f>_xlfn.IFNA(VLOOKUP($B1308,Keys!$A:$B,2,FALSE),_xlfn.IFNA(VLOOKUP($B1308,Keys!$D:$E,2,FALSE),VLOOKUP($B1308,Keys!$G:$H,2,FALSE)))</f>
        <v>0x000000229A9DB062</v>
      </c>
      <c r="B1308" s="5" t="s">
        <v>2946</v>
      </c>
      <c r="C1308" s="5" t="s">
        <v>410</v>
      </c>
      <c r="D1308" s="5" t="s">
        <v>16859</v>
      </c>
      <c r="E1308" s="5"/>
      <c r="F1308" s="5" t="s">
        <v>9297</v>
      </c>
      <c r="G1308" s="5" t="s">
        <v>8971</v>
      </c>
      <c r="H1308" s="1"/>
      <c r="I1308" s="1"/>
      <c r="J1308" s="2"/>
      <c r="K1308" s="5" t="s">
        <v>9955</v>
      </c>
      <c r="L1308" s="19" t="s">
        <v>11257</v>
      </c>
      <c r="M1308" s="20"/>
      <c r="N1308" s="5" t="s">
        <v>9299</v>
      </c>
      <c r="O1308" s="1"/>
      <c r="P1308" s="21" t="str">
        <f>IF(ISNUMBER(MATCH($C1308,StackableKinds,0)), TRUE, "")</f>
        <v/>
      </c>
      <c r="Q1308" s="7" t="b">
        <v>1</v>
      </c>
    </row>
    <row r="1309" spans="1:17" x14ac:dyDescent="0.2">
      <c r="A1309" s="19" t="str">
        <f>_xlfn.IFNA(VLOOKUP($B1309,Keys!$A:$B,2,FALSE),_xlfn.IFNA(VLOOKUP($B1309,Keys!$D:$E,2,FALSE),VLOOKUP($B1309,Keys!$G:$H,2,FALSE)))</f>
        <v>0x0000001659D96B20</v>
      </c>
      <c r="B1309" s="5" t="s">
        <v>4935</v>
      </c>
      <c r="C1309" s="5" t="s">
        <v>410</v>
      </c>
      <c r="D1309" s="5" t="s">
        <v>16858</v>
      </c>
      <c r="E1309" s="5"/>
      <c r="F1309" s="5" t="s">
        <v>8995</v>
      </c>
      <c r="G1309" s="5" t="s">
        <v>8755</v>
      </c>
      <c r="H1309" s="1"/>
      <c r="I1309" s="5">
        <v>1</v>
      </c>
      <c r="J1309" s="2"/>
      <c r="K1309" s="5" t="s">
        <v>10298</v>
      </c>
      <c r="L1309" s="19" t="s">
        <v>11059</v>
      </c>
      <c r="M1309" s="20"/>
      <c r="N1309" s="5" t="s">
        <v>9961</v>
      </c>
      <c r="O1309" s="5" t="s">
        <v>10289</v>
      </c>
      <c r="P1309" s="21" t="str">
        <f>IF(ISNUMBER(MATCH($C1309,StackableKinds,0)), TRUE, "")</f>
        <v/>
      </c>
      <c r="Q1309" s="7" t="b">
        <v>1</v>
      </c>
    </row>
    <row r="1310" spans="1:17" x14ac:dyDescent="0.2">
      <c r="A1310" s="19" t="str">
        <f>_xlfn.IFNA(VLOOKUP($B1310,Keys!$A:$B,2,FALSE),_xlfn.IFNA(VLOOKUP($B1310,Keys!$D:$E,2,FALSE),VLOOKUP($B1310,Keys!$G:$H,2,FALSE)))</f>
        <v>0x000000120A77D02C</v>
      </c>
      <c r="B1310" s="5" t="s">
        <v>548</v>
      </c>
      <c r="C1310" s="5" t="s">
        <v>410</v>
      </c>
      <c r="D1310" s="5" t="s">
        <v>16858</v>
      </c>
      <c r="E1310" s="5"/>
      <c r="F1310" s="5" t="s">
        <v>8995</v>
      </c>
      <c r="G1310" s="5" t="s">
        <v>8972</v>
      </c>
      <c r="H1310" s="1"/>
      <c r="I1310" s="5">
        <v>1</v>
      </c>
      <c r="J1310" s="2"/>
      <c r="K1310" s="5" t="s">
        <v>9039</v>
      </c>
      <c r="L1310" s="5" t="s">
        <v>9040</v>
      </c>
      <c r="M1310" s="20"/>
      <c r="N1310" s="5" t="s">
        <v>9961</v>
      </c>
      <c r="O1310" s="5" t="s">
        <v>9022</v>
      </c>
      <c r="P1310" s="21" t="str">
        <f>IF(ISNUMBER(MATCH($C1310,StackableKinds,0)), TRUE, "")</f>
        <v/>
      </c>
      <c r="Q1310" s="7" t="b">
        <v>1</v>
      </c>
    </row>
    <row r="1311" spans="1:17" x14ac:dyDescent="0.2">
      <c r="A1311" s="19" t="str">
        <f>_xlfn.IFNA(VLOOKUP($B1311,Keys!$A:$B,2,FALSE),_xlfn.IFNA(VLOOKUP($B1311,Keys!$D:$E,2,FALSE),VLOOKUP($B1311,Keys!$G:$H,2,FALSE)))</f>
        <v>0x000000166FE51E37</v>
      </c>
      <c r="B1311" s="5" t="s">
        <v>2958</v>
      </c>
      <c r="C1311" s="5" t="s">
        <v>410</v>
      </c>
      <c r="D1311" s="5" t="s">
        <v>16862</v>
      </c>
      <c r="E1311" s="5"/>
      <c r="F1311" s="5" t="s">
        <v>8995</v>
      </c>
      <c r="G1311" s="5" t="s">
        <v>8996</v>
      </c>
      <c r="H1311" s="1"/>
      <c r="I1311" s="1"/>
      <c r="J1311" s="2"/>
      <c r="K1311" s="5" t="s">
        <v>9960</v>
      </c>
      <c r="L1311" s="19" t="s">
        <v>11125</v>
      </c>
      <c r="M1311" s="18"/>
      <c r="N1311" s="5" t="s">
        <v>9961</v>
      </c>
      <c r="O1311" s="5" t="s">
        <v>8999</v>
      </c>
      <c r="P1311" s="21" t="str">
        <f>IF(ISNUMBER(MATCH($C1311,StackableKinds,0)), TRUE, "")</f>
        <v/>
      </c>
      <c r="Q1311" s="7" t="b">
        <v>1</v>
      </c>
    </row>
    <row r="1312" spans="1:17" x14ac:dyDescent="0.2">
      <c r="A1312" s="19" t="str">
        <f>_xlfn.IFNA(VLOOKUP($B1312,Keys!$A:$B,2,FALSE),_xlfn.IFNA(VLOOKUP($B1312,Keys!$D:$E,2,FALSE),VLOOKUP($B1312,Keys!$G:$H,2,FALSE)))</f>
        <v>0x0000000F69380A1E</v>
      </c>
      <c r="B1312" s="5" t="s">
        <v>2970</v>
      </c>
      <c r="C1312" s="5" t="s">
        <v>410</v>
      </c>
      <c r="D1312" s="5" t="s">
        <v>16860</v>
      </c>
      <c r="E1312" s="5"/>
      <c r="F1312" s="5" t="s">
        <v>9884</v>
      </c>
      <c r="G1312" s="5" t="s">
        <v>9796</v>
      </c>
      <c r="H1312" s="1"/>
      <c r="I1312" s="1"/>
      <c r="J1312" s="2"/>
      <c r="K1312" s="5" t="s">
        <v>9796</v>
      </c>
      <c r="L1312" s="19" t="s">
        <v>11126</v>
      </c>
      <c r="M1312" s="20"/>
      <c r="N1312" s="5" t="s">
        <v>9885</v>
      </c>
      <c r="O1312" s="5" t="s">
        <v>9970</v>
      </c>
      <c r="P1312" s="21" t="str">
        <f>IF(ISNUMBER(MATCH($C1312,StackableKinds,0)), TRUE, "")</f>
        <v/>
      </c>
      <c r="Q1312" s="7" t="b">
        <v>1</v>
      </c>
    </row>
    <row r="1313" spans="1:17" x14ac:dyDescent="0.2">
      <c r="A1313" s="19" t="str">
        <f>_xlfn.IFNA(VLOOKUP($B1313,Keys!$A:$B,2,FALSE),_xlfn.IFNA(VLOOKUP($B1313,Keys!$D:$E,2,FALSE),VLOOKUP($B1313,Keys!$G:$H,2,FALSE)))</f>
        <v>0x00000013275B3F32</v>
      </c>
      <c r="B1313" s="5" t="s">
        <v>2976</v>
      </c>
      <c r="C1313" s="5" t="s">
        <v>410</v>
      </c>
      <c r="D1313" s="5" t="s">
        <v>16859</v>
      </c>
      <c r="E1313" s="5"/>
      <c r="F1313" s="5" t="s">
        <v>9884</v>
      </c>
      <c r="G1313" s="5" t="s">
        <v>9796</v>
      </c>
      <c r="H1313" s="1"/>
      <c r="I1313" s="1"/>
      <c r="J1313" s="2"/>
      <c r="K1313" s="5" t="s">
        <v>9796</v>
      </c>
      <c r="L1313" s="19" t="s">
        <v>11126</v>
      </c>
      <c r="M1313" s="20"/>
      <c r="N1313" s="5" t="s">
        <v>9885</v>
      </c>
      <c r="O1313" s="5" t="s">
        <v>9970</v>
      </c>
      <c r="P1313" s="21" t="str">
        <f>IF(ISNUMBER(MATCH($C1313,StackableKinds,0)), TRUE, "")</f>
        <v/>
      </c>
      <c r="Q1313" s="7" t="b">
        <v>1</v>
      </c>
    </row>
    <row r="1314" spans="1:17" x14ac:dyDescent="0.2">
      <c r="A1314" s="19" t="str">
        <f>_xlfn.IFNA(VLOOKUP($B1314,Keys!$A:$B,2,FALSE),_xlfn.IFNA(VLOOKUP($B1314,Keys!$D:$E,2,FALSE),VLOOKUP($B1314,Keys!$G:$H,2,FALSE)))</f>
        <v>0x00000018FEBA4CEF</v>
      </c>
      <c r="B1314" s="5" t="s">
        <v>2978</v>
      </c>
      <c r="C1314" s="5" t="s">
        <v>410</v>
      </c>
      <c r="D1314" s="5" t="s">
        <v>16858</v>
      </c>
      <c r="E1314" s="5"/>
      <c r="F1314" s="5" t="s">
        <v>9884</v>
      </c>
      <c r="G1314" s="5" t="s">
        <v>9796</v>
      </c>
      <c r="H1314" s="1"/>
      <c r="I1314" s="1"/>
      <c r="J1314" s="2"/>
      <c r="K1314" s="5" t="s">
        <v>9796</v>
      </c>
      <c r="L1314" s="19" t="s">
        <v>11126</v>
      </c>
      <c r="M1314" s="20"/>
      <c r="N1314" s="5" t="s">
        <v>9885</v>
      </c>
      <c r="O1314" s="5" t="s">
        <v>9970</v>
      </c>
      <c r="P1314" s="21" t="str">
        <f>IF(ISNUMBER(MATCH($C1314,StackableKinds,0)), TRUE, "")</f>
        <v/>
      </c>
      <c r="Q1314" s="7" t="b">
        <v>1</v>
      </c>
    </row>
    <row r="1315" spans="1:17" x14ac:dyDescent="0.2">
      <c r="A1315" s="19" t="str">
        <f>_xlfn.IFNA(VLOOKUP($B1315,Keys!$A:$B,2,FALSE),_xlfn.IFNA(VLOOKUP($B1315,Keys!$D:$E,2,FALSE),VLOOKUP($B1315,Keys!$G:$H,2,FALSE)))</f>
        <v>0x000000123AC4E407</v>
      </c>
      <c r="B1315" s="5" t="s">
        <v>530</v>
      </c>
      <c r="C1315" s="5" t="s">
        <v>410</v>
      </c>
      <c r="D1315" s="5" t="s">
        <v>16861</v>
      </c>
      <c r="E1315" s="5"/>
      <c r="F1315" s="5" t="s">
        <v>8995</v>
      </c>
      <c r="G1315" s="5" t="s">
        <v>8972</v>
      </c>
      <c r="H1315" s="1"/>
      <c r="I1315" s="1"/>
      <c r="J1315" s="2"/>
      <c r="K1315" s="5" t="s">
        <v>9020</v>
      </c>
      <c r="L1315" s="5" t="s">
        <v>9021</v>
      </c>
      <c r="M1315" s="20"/>
      <c r="N1315" s="5" t="s">
        <v>9961</v>
      </c>
      <c r="O1315" s="5" t="s">
        <v>9022</v>
      </c>
      <c r="P1315" s="21" t="str">
        <f>IF(ISNUMBER(MATCH($C1315,StackableKinds,0)), TRUE, "")</f>
        <v/>
      </c>
      <c r="Q1315" s="7" t="b">
        <v>1</v>
      </c>
    </row>
    <row r="1316" spans="1:17" x14ac:dyDescent="0.2">
      <c r="A1316" s="19" t="str">
        <f>_xlfn.IFNA(VLOOKUP($B1316,Keys!$A:$B,2,FALSE),_xlfn.IFNA(VLOOKUP($B1316,Keys!$D:$E,2,FALSE),VLOOKUP($B1316,Keys!$G:$H,2,FALSE)))</f>
        <v>0x00000012A3CDB5BD</v>
      </c>
      <c r="B1316" s="5" t="s">
        <v>532</v>
      </c>
      <c r="C1316" s="5" t="s">
        <v>410</v>
      </c>
      <c r="D1316" s="5" t="s">
        <v>16860</v>
      </c>
      <c r="E1316" s="5"/>
      <c r="F1316" s="5" t="s">
        <v>8995</v>
      </c>
      <c r="G1316" s="5" t="s">
        <v>8972</v>
      </c>
      <c r="H1316" s="1"/>
      <c r="I1316" s="1"/>
      <c r="J1316" s="2"/>
      <c r="K1316" s="5" t="s">
        <v>9023</v>
      </c>
      <c r="L1316" s="5" t="s">
        <v>9024</v>
      </c>
      <c r="M1316" s="20"/>
      <c r="N1316" s="5" t="s">
        <v>9961</v>
      </c>
      <c r="O1316" s="5" t="s">
        <v>9022</v>
      </c>
      <c r="P1316" s="21" t="str">
        <f>IF(ISNUMBER(MATCH($C1316,StackableKinds,0)), TRUE, "")</f>
        <v/>
      </c>
      <c r="Q1316" s="7" t="b">
        <v>1</v>
      </c>
    </row>
    <row r="1317" spans="1:17" x14ac:dyDescent="0.2">
      <c r="A1317" s="19" t="str">
        <f>_xlfn.IFNA(VLOOKUP($B1317,Keys!$A:$B,2,FALSE),_xlfn.IFNA(VLOOKUP($B1317,Keys!$D:$E,2,FALSE),VLOOKUP($B1317,Keys!$G:$H,2,FALSE)))</f>
        <v>0x00000012D4CA852B</v>
      </c>
      <c r="B1317" s="5" t="s">
        <v>534</v>
      </c>
      <c r="C1317" s="5" t="s">
        <v>410</v>
      </c>
      <c r="D1317" s="5" t="s">
        <v>16859</v>
      </c>
      <c r="E1317" s="5"/>
      <c r="F1317" s="5" t="s">
        <v>8995</v>
      </c>
      <c r="G1317" s="5" t="s">
        <v>8972</v>
      </c>
      <c r="H1317" s="1"/>
      <c r="I1317" s="1"/>
      <c r="J1317" s="2"/>
      <c r="K1317" s="5" t="s">
        <v>9025</v>
      </c>
      <c r="L1317" s="5" t="s">
        <v>9026</v>
      </c>
      <c r="M1317" s="20"/>
      <c r="N1317" s="5" t="s">
        <v>9961</v>
      </c>
      <c r="O1317" s="5" t="s">
        <v>9022</v>
      </c>
      <c r="P1317" s="21" t="str">
        <f>IF(ISNUMBER(MATCH($C1317,StackableKinds,0)), TRUE, "")</f>
        <v/>
      </c>
      <c r="Q1317" s="7" t="b">
        <v>1</v>
      </c>
    </row>
    <row r="1318" spans="1:17" x14ac:dyDescent="0.2">
      <c r="A1318" s="19" t="str">
        <f>_xlfn.IFNA(VLOOKUP($B1318,Keys!$A:$B,2,FALSE),_xlfn.IFNA(VLOOKUP($B1318,Keys!$D:$E,2,FALSE),VLOOKUP($B1318,Keys!$G:$H,2,FALSE)))</f>
        <v>0x0000001ECB129118</v>
      </c>
      <c r="B1318" s="5" t="s">
        <v>2106</v>
      </c>
      <c r="C1318" s="5" t="s">
        <v>410</v>
      </c>
      <c r="D1318" s="5" t="s">
        <v>16861</v>
      </c>
      <c r="E1318" s="5"/>
      <c r="F1318" s="5" t="s">
        <v>9645</v>
      </c>
      <c r="G1318" s="5" t="s">
        <v>8971</v>
      </c>
      <c r="H1318" s="1"/>
      <c r="I1318" s="1"/>
      <c r="J1318" s="2"/>
      <c r="K1318" s="5" t="s">
        <v>9646</v>
      </c>
      <c r="L1318" s="19" t="s">
        <v>10941</v>
      </c>
      <c r="M1318" s="20"/>
      <c r="N1318" s="5" t="s">
        <v>9647</v>
      </c>
      <c r="O1318" s="1"/>
      <c r="P1318" s="21" t="str">
        <f>IF(ISNUMBER(MATCH($C1318,StackableKinds,0)), TRUE, "")</f>
        <v/>
      </c>
      <c r="Q1318" s="7" t="b">
        <v>1</v>
      </c>
    </row>
    <row r="1319" spans="1:17" x14ac:dyDescent="0.2">
      <c r="A1319" s="19" t="str">
        <f>_xlfn.IFNA(VLOOKUP($B1319,Keys!$A:$B,2,FALSE),_xlfn.IFNA(VLOOKUP($B1319,Keys!$D:$E,2,FALSE),VLOOKUP($B1319,Keys!$G:$H,2,FALSE)))</f>
        <v>0x0000001ABD04694F</v>
      </c>
      <c r="B1319" s="5" t="s">
        <v>2104</v>
      </c>
      <c r="C1319" s="5" t="s">
        <v>410</v>
      </c>
      <c r="D1319" s="5" t="s">
        <v>16860</v>
      </c>
      <c r="E1319" s="5"/>
      <c r="F1319" s="5" t="s">
        <v>9645</v>
      </c>
      <c r="G1319" s="5" t="s">
        <v>8971</v>
      </c>
      <c r="H1319" s="1"/>
      <c r="I1319" s="1"/>
      <c r="J1319" s="2"/>
      <c r="K1319" s="5" t="s">
        <v>9646</v>
      </c>
      <c r="L1319" s="19" t="s">
        <v>10940</v>
      </c>
      <c r="M1319" s="20"/>
      <c r="N1319" s="5" t="s">
        <v>9647</v>
      </c>
      <c r="O1319" s="1"/>
      <c r="P1319" s="21" t="str">
        <f>IF(ISNUMBER(MATCH($C1319,StackableKinds,0)), TRUE, "")</f>
        <v/>
      </c>
      <c r="Q1319" s="7" t="b">
        <v>1</v>
      </c>
    </row>
    <row r="1320" spans="1:17" x14ac:dyDescent="0.2">
      <c r="A1320" s="19" t="str">
        <f>_xlfn.IFNA(VLOOKUP($B1320,Keys!$A:$B,2,FALSE),_xlfn.IFNA(VLOOKUP($B1320,Keys!$D:$E,2,FALSE),VLOOKUP($B1320,Keys!$G:$H,2,FALSE)))</f>
        <v>0x0000001A2D7BA181</v>
      </c>
      <c r="B1320" s="5" t="s">
        <v>2102</v>
      </c>
      <c r="C1320" s="5" t="s">
        <v>410</v>
      </c>
      <c r="D1320" s="5" t="s">
        <v>16859</v>
      </c>
      <c r="E1320" s="5"/>
      <c r="F1320" s="5" t="s">
        <v>9645</v>
      </c>
      <c r="G1320" s="5" t="s">
        <v>8971</v>
      </c>
      <c r="H1320" s="1"/>
      <c r="I1320" s="1"/>
      <c r="J1320" s="2"/>
      <c r="K1320" s="5" t="s">
        <v>9646</v>
      </c>
      <c r="L1320" s="19" t="s">
        <v>10939</v>
      </c>
      <c r="M1320" s="20"/>
      <c r="N1320" s="5" t="s">
        <v>9647</v>
      </c>
      <c r="O1320" s="1"/>
      <c r="P1320" s="21" t="str">
        <f>IF(ISNUMBER(MATCH($C1320,StackableKinds,0)), TRUE, "")</f>
        <v/>
      </c>
      <c r="Q1320" s="7" t="b">
        <v>1</v>
      </c>
    </row>
    <row r="1321" spans="1:17" x14ac:dyDescent="0.2">
      <c r="A1321" s="19" t="str">
        <f>_xlfn.IFNA(VLOOKUP($B1321,Keys!$A:$B,2,FALSE),_xlfn.IFNA(VLOOKUP($B1321,Keys!$D:$E,2,FALSE),VLOOKUP($B1321,Keys!$G:$H,2,FALSE)))</f>
        <v>0x00000014B099D078</v>
      </c>
      <c r="B1321" s="5" t="s">
        <v>2982</v>
      </c>
      <c r="C1321" s="5" t="s">
        <v>410</v>
      </c>
      <c r="D1321" s="5" t="s">
        <v>16862</v>
      </c>
      <c r="E1321" s="5"/>
      <c r="F1321" s="5" t="s">
        <v>9645</v>
      </c>
      <c r="G1321" s="5" t="s">
        <v>8971</v>
      </c>
      <c r="H1321" s="1"/>
      <c r="I1321" s="1"/>
      <c r="J1321" s="2"/>
      <c r="K1321" s="5" t="s">
        <v>9971</v>
      </c>
      <c r="L1321" s="19" t="s">
        <v>11260</v>
      </c>
      <c r="M1321" s="20"/>
      <c r="N1321" s="5" t="s">
        <v>9647</v>
      </c>
      <c r="O1321" s="1"/>
      <c r="P1321" s="21" t="str">
        <f>IF(ISNUMBER(MATCH($C1321,StackableKinds,0)), TRUE, "")</f>
        <v/>
      </c>
      <c r="Q1321" s="7" t="b">
        <v>1</v>
      </c>
    </row>
    <row r="1322" spans="1:17" x14ac:dyDescent="0.2">
      <c r="A1322" s="19" t="str">
        <f>_xlfn.IFNA(VLOOKUP($B1322,Keys!$A:$B,2,FALSE),_xlfn.IFNA(VLOOKUP($B1322,Keys!$D:$E,2,FALSE),VLOOKUP($B1322,Keys!$G:$H,2,FALSE)))</f>
        <v>0x000000169CA5CFA1</v>
      </c>
      <c r="B1322" s="5" t="s">
        <v>2990</v>
      </c>
      <c r="C1322" s="5" t="s">
        <v>410</v>
      </c>
      <c r="D1322" s="5" t="s">
        <v>16861</v>
      </c>
      <c r="E1322" s="5"/>
      <c r="F1322" s="5" t="s">
        <v>9645</v>
      </c>
      <c r="G1322" s="5" t="s">
        <v>8971</v>
      </c>
      <c r="H1322" s="1"/>
      <c r="I1322" s="1"/>
      <c r="J1322" s="2"/>
      <c r="K1322" s="5" t="s">
        <v>9971</v>
      </c>
      <c r="L1322" s="19" t="s">
        <v>11264</v>
      </c>
      <c r="M1322" s="20"/>
      <c r="N1322" s="5" t="s">
        <v>9647</v>
      </c>
      <c r="O1322" s="1"/>
      <c r="P1322" s="21" t="str">
        <f>IF(ISNUMBER(MATCH($C1322,StackableKinds,0)), TRUE, "")</f>
        <v/>
      </c>
      <c r="Q1322" s="7" t="b">
        <v>1</v>
      </c>
    </row>
    <row r="1323" spans="1:17" x14ac:dyDescent="0.2">
      <c r="A1323" s="19" t="str">
        <f>_xlfn.IFNA(VLOOKUP($B1323,Keys!$A:$B,2,FALSE),_xlfn.IFNA(VLOOKUP($B1323,Keys!$D:$E,2,FALSE),VLOOKUP($B1323,Keys!$G:$H,2,FALSE)))</f>
        <v>0x000000126544A0BA</v>
      </c>
      <c r="B1323" s="5" t="s">
        <v>2988</v>
      </c>
      <c r="C1323" s="5" t="s">
        <v>410</v>
      </c>
      <c r="D1323" s="5" t="s">
        <v>16860</v>
      </c>
      <c r="E1323" s="5"/>
      <c r="F1323" s="5" t="s">
        <v>9645</v>
      </c>
      <c r="G1323" s="5" t="s">
        <v>8971</v>
      </c>
      <c r="H1323" s="1"/>
      <c r="I1323" s="1"/>
      <c r="J1323" s="2"/>
      <c r="K1323" s="5" t="s">
        <v>9971</v>
      </c>
      <c r="L1323" s="19" t="s">
        <v>11263</v>
      </c>
      <c r="M1323" s="20"/>
      <c r="N1323" s="5" t="s">
        <v>9647</v>
      </c>
      <c r="O1323" s="1"/>
      <c r="P1323" s="21" t="str">
        <f>IF(ISNUMBER(MATCH($C1323,StackableKinds,0)), TRUE, "")</f>
        <v/>
      </c>
      <c r="Q1323" s="7" t="b">
        <v>1</v>
      </c>
    </row>
    <row r="1324" spans="1:17" x14ac:dyDescent="0.2">
      <c r="A1324" s="19" t="str">
        <f>_xlfn.IFNA(VLOOKUP($B1324,Keys!$A:$B,2,FALSE),_xlfn.IFNA(VLOOKUP($B1324,Keys!$D:$E,2,FALSE),VLOOKUP($B1324,Keys!$G:$H,2,FALSE)))</f>
        <v>0x00000012F53B6874</v>
      </c>
      <c r="B1324" s="5" t="s">
        <v>2984</v>
      </c>
      <c r="C1324" s="5" t="s">
        <v>410</v>
      </c>
      <c r="D1324" s="5" t="s">
        <v>16859</v>
      </c>
      <c r="E1324" s="5"/>
      <c r="F1324" s="5" t="s">
        <v>9645</v>
      </c>
      <c r="G1324" s="5" t="s">
        <v>8971</v>
      </c>
      <c r="H1324" s="1"/>
      <c r="I1324" s="1"/>
      <c r="J1324" s="2"/>
      <c r="K1324" s="5" t="s">
        <v>9971</v>
      </c>
      <c r="L1324" s="19" t="s">
        <v>11261</v>
      </c>
      <c r="M1324" s="20"/>
      <c r="N1324" s="5" t="s">
        <v>9647</v>
      </c>
      <c r="O1324" s="1"/>
      <c r="P1324" s="21" t="str">
        <f>IF(ISNUMBER(MATCH($C1324,StackableKinds,0)), TRUE, "")</f>
        <v/>
      </c>
      <c r="Q1324" s="7" t="b">
        <v>1</v>
      </c>
    </row>
    <row r="1325" spans="1:17" x14ac:dyDescent="0.2">
      <c r="A1325" s="19" t="str">
        <f>_xlfn.IFNA(VLOOKUP($B1325,Keys!$A:$B,2,FALSE),_xlfn.IFNA(VLOOKUP($B1325,Keys!$D:$E,2,FALSE),VLOOKUP($B1325,Keys!$G:$H,2,FALSE)))</f>
        <v>0x00000017840ABAA0</v>
      </c>
      <c r="B1325" s="5" t="s">
        <v>2986</v>
      </c>
      <c r="C1325" s="5" t="s">
        <v>410</v>
      </c>
      <c r="D1325" s="5" t="s">
        <v>16858</v>
      </c>
      <c r="E1325" s="5"/>
      <c r="F1325" s="5" t="s">
        <v>9645</v>
      </c>
      <c r="G1325" s="5" t="s">
        <v>8971</v>
      </c>
      <c r="H1325" s="1"/>
      <c r="I1325" s="1"/>
      <c r="J1325" s="2"/>
      <c r="K1325" s="5" t="s">
        <v>9971</v>
      </c>
      <c r="L1325" s="19" t="s">
        <v>11262</v>
      </c>
      <c r="M1325" s="20"/>
      <c r="N1325" s="5" t="s">
        <v>9647</v>
      </c>
      <c r="O1325" s="1"/>
      <c r="P1325" s="21" t="str">
        <f>IF(ISNUMBER(MATCH($C1325,StackableKinds,0)), TRUE, "")</f>
        <v/>
      </c>
      <c r="Q1325" s="7" t="b">
        <v>1</v>
      </c>
    </row>
    <row r="1326" spans="1:17" x14ac:dyDescent="0.2">
      <c r="A1326" s="19" t="str">
        <f>_xlfn.IFNA(VLOOKUP($B1326,Keys!$A:$B,2,FALSE),_xlfn.IFNA(VLOOKUP($B1326,Keys!$D:$E,2,FALSE),VLOOKUP($B1326,Keys!$G:$H,2,FALSE)))</f>
        <v>0x0000002370B4DC85</v>
      </c>
      <c r="B1326" s="5" t="s">
        <v>3004</v>
      </c>
      <c r="C1326" s="5" t="s">
        <v>410</v>
      </c>
      <c r="D1326" s="5" t="s">
        <v>16858</v>
      </c>
      <c r="E1326" s="5"/>
      <c r="F1326" s="5" t="s">
        <v>8995</v>
      </c>
      <c r="G1326" s="5" t="s">
        <v>8996</v>
      </c>
      <c r="H1326" s="1"/>
      <c r="I1326" s="5">
        <v>1</v>
      </c>
      <c r="J1326" s="2"/>
      <c r="K1326" s="5" t="s">
        <v>9974</v>
      </c>
      <c r="L1326" s="19" t="s">
        <v>10992</v>
      </c>
      <c r="M1326" s="20"/>
      <c r="N1326" s="5" t="s">
        <v>9961</v>
      </c>
      <c r="O1326" s="5" t="s">
        <v>8999</v>
      </c>
      <c r="P1326" s="21" t="str">
        <f>IF(ISNUMBER(MATCH($C1326,StackableKinds,0)), TRUE, "")</f>
        <v/>
      </c>
      <c r="Q1326" s="7" t="b">
        <v>1</v>
      </c>
    </row>
    <row r="1327" spans="1:17" x14ac:dyDescent="0.2">
      <c r="A1327" s="19" t="str">
        <f>_xlfn.IFNA(VLOOKUP($B1327,Keys!$A:$B,2,FALSE),_xlfn.IFNA(VLOOKUP($B1327,Keys!$D:$E,2,FALSE),VLOOKUP($B1327,Keys!$G:$H,2,FALSE)))</f>
        <v>0x000000124E3AD4B2</v>
      </c>
      <c r="B1327" s="5" t="s">
        <v>3056</v>
      </c>
      <c r="C1327" s="5" t="s">
        <v>410</v>
      </c>
      <c r="D1327" s="5" t="s">
        <v>16858</v>
      </c>
      <c r="E1327" s="5"/>
      <c r="F1327" s="5" t="s">
        <v>9328</v>
      </c>
      <c r="G1327" s="1"/>
      <c r="H1327" s="1"/>
      <c r="I1327" s="1"/>
      <c r="J1327" s="2"/>
      <c r="K1327" s="5" t="s">
        <v>9988</v>
      </c>
      <c r="L1327" s="19" t="s">
        <v>11265</v>
      </c>
      <c r="M1327" s="20"/>
      <c r="N1327" s="5" t="s">
        <v>9331</v>
      </c>
      <c r="O1327" s="1"/>
      <c r="P1327" s="21" t="str">
        <f>IF(ISNUMBER(MATCH($C1327,StackableKinds,0)), TRUE, "")</f>
        <v/>
      </c>
      <c r="Q1327" s="7" t="b">
        <v>1</v>
      </c>
    </row>
    <row r="1328" spans="1:17" x14ac:dyDescent="0.2">
      <c r="A1328" s="19" t="str">
        <f>_xlfn.IFNA(VLOOKUP($B1328,Keys!$A:$B,2,FALSE),_xlfn.IFNA(VLOOKUP($B1328,Keys!$D:$E,2,FALSE),VLOOKUP($B1328,Keys!$G:$H,2,FALSE)))</f>
        <v>0x00000018FB4FC0EC</v>
      </c>
      <c r="B1328" s="5" t="s">
        <v>3976</v>
      </c>
      <c r="C1328" s="5" t="s">
        <v>410</v>
      </c>
      <c r="D1328" s="5" t="s">
        <v>16860</v>
      </c>
      <c r="E1328" s="5"/>
      <c r="F1328" s="5" t="s">
        <v>9884</v>
      </c>
      <c r="G1328" s="5" t="s">
        <v>9049</v>
      </c>
      <c r="H1328" s="1"/>
      <c r="I1328" s="1"/>
      <c r="J1328" s="2"/>
      <c r="K1328" s="5" t="s">
        <v>9049</v>
      </c>
      <c r="L1328" s="19" t="s">
        <v>11043</v>
      </c>
      <c r="M1328" s="20"/>
      <c r="N1328" s="5" t="s">
        <v>9885</v>
      </c>
      <c r="O1328" s="5" t="s">
        <v>10239</v>
      </c>
      <c r="P1328" s="21" t="str">
        <f>IF(ISNUMBER(MATCH($C1328,StackableKinds,0)), TRUE, "")</f>
        <v/>
      </c>
      <c r="Q1328" s="7" t="b">
        <v>1</v>
      </c>
    </row>
    <row r="1329" spans="1:17" x14ac:dyDescent="0.2">
      <c r="A1329" s="19" t="str">
        <f>_xlfn.IFNA(VLOOKUP($B1329,Keys!$A:$B,2,FALSE),_xlfn.IFNA(VLOOKUP($B1329,Keys!$D:$E,2,FALSE),VLOOKUP($B1329,Keys!$G:$H,2,FALSE)))</f>
        <v>0x0000001CE973EFD1</v>
      </c>
      <c r="B1329" s="5" t="s">
        <v>3978</v>
      </c>
      <c r="C1329" s="5" t="s">
        <v>410</v>
      </c>
      <c r="D1329" s="5" t="s">
        <v>16859</v>
      </c>
      <c r="E1329" s="5"/>
      <c r="F1329" s="5" t="s">
        <v>9884</v>
      </c>
      <c r="G1329" s="5" t="s">
        <v>9049</v>
      </c>
      <c r="H1329" s="1"/>
      <c r="I1329" s="1"/>
      <c r="J1329" s="2"/>
      <c r="K1329" s="5" t="s">
        <v>9049</v>
      </c>
      <c r="L1329" s="19" t="s">
        <v>11043</v>
      </c>
      <c r="M1329" s="20"/>
      <c r="N1329" s="5" t="s">
        <v>9885</v>
      </c>
      <c r="O1329" s="5" t="s">
        <v>10239</v>
      </c>
      <c r="P1329" s="21" t="str">
        <f>IF(ISNUMBER(MATCH($C1329,StackableKinds,0)), TRUE, "")</f>
        <v/>
      </c>
      <c r="Q1329" s="7" t="b">
        <v>1</v>
      </c>
    </row>
    <row r="1330" spans="1:17" x14ac:dyDescent="0.2">
      <c r="A1330" s="19" t="str">
        <f>_xlfn.IFNA(VLOOKUP($B1330,Keys!$A:$B,2,FALSE),_xlfn.IFNA(VLOOKUP($B1330,Keys!$D:$E,2,FALSE),VLOOKUP($B1330,Keys!$G:$H,2,FALSE)))</f>
        <v>0x00000021D4BDA5E1</v>
      </c>
      <c r="B1330" s="5" t="s">
        <v>3980</v>
      </c>
      <c r="C1330" s="5" t="s">
        <v>410</v>
      </c>
      <c r="D1330" s="5" t="s">
        <v>16858</v>
      </c>
      <c r="E1330" s="5"/>
      <c r="F1330" s="5" t="s">
        <v>9884</v>
      </c>
      <c r="G1330" s="5" t="s">
        <v>9049</v>
      </c>
      <c r="H1330" s="1"/>
      <c r="I1330" s="1"/>
      <c r="J1330" s="2"/>
      <c r="K1330" s="5" t="s">
        <v>9049</v>
      </c>
      <c r="L1330" s="19" t="s">
        <v>11043</v>
      </c>
      <c r="M1330" s="20"/>
      <c r="N1330" s="5" t="s">
        <v>9885</v>
      </c>
      <c r="O1330" s="5" t="s">
        <v>10239</v>
      </c>
      <c r="P1330" s="21" t="str">
        <f>IF(ISNUMBER(MATCH($C1330,StackableKinds,0)), TRUE, "")</f>
        <v/>
      </c>
      <c r="Q1330" s="7" t="b">
        <v>1</v>
      </c>
    </row>
    <row r="1331" spans="1:17" x14ac:dyDescent="0.2">
      <c r="A1331" s="19" t="str">
        <f>_xlfn.IFNA(VLOOKUP($B1331,Keys!$A:$B,2,FALSE),_xlfn.IFNA(VLOOKUP($B1331,Keys!$D:$E,2,FALSE),VLOOKUP($B1331,Keys!$G:$H,2,FALSE)))</f>
        <v>0x00000016C40E5399</v>
      </c>
      <c r="B1331" s="5" t="s">
        <v>4933</v>
      </c>
      <c r="C1331" s="5" t="s">
        <v>410</v>
      </c>
      <c r="D1331" s="5" t="s">
        <v>16858</v>
      </c>
      <c r="E1331" s="5"/>
      <c r="F1331" s="5" t="s">
        <v>8995</v>
      </c>
      <c r="G1331" s="5" t="s">
        <v>8755</v>
      </c>
      <c r="H1331" s="1"/>
      <c r="I1331" s="5">
        <v>1</v>
      </c>
      <c r="J1331" s="2"/>
      <c r="K1331" s="5" t="s">
        <v>10297</v>
      </c>
      <c r="L1331" s="19" t="s">
        <v>11058</v>
      </c>
      <c r="M1331" s="20"/>
      <c r="N1331" s="5" t="s">
        <v>9961</v>
      </c>
      <c r="O1331" s="5" t="s">
        <v>10289</v>
      </c>
      <c r="P1331" s="21" t="str">
        <f>IF(ISNUMBER(MATCH($C1331,StackableKinds,0)), TRUE, "")</f>
        <v/>
      </c>
      <c r="Q1331" s="7" t="b">
        <v>1</v>
      </c>
    </row>
    <row r="1332" spans="1:17" x14ac:dyDescent="0.2">
      <c r="A1332" s="19" t="str">
        <f>_xlfn.IFNA(VLOOKUP($B1332,Keys!$A:$B,2,FALSE),_xlfn.IFNA(VLOOKUP($B1332,Keys!$D:$E,2,FALSE),VLOOKUP($B1332,Keys!$G:$H,2,FALSE)))</f>
        <v>0x00000016B309630F</v>
      </c>
      <c r="B1332" s="5" t="s">
        <v>4931</v>
      </c>
      <c r="C1332" s="5" t="s">
        <v>410</v>
      </c>
      <c r="D1332" s="5" t="s">
        <v>16858</v>
      </c>
      <c r="E1332" s="5"/>
      <c r="F1332" s="5" t="s">
        <v>8995</v>
      </c>
      <c r="G1332" s="5" t="s">
        <v>8755</v>
      </c>
      <c r="H1332" s="1"/>
      <c r="I1332" s="1"/>
      <c r="J1332" s="2"/>
      <c r="K1332" s="5" t="s">
        <v>10296</v>
      </c>
      <c r="L1332" s="19" t="s">
        <v>11057</v>
      </c>
      <c r="M1332" s="20"/>
      <c r="N1332" s="5" t="s">
        <v>9961</v>
      </c>
      <c r="O1332" s="5" t="s">
        <v>10289</v>
      </c>
      <c r="P1332" s="21" t="str">
        <f>IF(ISNUMBER(MATCH($C1332,StackableKinds,0)), TRUE, "")</f>
        <v/>
      </c>
      <c r="Q1332" s="7" t="b">
        <v>1</v>
      </c>
    </row>
    <row r="1333" spans="1:17" x14ac:dyDescent="0.2">
      <c r="A1333" s="19" t="str">
        <f>_xlfn.IFNA(VLOOKUP($B1333,Keys!$A:$B,2,FALSE),_xlfn.IFNA(VLOOKUP($B1333,Keys!$D:$E,2,FALSE),VLOOKUP($B1333,Keys!$G:$H,2,FALSE)))</f>
        <v>0x0000001CF391B045</v>
      </c>
      <c r="B1333" s="5" t="s">
        <v>1442</v>
      </c>
      <c r="C1333" s="5" t="s">
        <v>410</v>
      </c>
      <c r="D1333" s="5" t="s">
        <v>16862</v>
      </c>
      <c r="E1333" s="5"/>
      <c r="F1333" s="5" t="s">
        <v>8991</v>
      </c>
      <c r="G1333" s="5" t="s">
        <v>8971</v>
      </c>
      <c r="H1333" s="1"/>
      <c r="I1333" s="1"/>
      <c r="J1333" s="2"/>
      <c r="K1333" s="5" t="s">
        <v>9357</v>
      </c>
      <c r="L1333" s="19" t="s">
        <v>10863</v>
      </c>
      <c r="M1333" s="20"/>
      <c r="N1333" s="5" t="s">
        <v>8994</v>
      </c>
      <c r="O1333" s="1"/>
      <c r="P1333" s="21" t="str">
        <f>IF(ISNUMBER(MATCH($C1333,StackableKinds,0)), TRUE, "")</f>
        <v/>
      </c>
      <c r="Q1333" s="7" t="b">
        <v>1</v>
      </c>
    </row>
    <row r="1334" spans="1:17" x14ac:dyDescent="0.2">
      <c r="A1334" s="19" t="str">
        <f>_xlfn.IFNA(VLOOKUP($B1334,Keys!$A:$B,2,FALSE),_xlfn.IFNA(VLOOKUP($B1334,Keys!$D:$E,2,FALSE),VLOOKUP($B1334,Keys!$G:$H,2,FALSE)))</f>
        <v>0x0000001EBBFFA54F</v>
      </c>
      <c r="B1334" s="5" t="s">
        <v>1446</v>
      </c>
      <c r="C1334" s="5" t="s">
        <v>410</v>
      </c>
      <c r="D1334" s="5" t="s">
        <v>16861</v>
      </c>
      <c r="E1334" s="5"/>
      <c r="F1334" s="5" t="s">
        <v>8991</v>
      </c>
      <c r="G1334" s="5" t="s">
        <v>8971</v>
      </c>
      <c r="H1334" s="1"/>
      <c r="I1334" s="1"/>
      <c r="J1334" s="2"/>
      <c r="K1334" s="5" t="s">
        <v>9357</v>
      </c>
      <c r="L1334" s="19" t="s">
        <v>10865</v>
      </c>
      <c r="M1334" s="20"/>
      <c r="N1334" s="5" t="s">
        <v>8994</v>
      </c>
      <c r="O1334" s="1"/>
      <c r="P1334" s="21" t="str">
        <f>IF(ISNUMBER(MATCH($C1334,StackableKinds,0)), TRUE, "")</f>
        <v/>
      </c>
      <c r="Q1334" s="7" t="b">
        <v>1</v>
      </c>
    </row>
    <row r="1335" spans="1:17" x14ac:dyDescent="0.2">
      <c r="A1335" s="19" t="str">
        <f>_xlfn.IFNA(VLOOKUP($B1335,Keys!$A:$B,2,FALSE),_xlfn.IFNA(VLOOKUP($B1335,Keys!$D:$E,2,FALSE),VLOOKUP($B1335,Keys!$G:$H,2,FALSE)))</f>
        <v>0x0000001A87EC1B64</v>
      </c>
      <c r="B1335" s="5" t="s">
        <v>1444</v>
      </c>
      <c r="C1335" s="5" t="s">
        <v>410</v>
      </c>
      <c r="D1335" s="5" t="s">
        <v>16860</v>
      </c>
      <c r="E1335" s="5"/>
      <c r="F1335" s="5" t="s">
        <v>8991</v>
      </c>
      <c r="G1335" s="5" t="s">
        <v>8971</v>
      </c>
      <c r="H1335" s="1"/>
      <c r="I1335" s="1"/>
      <c r="J1335" s="2"/>
      <c r="K1335" s="5" t="s">
        <v>9357</v>
      </c>
      <c r="L1335" s="19" t="s">
        <v>10864</v>
      </c>
      <c r="M1335" s="20"/>
      <c r="N1335" s="5" t="s">
        <v>8994</v>
      </c>
      <c r="O1335" s="1"/>
      <c r="P1335" s="21" t="str">
        <f>IF(ISNUMBER(MATCH($C1335,StackableKinds,0)), TRUE, "")</f>
        <v/>
      </c>
      <c r="Q1335" s="7" t="b">
        <v>1</v>
      </c>
    </row>
    <row r="1336" spans="1:17" x14ac:dyDescent="0.2">
      <c r="A1336" s="19" t="str">
        <f>_xlfn.IFNA(VLOOKUP($B1336,Keys!$A:$B,2,FALSE),_xlfn.IFNA(VLOOKUP($B1336,Keys!$D:$E,2,FALSE),VLOOKUP($B1336,Keys!$G:$H,2,FALSE)))</f>
        <v>0x0000001487027BBF</v>
      </c>
      <c r="B1336" s="5" t="s">
        <v>4256</v>
      </c>
      <c r="C1336" s="5" t="s">
        <v>410</v>
      </c>
      <c r="D1336" s="5" t="s">
        <v>16859</v>
      </c>
      <c r="E1336" s="5"/>
      <c r="F1336" s="5" t="s">
        <v>8995</v>
      </c>
      <c r="G1336" s="5" t="s">
        <v>8996</v>
      </c>
      <c r="H1336" s="1"/>
      <c r="I1336" s="1"/>
      <c r="J1336" s="2"/>
      <c r="K1336" s="5" t="s">
        <v>10268</v>
      </c>
      <c r="L1336" s="19" t="s">
        <v>11266</v>
      </c>
      <c r="M1336" s="20"/>
      <c r="N1336" s="5" t="s">
        <v>9961</v>
      </c>
      <c r="O1336" s="5" t="s">
        <v>8999</v>
      </c>
      <c r="P1336" s="21" t="str">
        <f>IF(ISNUMBER(MATCH($C1336,StackableKinds,0)), TRUE, "")</f>
        <v/>
      </c>
      <c r="Q1336" s="7" t="b">
        <v>1</v>
      </c>
    </row>
    <row r="1337" spans="1:17" x14ac:dyDescent="0.2">
      <c r="A1337" s="19" t="str">
        <f>_xlfn.IFNA(VLOOKUP($B1337,Keys!$A:$B,2,FALSE),_xlfn.IFNA(VLOOKUP($B1337,Keys!$D:$E,2,FALSE),VLOOKUP($B1337,Keys!$G:$H,2,FALSE)))</f>
        <v>0x000000182FBBADE6</v>
      </c>
      <c r="B1337" s="5" t="s">
        <v>4258</v>
      </c>
      <c r="C1337" s="5" t="s">
        <v>410</v>
      </c>
      <c r="D1337" s="5" t="s">
        <v>16858</v>
      </c>
      <c r="E1337" s="5"/>
      <c r="F1337" s="5" t="s">
        <v>8995</v>
      </c>
      <c r="G1337" s="5" t="s">
        <v>8996</v>
      </c>
      <c r="H1337" s="1"/>
      <c r="I1337" s="1"/>
      <c r="J1337" s="2"/>
      <c r="K1337" s="5" t="s">
        <v>10269</v>
      </c>
      <c r="L1337" s="19" t="s">
        <v>11267</v>
      </c>
      <c r="M1337" s="20"/>
      <c r="N1337" s="5" t="s">
        <v>9961</v>
      </c>
      <c r="O1337" s="5" t="s">
        <v>8999</v>
      </c>
      <c r="P1337" s="21" t="str">
        <f>IF(ISNUMBER(MATCH($C1337,StackableKinds,0)), TRUE, "")</f>
        <v/>
      </c>
      <c r="Q1337" s="7" t="b">
        <v>1</v>
      </c>
    </row>
    <row r="1338" spans="1:17" x14ac:dyDescent="0.2">
      <c r="A1338" s="19" t="str">
        <f>_xlfn.IFNA(VLOOKUP($B1338,Keys!$A:$B,2,FALSE),_xlfn.IFNA(VLOOKUP($B1338,Keys!$D:$E,2,FALSE),VLOOKUP($B1338,Keys!$G:$H,2,FALSE)))</f>
        <v>0x0000001A8E0794FF</v>
      </c>
      <c r="B1338" s="5" t="s">
        <v>4835</v>
      </c>
      <c r="C1338" s="5" t="s">
        <v>410</v>
      </c>
      <c r="D1338" s="5" t="s">
        <v>16862</v>
      </c>
      <c r="E1338" s="5"/>
      <c r="F1338" s="5" t="s">
        <v>9645</v>
      </c>
      <c r="G1338" s="5" t="s">
        <v>8971</v>
      </c>
      <c r="H1338" s="1"/>
      <c r="I1338" s="1"/>
      <c r="J1338" s="2"/>
      <c r="K1338" s="5" t="s">
        <v>10281</v>
      </c>
      <c r="L1338" s="19" t="s">
        <v>11044</v>
      </c>
      <c r="M1338" s="20"/>
      <c r="N1338" s="5" t="s">
        <v>9647</v>
      </c>
      <c r="O1338" s="1"/>
      <c r="P1338" s="21" t="str">
        <f>IF(ISNUMBER(MATCH($C1338,StackableKinds,0)), TRUE, "")</f>
        <v/>
      </c>
      <c r="Q1338" s="7" t="b">
        <v>1</v>
      </c>
    </row>
    <row r="1339" spans="1:17" x14ac:dyDescent="0.2">
      <c r="A1339" s="19" t="str">
        <f>_xlfn.IFNA(VLOOKUP($B1339,Keys!$A:$B,2,FALSE),_xlfn.IFNA(VLOOKUP($B1339,Keys!$D:$E,2,FALSE),VLOOKUP($B1339,Keys!$G:$H,2,FALSE)))</f>
        <v>0x0000001C99D67A3A</v>
      </c>
      <c r="B1339" s="5" t="s">
        <v>4841</v>
      </c>
      <c r="C1339" s="5" t="s">
        <v>410</v>
      </c>
      <c r="D1339" s="5" t="s">
        <v>16861</v>
      </c>
      <c r="E1339" s="5"/>
      <c r="F1339" s="5" t="s">
        <v>9645</v>
      </c>
      <c r="G1339" s="5" t="s">
        <v>8971</v>
      </c>
      <c r="H1339" s="1"/>
      <c r="I1339" s="1"/>
      <c r="J1339" s="2"/>
      <c r="K1339" s="5" t="s">
        <v>10281</v>
      </c>
      <c r="L1339" s="19" t="s">
        <v>11047</v>
      </c>
      <c r="M1339" s="20"/>
      <c r="N1339" s="5" t="s">
        <v>9647</v>
      </c>
      <c r="O1339" s="1"/>
      <c r="P1339" s="21" t="str">
        <f>IF(ISNUMBER(MATCH($C1339,StackableKinds,0)), TRUE, "")</f>
        <v/>
      </c>
      <c r="Q1339" s="7" t="b">
        <v>1</v>
      </c>
    </row>
    <row r="1340" spans="1:17" x14ac:dyDescent="0.2">
      <c r="A1340" s="19" t="str">
        <f>_xlfn.IFNA(VLOOKUP($B1340,Keys!$A:$B,2,FALSE),_xlfn.IFNA(VLOOKUP($B1340,Keys!$D:$E,2,FALSE),VLOOKUP($B1340,Keys!$G:$H,2,FALSE)))</f>
        <v>0x00000018598B032A</v>
      </c>
      <c r="B1340" s="5" t="s">
        <v>4839</v>
      </c>
      <c r="C1340" s="5" t="s">
        <v>410</v>
      </c>
      <c r="D1340" s="5" t="s">
        <v>16860</v>
      </c>
      <c r="E1340" s="5"/>
      <c r="F1340" s="5" t="s">
        <v>9645</v>
      </c>
      <c r="G1340" s="5" t="s">
        <v>8971</v>
      </c>
      <c r="H1340" s="1"/>
      <c r="I1340" s="1"/>
      <c r="J1340" s="2"/>
      <c r="K1340" s="5" t="s">
        <v>10281</v>
      </c>
      <c r="L1340" s="19" t="s">
        <v>11046</v>
      </c>
      <c r="M1340" s="20"/>
      <c r="N1340" s="5" t="s">
        <v>9647</v>
      </c>
      <c r="O1340" s="1"/>
      <c r="P1340" s="21" t="str">
        <f>IF(ISNUMBER(MATCH($C1340,StackableKinds,0)), TRUE, "")</f>
        <v/>
      </c>
      <c r="Q1340" s="7" t="b">
        <v>1</v>
      </c>
    </row>
    <row r="1341" spans="1:17" x14ac:dyDescent="0.2">
      <c r="A1341" s="19" t="str">
        <f>_xlfn.IFNA(VLOOKUP($B1341,Keys!$A:$B,2,FALSE),_xlfn.IFNA(VLOOKUP($B1341,Keys!$D:$E,2,FALSE),VLOOKUP($B1341,Keys!$G:$H,2,FALSE)))</f>
        <v>0x0000001DE3D283D9</v>
      </c>
      <c r="B1341" s="5" t="s">
        <v>4837</v>
      </c>
      <c r="C1341" s="5" t="s">
        <v>410</v>
      </c>
      <c r="D1341" s="5" t="s">
        <v>16858</v>
      </c>
      <c r="E1341" s="5"/>
      <c r="F1341" s="5" t="s">
        <v>9645</v>
      </c>
      <c r="G1341" s="5" t="s">
        <v>8971</v>
      </c>
      <c r="H1341" s="1"/>
      <c r="I1341" s="1"/>
      <c r="J1341" s="2"/>
      <c r="K1341" s="5" t="s">
        <v>10281</v>
      </c>
      <c r="L1341" s="19" t="s">
        <v>11045</v>
      </c>
      <c r="M1341" s="20"/>
      <c r="N1341" s="5" t="s">
        <v>9647</v>
      </c>
      <c r="O1341" s="1"/>
      <c r="P1341" s="21" t="str">
        <f>IF(ISNUMBER(MATCH($C1341,StackableKinds,0)), TRUE, "")</f>
        <v/>
      </c>
      <c r="Q1341" s="7" t="b">
        <v>1</v>
      </c>
    </row>
    <row r="1342" spans="1:17" x14ac:dyDescent="0.2">
      <c r="A1342" s="19" t="str">
        <f>_xlfn.IFNA(VLOOKUP($B1342,Keys!$A:$B,2,FALSE),_xlfn.IFNA(VLOOKUP($B1342,Keys!$D:$E,2,FALSE),VLOOKUP($B1342,Keys!$G:$H,2,FALSE)))</f>
        <v>0x0000001867E21FC0</v>
      </c>
      <c r="B1342" s="5" t="s">
        <v>606</v>
      </c>
      <c r="C1342" s="5" t="s">
        <v>410</v>
      </c>
      <c r="D1342" s="5" t="s">
        <v>16860</v>
      </c>
      <c r="E1342" s="5"/>
      <c r="F1342" s="5" t="s">
        <v>9070</v>
      </c>
      <c r="G1342" s="5" t="s">
        <v>8971</v>
      </c>
      <c r="H1342" s="1"/>
      <c r="I1342" s="1"/>
      <c r="J1342" s="2"/>
      <c r="K1342" s="5" t="s">
        <v>9071</v>
      </c>
      <c r="L1342" s="5" t="s">
        <v>11134</v>
      </c>
      <c r="M1342" s="20"/>
      <c r="N1342" s="5" t="s">
        <v>9072</v>
      </c>
      <c r="O1342" s="1"/>
      <c r="P1342" s="21" t="str">
        <f>IF(ISNUMBER(MATCH($C1342,StackableKinds,0)), TRUE, "")</f>
        <v/>
      </c>
      <c r="Q1342" s="7" t="b">
        <v>1</v>
      </c>
    </row>
    <row r="1343" spans="1:17" x14ac:dyDescent="0.2">
      <c r="A1343" s="19" t="str">
        <f>_xlfn.IFNA(VLOOKUP($B1343,Keys!$A:$B,2,FALSE),_xlfn.IFNA(VLOOKUP($B1343,Keys!$D:$E,2,FALSE),VLOOKUP($B1343,Keys!$G:$H,2,FALSE)))</f>
        <v>0x00000011D7BCE9D0</v>
      </c>
      <c r="B1343" s="5" t="s">
        <v>5007</v>
      </c>
      <c r="C1343" s="5" t="s">
        <v>410</v>
      </c>
      <c r="D1343" s="5" t="s">
        <v>16858</v>
      </c>
      <c r="E1343" s="5"/>
      <c r="F1343" s="5" t="s">
        <v>9054</v>
      </c>
      <c r="G1343" s="1"/>
      <c r="H1343" s="1"/>
      <c r="I1343" s="1"/>
      <c r="J1343" s="2"/>
      <c r="K1343" s="5" t="s">
        <v>10333</v>
      </c>
      <c r="L1343" s="19" t="s">
        <v>11064</v>
      </c>
      <c r="M1343" s="20"/>
      <c r="N1343" s="5" t="s">
        <v>9056</v>
      </c>
      <c r="O1343" s="1"/>
      <c r="P1343" s="21" t="str">
        <f>IF(ISNUMBER(MATCH($C1343,StackableKinds,0)), TRUE, "")</f>
        <v/>
      </c>
      <c r="Q1343" s="7" t="b">
        <v>1</v>
      </c>
    </row>
    <row r="1344" spans="1:17" x14ac:dyDescent="0.2">
      <c r="A1344" s="19" t="str">
        <f>_xlfn.IFNA(VLOOKUP($B1344,Keys!$A:$B,2,FALSE),_xlfn.IFNA(VLOOKUP($B1344,Keys!$D:$E,2,FALSE),VLOOKUP($B1344,Keys!$G:$H,2,FALSE)))</f>
        <v>0x0000000F0DF4CC1F</v>
      </c>
      <c r="B1344" s="5" t="s">
        <v>436</v>
      </c>
      <c r="C1344" s="5" t="s">
        <v>410</v>
      </c>
      <c r="D1344" s="5" t="s">
        <v>16860</v>
      </c>
      <c r="E1344" s="5"/>
      <c r="F1344" s="5" t="s">
        <v>8991</v>
      </c>
      <c r="G1344" s="5" t="s">
        <v>8971</v>
      </c>
      <c r="H1344" s="1"/>
      <c r="I1344" s="1"/>
      <c r="J1344" s="2"/>
      <c r="K1344" s="5" t="s">
        <v>8992</v>
      </c>
      <c r="L1344" s="5" t="s">
        <v>8993</v>
      </c>
      <c r="M1344" s="20"/>
      <c r="N1344" s="5" t="s">
        <v>8994</v>
      </c>
      <c r="O1344" s="1"/>
      <c r="P1344" s="21" t="str">
        <f>IF(ISNUMBER(MATCH($C1344,StackableKinds,0)), TRUE, "")</f>
        <v/>
      </c>
      <c r="Q1344" s="7" t="b">
        <v>1</v>
      </c>
    </row>
    <row r="1345" spans="1:17" x14ac:dyDescent="0.2">
      <c r="A1345" s="19" t="str">
        <f>_xlfn.IFNA(VLOOKUP($B1345,Keys!$A:$B,2,FALSE),_xlfn.IFNA(VLOOKUP($B1345,Keys!$D:$E,2,FALSE),VLOOKUP($B1345,Keys!$G:$H,2,FALSE)))</f>
        <v>0x00000017BCEC3BC1</v>
      </c>
      <c r="B1345" s="5" t="s">
        <v>5005</v>
      </c>
      <c r="C1345" s="5" t="s">
        <v>410</v>
      </c>
      <c r="D1345" s="5" t="s">
        <v>16861</v>
      </c>
      <c r="E1345" s="5"/>
      <c r="F1345" s="5" t="s">
        <v>8995</v>
      </c>
      <c r="G1345" s="5" t="s">
        <v>8996</v>
      </c>
      <c r="H1345" s="1"/>
      <c r="I1345" s="1"/>
      <c r="J1345" s="2"/>
      <c r="K1345" s="5" t="s">
        <v>10332</v>
      </c>
      <c r="L1345" s="19" t="s">
        <v>11063</v>
      </c>
      <c r="M1345" s="20"/>
      <c r="N1345" s="5" t="s">
        <v>9961</v>
      </c>
      <c r="O1345" s="5" t="s">
        <v>8999</v>
      </c>
      <c r="P1345" s="21" t="str">
        <f>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16860</v>
      </c>
      <c r="E1346" s="5"/>
      <c r="F1346" s="5" t="s">
        <v>8995</v>
      </c>
      <c r="G1346" s="5" t="s">
        <v>8996</v>
      </c>
      <c r="H1346" s="1"/>
      <c r="I1346" s="1"/>
      <c r="J1346" s="2"/>
      <c r="K1346" s="5" t="s">
        <v>10331</v>
      </c>
      <c r="L1346" s="19" t="s">
        <v>11277</v>
      </c>
      <c r="M1346" s="20"/>
      <c r="N1346" s="5" t="s">
        <v>9961</v>
      </c>
      <c r="O1346" s="5" t="s">
        <v>8999</v>
      </c>
      <c r="P1346" s="21" t="str">
        <f>IF(ISNUMBER(MATCH($C1346,StackableKinds,0)), TRUE, "")</f>
        <v/>
      </c>
      <c r="Q1346" s="7" t="b">
        <v>1</v>
      </c>
    </row>
    <row r="1347" spans="1:17" x14ac:dyDescent="0.2">
      <c r="A1347" s="19" t="str">
        <f>_xlfn.IFNA(VLOOKUP($B1347,Keys!$A:$B,2,FALSE),_xlfn.IFNA(VLOOKUP($B1347,Keys!$D:$E,2,FALSE),VLOOKUP($B1347,Keys!$G:$H,2,FALSE)))</f>
        <v>0x000000213839EE5C</v>
      </c>
      <c r="B1347" s="5" t="s">
        <v>1266</v>
      </c>
      <c r="C1347" s="5" t="s">
        <v>410</v>
      </c>
      <c r="D1347" s="5" t="s">
        <v>16862</v>
      </c>
      <c r="E1347" s="5"/>
      <c r="F1347" s="5" t="s">
        <v>9328</v>
      </c>
      <c r="G1347" s="5" t="s">
        <v>8971</v>
      </c>
      <c r="H1347" s="1"/>
      <c r="I1347" s="1"/>
      <c r="J1347" s="2"/>
      <c r="K1347" s="5" t="s">
        <v>9329</v>
      </c>
      <c r="L1347" s="5" t="s">
        <v>9330</v>
      </c>
      <c r="M1347" s="20"/>
      <c r="N1347" s="5" t="s">
        <v>9331</v>
      </c>
      <c r="O1347" s="1"/>
      <c r="P1347" s="21" t="str">
        <f>IF(ISNUMBER(MATCH($C1347,StackableKinds,0)), TRUE, "")</f>
        <v/>
      </c>
      <c r="Q1347" s="7" t="b">
        <v>1</v>
      </c>
    </row>
    <row r="1348" spans="1:17" x14ac:dyDescent="0.2">
      <c r="A1348" s="19" t="str">
        <f>_xlfn.IFNA(VLOOKUP($B1348,Keys!$A:$B,2,FALSE),_xlfn.IFNA(VLOOKUP($B1348,Keys!$D:$E,2,FALSE),VLOOKUP($B1348,Keys!$G:$H,2,FALSE)))</f>
        <v>0x00000023AC2CBB0C</v>
      </c>
      <c r="B1348" s="5" t="s">
        <v>1272</v>
      </c>
      <c r="C1348" s="5" t="s">
        <v>410</v>
      </c>
      <c r="D1348" s="5" t="s">
        <v>16861</v>
      </c>
      <c r="E1348" s="5"/>
      <c r="F1348" s="5" t="s">
        <v>9328</v>
      </c>
      <c r="G1348" s="5" t="s">
        <v>8971</v>
      </c>
      <c r="H1348" s="1"/>
      <c r="I1348" s="1"/>
      <c r="J1348" s="2"/>
      <c r="K1348" s="5" t="s">
        <v>9329</v>
      </c>
      <c r="L1348" s="5" t="s">
        <v>9334</v>
      </c>
      <c r="M1348" s="20"/>
      <c r="N1348" s="5" t="s">
        <v>9331</v>
      </c>
      <c r="O1348" s="1"/>
      <c r="P1348" s="21" t="str">
        <f>IF(ISNUMBER(MATCH($C1348,StackableKinds,0)), TRUE, "")</f>
        <v/>
      </c>
      <c r="Q1348" s="7" t="b">
        <v>1</v>
      </c>
    </row>
    <row r="1349" spans="1:17" x14ac:dyDescent="0.2">
      <c r="A1349" s="19" t="str">
        <f>_xlfn.IFNA(VLOOKUP($B1349,Keys!$A:$B,2,FALSE),_xlfn.IFNA(VLOOKUP($B1349,Keys!$D:$E,2,FALSE),VLOOKUP($B1349,Keys!$G:$H,2,FALSE)))</f>
        <v>0x0000001FF626E5D9</v>
      </c>
      <c r="B1349" s="5" t="s">
        <v>1268</v>
      </c>
      <c r="C1349" s="5" t="s">
        <v>410</v>
      </c>
      <c r="D1349" s="5" t="s">
        <v>16859</v>
      </c>
      <c r="E1349" s="5"/>
      <c r="F1349" s="5" t="s">
        <v>9328</v>
      </c>
      <c r="G1349" s="5" t="s">
        <v>8971</v>
      </c>
      <c r="H1349" s="1"/>
      <c r="I1349" s="1"/>
      <c r="J1349" s="2"/>
      <c r="K1349" s="5" t="s">
        <v>9329</v>
      </c>
      <c r="L1349" s="5" t="s">
        <v>9332</v>
      </c>
      <c r="M1349" s="20"/>
      <c r="N1349" s="5" t="s">
        <v>9331</v>
      </c>
      <c r="O1349" s="1"/>
      <c r="P1349" s="21" t="str">
        <f>IF(ISNUMBER(MATCH($C1349,StackableKinds,0)), TRUE, "")</f>
        <v/>
      </c>
      <c r="Q1349" s="7" t="b">
        <v>1</v>
      </c>
    </row>
    <row r="1350" spans="1:17" x14ac:dyDescent="0.2">
      <c r="A1350" s="19" t="str">
        <f>_xlfn.IFNA(VLOOKUP($B1350,Keys!$A:$B,2,FALSE),_xlfn.IFNA(VLOOKUP($B1350,Keys!$D:$E,2,FALSE),VLOOKUP($B1350,Keys!$G:$H,2,FALSE)))</f>
        <v>0x000000242C5DEC81</v>
      </c>
      <c r="B1350" s="5" t="s">
        <v>1270</v>
      </c>
      <c r="C1350" s="5" t="s">
        <v>410</v>
      </c>
      <c r="D1350" s="5" t="s">
        <v>16858</v>
      </c>
      <c r="E1350" s="5"/>
      <c r="F1350" s="5" t="s">
        <v>9328</v>
      </c>
      <c r="G1350" s="5" t="s">
        <v>8971</v>
      </c>
      <c r="H1350" s="1"/>
      <c r="I1350" s="1"/>
      <c r="J1350" s="2"/>
      <c r="K1350" s="5" t="s">
        <v>9329</v>
      </c>
      <c r="L1350" s="5" t="s">
        <v>9333</v>
      </c>
      <c r="M1350" s="20"/>
      <c r="N1350" s="5" t="s">
        <v>9331</v>
      </c>
      <c r="O1350" s="1"/>
      <c r="P1350" s="21" t="str">
        <f>IF(ISNUMBER(MATCH($C1350,StackableKinds,0)), TRUE, "")</f>
        <v/>
      </c>
      <c r="Q1350" s="7" t="b">
        <v>1</v>
      </c>
    </row>
    <row r="1351" spans="1:17" x14ac:dyDescent="0.2">
      <c r="A1351" s="19" t="str">
        <f>_xlfn.IFNA(VLOOKUP($B1351,Keys!$A:$B,2,FALSE),_xlfn.IFNA(VLOOKUP($B1351,Keys!$D:$E,2,FALSE),VLOOKUP($B1351,Keys!$G:$H,2,FALSE)))</f>
        <v>0x0000001355C9B4A7</v>
      </c>
      <c r="B1351" s="5" t="s">
        <v>5197</v>
      </c>
      <c r="C1351" s="5" t="s">
        <v>410</v>
      </c>
      <c r="D1351" s="5" t="s">
        <v>16860</v>
      </c>
      <c r="E1351" s="5"/>
      <c r="F1351" s="5" t="s">
        <v>10119</v>
      </c>
      <c r="G1351" s="1"/>
      <c r="H1351" s="1"/>
      <c r="I1351" s="1"/>
      <c r="J1351" s="2"/>
      <c r="K1351" s="5" t="s">
        <v>10413</v>
      </c>
      <c r="L1351" s="19" t="s">
        <v>11089</v>
      </c>
      <c r="M1351" s="20"/>
      <c r="N1351" s="5" t="s">
        <v>10121</v>
      </c>
      <c r="O1351" s="1"/>
      <c r="P1351" s="21" t="str">
        <f>IF(ISNUMBER(MATCH($C1351,StackableKinds,0)), TRUE, "")</f>
        <v/>
      </c>
      <c r="Q1351" s="7" t="b">
        <v>1</v>
      </c>
    </row>
    <row r="1352" spans="1:17" x14ac:dyDescent="0.2">
      <c r="A1352" s="19" t="str">
        <f>_xlfn.IFNA(VLOOKUP($B1352,Keys!$A:$B,2,FALSE),_xlfn.IFNA(VLOOKUP($B1352,Keys!$D:$E,2,FALSE),VLOOKUP($B1352,Keys!$G:$H,2,FALSE)))</f>
        <v>0x00000013C5B67C69</v>
      </c>
      <c r="B1352" s="5" t="s">
        <v>5193</v>
      </c>
      <c r="C1352" s="5" t="s">
        <v>410</v>
      </c>
      <c r="D1352" s="5" t="s">
        <v>16859</v>
      </c>
      <c r="E1352" s="5"/>
      <c r="F1352" s="5" t="s">
        <v>10119</v>
      </c>
      <c r="G1352" s="1"/>
      <c r="H1352" s="1"/>
      <c r="I1352" s="1"/>
      <c r="J1352" s="2"/>
      <c r="K1352" s="5" t="s">
        <v>10413</v>
      </c>
      <c r="L1352" s="19" t="s">
        <v>11089</v>
      </c>
      <c r="M1352" s="20"/>
      <c r="N1352" s="5" t="s">
        <v>10121</v>
      </c>
      <c r="O1352" s="1"/>
      <c r="P1352" s="21" t="str">
        <f>IF(ISNUMBER(MATCH($C1352,StackableKinds,0)), TRUE, "")</f>
        <v/>
      </c>
      <c r="Q1352" s="7" t="b">
        <v>1</v>
      </c>
    </row>
    <row r="1353" spans="1:17" x14ac:dyDescent="0.2">
      <c r="A1353" s="19" t="str">
        <f>_xlfn.IFNA(VLOOKUP($B1353,Keys!$A:$B,2,FALSE),_xlfn.IFNA(VLOOKUP($B1353,Keys!$D:$E,2,FALSE),VLOOKUP($B1353,Keys!$G:$H,2,FALSE)))</f>
        <v>0x00000018F5AA977B</v>
      </c>
      <c r="B1353" s="5" t="s">
        <v>5195</v>
      </c>
      <c r="C1353" s="5" t="s">
        <v>410</v>
      </c>
      <c r="D1353" s="5" t="s">
        <v>16858</v>
      </c>
      <c r="E1353" s="5"/>
      <c r="F1353" s="5" t="s">
        <v>10119</v>
      </c>
      <c r="G1353" s="1"/>
      <c r="H1353" s="1"/>
      <c r="I1353" s="1"/>
      <c r="J1353" s="2"/>
      <c r="K1353" s="5" t="s">
        <v>10413</v>
      </c>
      <c r="L1353" s="19" t="s">
        <v>11089</v>
      </c>
      <c r="M1353" s="20"/>
      <c r="N1353" s="5" t="s">
        <v>10121</v>
      </c>
      <c r="O1353" s="1"/>
      <c r="P1353" s="21" t="str">
        <f>IF(ISNUMBER(MATCH($C1353,StackableKinds,0)), TRUE, "")</f>
        <v/>
      </c>
      <c r="Q1353" s="7" t="b">
        <v>1</v>
      </c>
    </row>
    <row r="1354" spans="1:17" x14ac:dyDescent="0.2">
      <c r="A1354" s="19" t="str">
        <f>_xlfn.IFNA(VLOOKUP($B1354,Keys!$A:$B,2,FALSE),_xlfn.IFNA(VLOOKUP($B1354,Keys!$D:$E,2,FALSE),VLOOKUP($B1354,Keys!$G:$H,2,FALSE)))</f>
        <v>0x00000018441061F7</v>
      </c>
      <c r="B1354" s="5" t="s">
        <v>5237</v>
      </c>
      <c r="C1354" s="5" t="s">
        <v>410</v>
      </c>
      <c r="D1354" s="5" t="s">
        <v>16860</v>
      </c>
      <c r="E1354" s="5"/>
      <c r="F1354" s="5" t="s">
        <v>8995</v>
      </c>
      <c r="G1354" s="5" t="s">
        <v>8996</v>
      </c>
      <c r="H1354" s="1"/>
      <c r="I1354" s="1"/>
      <c r="J1354" s="2"/>
      <c r="K1354" s="5" t="s">
        <v>10424</v>
      </c>
      <c r="L1354" s="19" t="s">
        <v>11279</v>
      </c>
      <c r="M1354" s="20"/>
      <c r="N1354" s="5" t="s">
        <v>9961</v>
      </c>
      <c r="O1354" s="5" t="s">
        <v>8999</v>
      </c>
      <c r="P1354" s="21" t="str">
        <f>IF(ISNUMBER(MATCH($C1354,StackableKinds,0)), TRUE, "")</f>
        <v/>
      </c>
      <c r="Q1354" s="7" t="b">
        <v>1</v>
      </c>
    </row>
    <row r="1355" spans="1:17" x14ac:dyDescent="0.2">
      <c r="A1355" s="19" t="str">
        <f>_xlfn.IFNA(VLOOKUP($B1355,Keys!$A:$B,2,FALSE),_xlfn.IFNA(VLOOKUP($B1355,Keys!$D:$E,2,FALSE),VLOOKUP($B1355,Keys!$G:$H,2,FALSE)))</f>
        <v>0x0000001935AF5443</v>
      </c>
      <c r="B1355" s="5" t="s">
        <v>5233</v>
      </c>
      <c r="C1355" s="5" t="s">
        <v>410</v>
      </c>
      <c r="D1355" s="5" t="s">
        <v>16859</v>
      </c>
      <c r="E1355" s="5"/>
      <c r="F1355" s="5" t="s">
        <v>8995</v>
      </c>
      <c r="G1355" s="5" t="s">
        <v>8996</v>
      </c>
      <c r="H1355" s="1"/>
      <c r="I1355" s="1"/>
      <c r="J1355" s="2"/>
      <c r="K1355" s="5" t="s">
        <v>10422</v>
      </c>
      <c r="L1355" s="19" t="s">
        <v>11154</v>
      </c>
      <c r="M1355" s="20"/>
      <c r="N1355" s="5" t="s">
        <v>9961</v>
      </c>
      <c r="O1355" s="5" t="s">
        <v>8999</v>
      </c>
      <c r="P1355" s="21" t="str">
        <f>IF(ISNUMBER(MATCH($C1355,StackableKinds,0)), TRUE, "")</f>
        <v/>
      </c>
      <c r="Q1355" s="7" t="b">
        <v>1</v>
      </c>
    </row>
    <row r="1356" spans="1:17" x14ac:dyDescent="0.2">
      <c r="A1356" s="19" t="str">
        <f>_xlfn.IFNA(VLOOKUP($B1356,Keys!$A:$B,2,FALSE),_xlfn.IFNA(VLOOKUP($B1356,Keys!$D:$E,2,FALSE),VLOOKUP($B1356,Keys!$G:$H,2,FALSE)))</f>
        <v>0x0000001DEEDC1520</v>
      </c>
      <c r="B1356" s="5" t="s">
        <v>5235</v>
      </c>
      <c r="C1356" s="5" t="s">
        <v>410</v>
      </c>
      <c r="D1356" s="5" t="s">
        <v>16858</v>
      </c>
      <c r="E1356" s="5"/>
      <c r="F1356" s="5" t="s">
        <v>8995</v>
      </c>
      <c r="G1356" s="5" t="s">
        <v>8996</v>
      </c>
      <c r="H1356" s="1"/>
      <c r="I1356" s="1"/>
      <c r="J1356" s="2"/>
      <c r="K1356" s="5" t="s">
        <v>10423</v>
      </c>
      <c r="L1356" s="19" t="s">
        <v>11278</v>
      </c>
      <c r="M1356" s="20"/>
      <c r="N1356" s="5" t="s">
        <v>9961</v>
      </c>
      <c r="O1356" s="5" t="s">
        <v>8999</v>
      </c>
      <c r="P1356" s="21" t="str">
        <f>IF(ISNUMBER(MATCH($C1356,StackableKinds,0)), TRUE, "")</f>
        <v/>
      </c>
      <c r="Q1356" s="7" t="b">
        <v>1</v>
      </c>
    </row>
    <row r="1357" spans="1:17" x14ac:dyDescent="0.2">
      <c r="A1357" s="19" t="str">
        <f>_xlfn.IFNA(VLOOKUP($B1357,Keys!$A:$B,2,FALSE),_xlfn.IFNA(VLOOKUP($B1357,Keys!$D:$E,2,FALSE),VLOOKUP($B1357,Keys!$G:$H,2,FALSE)))</f>
        <v>0x0000001AD4737ADA</v>
      </c>
      <c r="B1357" s="5" t="s">
        <v>5253</v>
      </c>
      <c r="C1357" s="5" t="s">
        <v>410</v>
      </c>
      <c r="D1357" s="5" t="s">
        <v>16862</v>
      </c>
      <c r="E1357" s="5"/>
      <c r="F1357" s="5" t="s">
        <v>9359</v>
      </c>
      <c r="G1357" s="1"/>
      <c r="H1357" s="1"/>
      <c r="I1357" s="1"/>
      <c r="J1357" s="2"/>
      <c r="K1357" s="5" t="s">
        <v>10427</v>
      </c>
      <c r="L1357" s="19" t="s">
        <v>11280</v>
      </c>
      <c r="M1357" s="20"/>
      <c r="N1357" s="5" t="s">
        <v>9361</v>
      </c>
      <c r="O1357" s="1"/>
      <c r="P1357" s="21" t="str">
        <f>IF(ISNUMBER(MATCH($C1357,StackableKinds,0)), TRUE, "")</f>
        <v/>
      </c>
      <c r="Q1357" s="7" t="b">
        <v>1</v>
      </c>
    </row>
    <row r="1358" spans="1:17" x14ac:dyDescent="0.2">
      <c r="A1358" s="19" t="str">
        <f>_xlfn.IFNA(VLOOKUP($B1358,Keys!$A:$B,2,FALSE),_xlfn.IFNA(VLOOKUP($B1358,Keys!$D:$E,2,FALSE),VLOOKUP($B1358,Keys!$G:$H,2,FALSE)))</f>
        <v>0x0000001C36973FD6</v>
      </c>
      <c r="B1358" s="5" t="s">
        <v>5261</v>
      </c>
      <c r="C1358" s="5" t="s">
        <v>410</v>
      </c>
      <c r="D1358" s="5" t="s">
        <v>16861</v>
      </c>
      <c r="E1358" s="5"/>
      <c r="F1358" s="5" t="s">
        <v>9359</v>
      </c>
      <c r="G1358" s="1"/>
      <c r="H1358" s="1"/>
      <c r="I1358" s="1"/>
      <c r="J1358" s="2"/>
      <c r="K1358" s="5" t="s">
        <v>10427</v>
      </c>
      <c r="L1358" s="19" t="s">
        <v>11284</v>
      </c>
      <c r="M1358" s="20"/>
      <c r="N1358" s="5" t="s">
        <v>9361</v>
      </c>
      <c r="O1358" s="1"/>
      <c r="P1358" s="21" t="str">
        <f>IF(ISNUMBER(MATCH($C1358,StackableKinds,0)), TRUE, "")</f>
        <v/>
      </c>
      <c r="Q1358" s="7" t="b">
        <v>1</v>
      </c>
    </row>
    <row r="1359" spans="1:17" x14ac:dyDescent="0.2">
      <c r="A1359" s="19" t="str">
        <f>_xlfn.IFNA(VLOOKUP($B1359,Keys!$A:$B,2,FALSE),_xlfn.IFNA(VLOOKUP($B1359,Keys!$D:$E,2,FALSE),VLOOKUP($B1359,Keys!$G:$H,2,FALSE)))</f>
        <v>0x00000018D930746E</v>
      </c>
      <c r="B1359" s="5" t="s">
        <v>5259</v>
      </c>
      <c r="C1359" s="5" t="s">
        <v>410</v>
      </c>
      <c r="D1359" s="5" t="s">
        <v>16860</v>
      </c>
      <c r="E1359" s="5"/>
      <c r="F1359" s="5" t="s">
        <v>9359</v>
      </c>
      <c r="G1359" s="1"/>
      <c r="H1359" s="1"/>
      <c r="I1359" s="1"/>
      <c r="J1359" s="2"/>
      <c r="K1359" s="5" t="s">
        <v>10427</v>
      </c>
      <c r="L1359" s="19" t="s">
        <v>11283</v>
      </c>
      <c r="M1359" s="20"/>
      <c r="N1359" s="5" t="s">
        <v>9361</v>
      </c>
      <c r="O1359" s="1"/>
      <c r="P1359" s="21" t="str">
        <f>IF(ISNUMBER(MATCH($C1359,StackableKinds,0)), TRUE, "")</f>
        <v/>
      </c>
      <c r="Q1359" s="7" t="b">
        <v>1</v>
      </c>
    </row>
    <row r="1360" spans="1:17" x14ac:dyDescent="0.2">
      <c r="A1360" s="19" t="str">
        <f>_xlfn.IFNA(VLOOKUP($B1360,Keys!$A:$B,2,FALSE),_xlfn.IFNA(VLOOKUP($B1360,Keys!$D:$E,2,FALSE),VLOOKUP($B1360,Keys!$G:$H,2,FALSE)))</f>
        <v>0x00000018494FBCA0</v>
      </c>
      <c r="B1360" s="5" t="s">
        <v>5255</v>
      </c>
      <c r="C1360" s="5" t="s">
        <v>410</v>
      </c>
      <c r="D1360" s="5" t="s">
        <v>16859</v>
      </c>
      <c r="E1360" s="5"/>
      <c r="F1360" s="5" t="s">
        <v>9359</v>
      </c>
      <c r="G1360" s="1"/>
      <c r="H1360" s="1"/>
      <c r="I1360" s="1"/>
      <c r="J1360" s="2"/>
      <c r="K1360" s="5" t="s">
        <v>10427</v>
      </c>
      <c r="L1360" s="19" t="s">
        <v>11281</v>
      </c>
      <c r="M1360" s="20"/>
      <c r="N1360" s="5" t="s">
        <v>9361</v>
      </c>
      <c r="O1360" s="1"/>
      <c r="P1360" s="21" t="str">
        <f>IF(ISNUMBER(MATCH($C1360,StackableKinds,0)), TRUE, "")</f>
        <v/>
      </c>
      <c r="Q1360" s="7" t="b">
        <v>1</v>
      </c>
    </row>
    <row r="1361" spans="1:17" x14ac:dyDescent="0.2">
      <c r="A1361" s="19" t="str">
        <f>_xlfn.IFNA(VLOOKUP($B1361,Keys!$A:$B,2,FALSE),_xlfn.IFNA(VLOOKUP($B1361,Keys!$D:$E,2,FALSE),VLOOKUP($B1361,Keys!$G:$H,2,FALSE)))</f>
        <v>0x0000001D4AC16CCF</v>
      </c>
      <c r="B1361" s="5" t="s">
        <v>5257</v>
      </c>
      <c r="C1361" s="5" t="s">
        <v>410</v>
      </c>
      <c r="D1361" s="5" t="s">
        <v>16858</v>
      </c>
      <c r="E1361" s="5"/>
      <c r="F1361" s="5" t="s">
        <v>9359</v>
      </c>
      <c r="G1361" s="1"/>
      <c r="H1361" s="1"/>
      <c r="I1361" s="1"/>
      <c r="J1361" s="2"/>
      <c r="K1361" s="5" t="s">
        <v>10427</v>
      </c>
      <c r="L1361" s="19" t="s">
        <v>11282</v>
      </c>
      <c r="M1361" s="20"/>
      <c r="N1361" s="5" t="s">
        <v>9361</v>
      </c>
      <c r="O1361" s="1"/>
      <c r="P1361" s="21" t="str">
        <f>IF(ISNUMBER(MATCH($C1361,StackableKinds,0)), TRUE, "")</f>
        <v/>
      </c>
      <c r="Q1361" s="7" t="b">
        <v>1</v>
      </c>
    </row>
    <row r="1362" spans="1:17" x14ac:dyDescent="0.2">
      <c r="A1362" s="19" t="str">
        <f>_xlfn.IFNA(VLOOKUP($B1362,Keys!$A:$B,2,FALSE),_xlfn.IFNA(VLOOKUP($B1362,Keys!$D:$E,2,FALSE),VLOOKUP($B1362,Keys!$G:$H,2,FALSE)))</f>
        <v>0x00000016018CF4D0</v>
      </c>
      <c r="B1362" s="5" t="s">
        <v>2932</v>
      </c>
      <c r="C1362" s="5" t="s">
        <v>410</v>
      </c>
      <c r="D1362" s="5" t="s">
        <v>16860</v>
      </c>
      <c r="E1362" s="5"/>
      <c r="F1362" s="5" t="s">
        <v>9359</v>
      </c>
      <c r="G1362" s="5" t="s">
        <v>8971</v>
      </c>
      <c r="H1362" s="1"/>
      <c r="I1362" s="1"/>
      <c r="J1362" s="2"/>
      <c r="K1362" s="5" t="s">
        <v>9952</v>
      </c>
      <c r="L1362" s="19" t="s">
        <v>10981</v>
      </c>
      <c r="M1362" s="20"/>
      <c r="N1362" s="5" t="s">
        <v>9361</v>
      </c>
      <c r="O1362" s="1"/>
      <c r="P1362" s="21" t="str">
        <f>IF(ISNUMBER(MATCH($C1362,StackableKinds,0)), TRUE, "")</f>
        <v/>
      </c>
      <c r="Q1362" s="7" t="b">
        <v>1</v>
      </c>
    </row>
    <row r="1363" spans="1:17" x14ac:dyDescent="0.2">
      <c r="A1363" s="19" t="str">
        <f>_xlfn.IFNA(VLOOKUP($B1363,Keys!$A:$B,2,FALSE),_xlfn.IFNA(VLOOKUP($B1363,Keys!$D:$E,2,FALSE),VLOOKUP($B1363,Keys!$G:$H,2,FALSE)))</f>
        <v>0x0000001F992F32E4</v>
      </c>
      <c r="B1363" s="5" t="s">
        <v>5267</v>
      </c>
      <c r="C1363" s="5" t="s">
        <v>410</v>
      </c>
      <c r="D1363" s="5" t="s">
        <v>16862</v>
      </c>
      <c r="E1363" s="5"/>
      <c r="F1363" s="5" t="s">
        <v>9645</v>
      </c>
      <c r="G1363" s="1"/>
      <c r="H1363" s="1"/>
      <c r="I1363" s="1"/>
      <c r="J1363" s="2"/>
      <c r="K1363" s="5" t="s">
        <v>10429</v>
      </c>
      <c r="L1363" s="19" t="s">
        <v>11101</v>
      </c>
      <c r="M1363" s="20"/>
      <c r="N1363" s="5" t="s">
        <v>9647</v>
      </c>
      <c r="O1363" s="1"/>
      <c r="P1363" s="21" t="str">
        <f>IF(ISNUMBER(MATCH($C1363,StackableKinds,0)), TRUE, "")</f>
        <v/>
      </c>
      <c r="Q1363" s="7" t="b">
        <v>1</v>
      </c>
    </row>
    <row r="1364" spans="1:17" x14ac:dyDescent="0.2">
      <c r="A1364" s="19" t="str">
        <f>_xlfn.IFNA(VLOOKUP($B1364,Keys!$A:$B,2,FALSE),_xlfn.IFNA(VLOOKUP($B1364,Keys!$D:$E,2,FALSE),VLOOKUP($B1364,Keys!$G:$H,2,FALSE)))</f>
        <v>0x000000210F55A055</v>
      </c>
      <c r="B1364" s="5" t="s">
        <v>5275</v>
      </c>
      <c r="C1364" s="5" t="s">
        <v>410</v>
      </c>
      <c r="D1364" s="5" t="s">
        <v>16861</v>
      </c>
      <c r="E1364" s="5"/>
      <c r="F1364" s="5" t="s">
        <v>9645</v>
      </c>
      <c r="G1364" s="1"/>
      <c r="H1364" s="1"/>
      <c r="I1364" s="1"/>
      <c r="J1364" s="2"/>
      <c r="K1364" s="5" t="s">
        <v>10429</v>
      </c>
      <c r="L1364" s="19" t="s">
        <v>11105</v>
      </c>
      <c r="M1364" s="20"/>
      <c r="N1364" s="5" t="s">
        <v>9647</v>
      </c>
      <c r="O1364" s="1"/>
      <c r="P1364" s="21" t="str">
        <f>IF(ISNUMBER(MATCH($C1364,StackableKinds,0)), TRUE, "")</f>
        <v/>
      </c>
      <c r="Q1364" s="7" t="b">
        <v>1</v>
      </c>
    </row>
    <row r="1365" spans="1:17" x14ac:dyDescent="0.2">
      <c r="A1365" s="19" t="str">
        <f>_xlfn.IFNA(VLOOKUP($B1365,Keys!$A:$B,2,FALSE),_xlfn.IFNA(VLOOKUP($B1365,Keys!$D:$E,2,FALSE),VLOOKUP($B1365,Keys!$G:$H,2,FALSE)))</f>
        <v>0x0000001DFE37386C</v>
      </c>
      <c r="B1365" s="5" t="s">
        <v>5273</v>
      </c>
      <c r="C1365" s="5" t="s">
        <v>410</v>
      </c>
      <c r="D1365" s="5" t="s">
        <v>16860</v>
      </c>
      <c r="E1365" s="5"/>
      <c r="F1365" s="5" t="s">
        <v>9645</v>
      </c>
      <c r="G1365" s="1"/>
      <c r="H1365" s="1"/>
      <c r="I1365" s="1"/>
      <c r="J1365" s="2"/>
      <c r="K1365" s="5" t="s">
        <v>10429</v>
      </c>
      <c r="L1365" s="19" t="s">
        <v>11104</v>
      </c>
      <c r="M1365" s="20"/>
      <c r="N1365" s="5" t="s">
        <v>9647</v>
      </c>
      <c r="O1365" s="1"/>
      <c r="P1365" s="21" t="str">
        <f>IF(ISNUMBER(MATCH($C1365,StackableKinds,0)), TRUE, "")</f>
        <v/>
      </c>
      <c r="Q1365" s="7" t="b">
        <v>1</v>
      </c>
    </row>
    <row r="1366" spans="1:17" x14ac:dyDescent="0.2">
      <c r="A1366" s="19" t="str">
        <f>_xlfn.IFNA(VLOOKUP($B1366,Keys!$A:$B,2,FALSE),_xlfn.IFNA(VLOOKUP($B1366,Keys!$D:$E,2,FALSE),VLOOKUP($B1366,Keys!$G:$H,2,FALSE)))</f>
        <v>0x0000001D6E48F0A2</v>
      </c>
      <c r="B1366" s="5" t="s">
        <v>5269</v>
      </c>
      <c r="C1366" s="5" t="s">
        <v>410</v>
      </c>
      <c r="D1366" s="5" t="s">
        <v>16859</v>
      </c>
      <c r="E1366" s="5"/>
      <c r="F1366" s="5" t="s">
        <v>9645</v>
      </c>
      <c r="G1366" s="1"/>
      <c r="H1366" s="1"/>
      <c r="I1366" s="1"/>
      <c r="J1366" s="2"/>
      <c r="K1366" s="5" t="s">
        <v>10429</v>
      </c>
      <c r="L1366" s="19" t="s">
        <v>11102</v>
      </c>
      <c r="M1366" s="20"/>
      <c r="N1366" s="5" t="s">
        <v>9647</v>
      </c>
      <c r="O1366" s="1"/>
      <c r="P1366" s="21" t="str">
        <f>IF(ISNUMBER(MATCH($C1366,StackableKinds,0)), TRUE, "")</f>
        <v/>
      </c>
      <c r="Q1366" s="7" t="b">
        <v>1</v>
      </c>
    </row>
    <row r="1367" spans="1:17" x14ac:dyDescent="0.2">
      <c r="A1367" s="19" t="str">
        <f>_xlfn.IFNA(VLOOKUP($B1367,Keys!$A:$B,2,FALSE),_xlfn.IFNA(VLOOKUP($B1367,Keys!$D:$E,2,FALSE),VLOOKUP($B1367,Keys!$G:$H,2,FALSE)))</f>
        <v>0x000000223E497CCA</v>
      </c>
      <c r="B1367" s="5" t="s">
        <v>5271</v>
      </c>
      <c r="C1367" s="5" t="s">
        <v>410</v>
      </c>
      <c r="D1367" s="5" t="s">
        <v>16858</v>
      </c>
      <c r="E1367" s="5"/>
      <c r="F1367" s="5" t="s">
        <v>9645</v>
      </c>
      <c r="G1367" s="1"/>
      <c r="H1367" s="1"/>
      <c r="I1367" s="1"/>
      <c r="J1367" s="2"/>
      <c r="K1367" s="5" t="s">
        <v>10429</v>
      </c>
      <c r="L1367" s="19" t="s">
        <v>11103</v>
      </c>
      <c r="M1367" s="20"/>
      <c r="N1367" s="5" t="s">
        <v>9647</v>
      </c>
      <c r="O1367" s="1"/>
      <c r="P1367" s="21" t="str">
        <f>IF(ISNUMBER(MATCH($C1367,StackableKinds,0)), TRUE, "")</f>
        <v/>
      </c>
      <c r="Q1367" s="7" t="b">
        <v>1</v>
      </c>
    </row>
    <row r="1368" spans="1:17" x14ac:dyDescent="0.2">
      <c r="A1368" s="19" t="str">
        <f>_xlfn.IFNA(VLOOKUP($B1368,Keys!$A:$B,2,FALSE),_xlfn.IFNA(VLOOKUP($B1368,Keys!$D:$E,2,FALSE),VLOOKUP($B1368,Keys!$G:$H,2,FALSE)))</f>
        <v>0x00000018D93C94D6</v>
      </c>
      <c r="B1368" s="5" t="s">
        <v>1274</v>
      </c>
      <c r="C1368" s="5" t="s">
        <v>410</v>
      </c>
      <c r="D1368" s="5" t="s">
        <v>16862</v>
      </c>
      <c r="E1368" s="5"/>
      <c r="F1368" s="5" t="s">
        <v>9297</v>
      </c>
      <c r="G1368" s="5" t="s">
        <v>8971</v>
      </c>
      <c r="H1368" s="1"/>
      <c r="I1368" s="1"/>
      <c r="J1368" s="2"/>
      <c r="K1368" s="5" t="s">
        <v>9340</v>
      </c>
      <c r="L1368" s="5" t="s">
        <v>11233</v>
      </c>
      <c r="M1368" s="20"/>
      <c r="N1368" s="5" t="s">
        <v>9299</v>
      </c>
      <c r="O1368" s="1"/>
      <c r="P1368" s="21" t="str">
        <f>IF(ISNUMBER(MATCH($C1368,StackableKinds,0)), TRUE, "")</f>
        <v/>
      </c>
      <c r="Q1368" s="7" t="b">
        <v>1</v>
      </c>
    </row>
    <row r="1369" spans="1:17" x14ac:dyDescent="0.2">
      <c r="A1369" s="19" t="str">
        <f>_xlfn.IFNA(VLOOKUP($B1369,Keys!$A:$B,2,FALSE),_xlfn.IFNA(VLOOKUP($B1369,Keys!$D:$E,2,FALSE),VLOOKUP($B1369,Keys!$G:$H,2,FALSE)))</f>
        <v>0x0000001ADD90B2EA</v>
      </c>
      <c r="B1369" s="5" t="s">
        <v>1282</v>
      </c>
      <c r="C1369" s="5" t="s">
        <v>410</v>
      </c>
      <c r="D1369" s="5" t="s">
        <v>16861</v>
      </c>
      <c r="E1369" s="5"/>
      <c r="F1369" s="5" t="s">
        <v>9297</v>
      </c>
      <c r="G1369" s="5" t="s">
        <v>8971</v>
      </c>
      <c r="H1369" s="1"/>
      <c r="I1369" s="1"/>
      <c r="J1369" s="2"/>
      <c r="K1369" s="5" t="s">
        <v>9340</v>
      </c>
      <c r="L1369" s="5" t="s">
        <v>11237</v>
      </c>
      <c r="M1369" s="20"/>
      <c r="N1369" s="5" t="s">
        <v>9299</v>
      </c>
      <c r="O1369" s="1"/>
      <c r="P1369" s="21" t="str">
        <f>IF(ISNUMBER(MATCH($C1369,StackableKinds,0)), TRUE, "")</f>
        <v/>
      </c>
      <c r="Q1369" s="7" t="b">
        <v>1</v>
      </c>
    </row>
    <row r="1370" spans="1:17" x14ac:dyDescent="0.2">
      <c r="A1370" s="19" t="str">
        <f>_xlfn.IFNA(VLOOKUP($B1370,Keys!$A:$B,2,FALSE),_xlfn.IFNA(VLOOKUP($B1370,Keys!$D:$E,2,FALSE),VLOOKUP($B1370,Keys!$G:$H,2,FALSE)))</f>
        <v>0x000000165F1447D8</v>
      </c>
      <c r="B1370" s="5" t="s">
        <v>1280</v>
      </c>
      <c r="C1370" s="5" t="s">
        <v>410</v>
      </c>
      <c r="D1370" s="5" t="s">
        <v>16860</v>
      </c>
      <c r="E1370" s="5"/>
      <c r="F1370" s="5" t="s">
        <v>9297</v>
      </c>
      <c r="G1370" s="5" t="s">
        <v>8971</v>
      </c>
      <c r="H1370" s="1"/>
      <c r="I1370" s="1"/>
      <c r="J1370" s="2"/>
      <c r="K1370" s="5" t="s">
        <v>9340</v>
      </c>
      <c r="L1370" s="5" t="s">
        <v>11236</v>
      </c>
      <c r="M1370" s="20"/>
      <c r="N1370" s="5" t="s">
        <v>9299</v>
      </c>
      <c r="O1370" s="1"/>
      <c r="P1370" s="21" t="str">
        <f>IF(ISNUMBER(MATCH($C1370,StackableKinds,0)), TRUE, "")</f>
        <v/>
      </c>
      <c r="Q1370" s="7" t="b">
        <v>1</v>
      </c>
    </row>
    <row r="1371" spans="1:17" x14ac:dyDescent="0.2">
      <c r="A1371" s="19" t="str">
        <f>_xlfn.IFNA(VLOOKUP($B1371,Keys!$A:$B,2,FALSE),_xlfn.IFNA(VLOOKUP($B1371,Keys!$D:$E,2,FALSE),VLOOKUP($B1371,Keys!$G:$H,2,FALSE)))</f>
        <v>0x00000016CF6B8F16</v>
      </c>
      <c r="B1371" s="5" t="s">
        <v>1276</v>
      </c>
      <c r="C1371" s="5" t="s">
        <v>410</v>
      </c>
      <c r="D1371" s="5" t="s">
        <v>16859</v>
      </c>
      <c r="E1371" s="5"/>
      <c r="F1371" s="5" t="s">
        <v>9297</v>
      </c>
      <c r="G1371" s="5" t="s">
        <v>8971</v>
      </c>
      <c r="H1371" s="1"/>
      <c r="I1371" s="1"/>
      <c r="J1371" s="2"/>
      <c r="K1371" s="5" t="s">
        <v>9340</v>
      </c>
      <c r="L1371" s="5" t="s">
        <v>11234</v>
      </c>
      <c r="M1371" s="20"/>
      <c r="N1371" s="5" t="s">
        <v>9299</v>
      </c>
      <c r="O1371" s="1"/>
      <c r="P1371" s="21" t="str">
        <f>IF(ISNUMBER(MATCH($C1371,StackableKinds,0)), TRUE, "")</f>
        <v/>
      </c>
      <c r="Q1371" s="7" t="b">
        <v>1</v>
      </c>
    </row>
    <row r="1372" spans="1:17" x14ac:dyDescent="0.2">
      <c r="A1372" s="19" t="str">
        <f>_xlfn.IFNA(VLOOKUP($B1372,Keys!$A:$B,2,FALSE),_xlfn.IFNA(VLOOKUP($B1372,Keys!$D:$E,2,FALSE),VLOOKUP($B1372,Keys!$G:$H,2,FALSE)))</f>
        <v>0x0000001B654517C5</v>
      </c>
      <c r="B1372" s="5" t="s">
        <v>1278</v>
      </c>
      <c r="C1372" s="5" t="s">
        <v>410</v>
      </c>
      <c r="D1372" s="5" t="s">
        <v>16858</v>
      </c>
      <c r="E1372" s="5"/>
      <c r="F1372" s="5" t="s">
        <v>9297</v>
      </c>
      <c r="G1372" s="5" t="s">
        <v>8971</v>
      </c>
      <c r="H1372" s="1"/>
      <c r="I1372" s="1"/>
      <c r="J1372" s="2"/>
      <c r="K1372" s="5" t="s">
        <v>9340</v>
      </c>
      <c r="L1372" s="5" t="s">
        <v>11235</v>
      </c>
      <c r="M1372" s="20"/>
      <c r="N1372" s="5" t="s">
        <v>9299</v>
      </c>
      <c r="O1372" s="1"/>
      <c r="P1372" s="21" t="str">
        <f>IF(ISNUMBER(MATCH($C1372,StackableKinds,0)), TRUE, "")</f>
        <v/>
      </c>
      <c r="Q1372" s="7" t="b">
        <v>1</v>
      </c>
    </row>
    <row r="1373" spans="1:17" x14ac:dyDescent="0.2">
      <c r="A1373" s="19" t="str">
        <f>_xlfn.IFNA(VLOOKUP($B1373,Keys!$A:$B,2,FALSE),_xlfn.IFNA(VLOOKUP($B1373,Keys!$D:$E,2,FALSE),VLOOKUP($B1373,Keys!$G:$H,2,FALSE)))</f>
        <v>0x000000159CC0397A</v>
      </c>
      <c r="B1373" s="5" t="s">
        <v>2114</v>
      </c>
      <c r="C1373" s="5" t="s">
        <v>410</v>
      </c>
      <c r="D1373" s="5" t="s">
        <v>16862</v>
      </c>
      <c r="E1373" s="5"/>
      <c r="F1373" s="5" t="s">
        <v>9054</v>
      </c>
      <c r="G1373" s="5" t="s">
        <v>8971</v>
      </c>
      <c r="H1373" s="1"/>
      <c r="I1373" s="1"/>
      <c r="J1373" s="2"/>
      <c r="K1373" s="5" t="s">
        <v>9649</v>
      </c>
      <c r="L1373" s="19" t="s">
        <v>11247</v>
      </c>
      <c r="M1373" s="20"/>
      <c r="N1373" s="5" t="s">
        <v>9056</v>
      </c>
      <c r="O1373" s="1"/>
      <c r="P1373" s="21" t="str">
        <f>IF(ISNUMBER(MATCH($C1373,StackableKinds,0)), TRUE, "")</f>
        <v/>
      </c>
      <c r="Q1373" s="7" t="b">
        <v>1</v>
      </c>
    </row>
    <row r="1374" spans="1:17" x14ac:dyDescent="0.2">
      <c r="A1374" s="19" t="str">
        <f>_xlfn.IFNA(VLOOKUP($B1374,Keys!$A:$B,2,FALSE),_xlfn.IFNA(VLOOKUP($B1374,Keys!$D:$E,2,FALSE),VLOOKUP($B1374,Keys!$G:$H,2,FALSE)))</f>
        <v>0x000000177745DBA6</v>
      </c>
      <c r="B1374" s="5" t="s">
        <v>2122</v>
      </c>
      <c r="C1374" s="5" t="s">
        <v>410</v>
      </c>
      <c r="D1374" s="5" t="s">
        <v>16861</v>
      </c>
      <c r="E1374" s="5"/>
      <c r="F1374" s="5" t="s">
        <v>9054</v>
      </c>
      <c r="G1374" s="5" t="s">
        <v>8971</v>
      </c>
      <c r="H1374" s="1"/>
      <c r="I1374" s="1"/>
      <c r="J1374" s="2"/>
      <c r="K1374" s="5" t="s">
        <v>9649</v>
      </c>
      <c r="L1374" s="19" t="s">
        <v>11251</v>
      </c>
      <c r="M1374" s="20"/>
      <c r="N1374" s="5" t="s">
        <v>9056</v>
      </c>
      <c r="O1374" s="1"/>
      <c r="P1374" s="21" t="str">
        <f>IF(ISNUMBER(MATCH($C1374,StackableKinds,0)), TRUE, "")</f>
        <v/>
      </c>
      <c r="Q1374" s="7" t="b">
        <v>1</v>
      </c>
    </row>
    <row r="1375" spans="1:17" x14ac:dyDescent="0.2">
      <c r="A1375" s="19" t="str">
        <f>_xlfn.IFNA(VLOOKUP($B1375,Keys!$A:$B,2,FALSE),_xlfn.IFNA(VLOOKUP($B1375,Keys!$D:$E,2,FALSE),VLOOKUP($B1375,Keys!$G:$H,2,FALSE)))</f>
        <v>0x0000001377AAD52F</v>
      </c>
      <c r="B1375" s="5" t="s">
        <v>2120</v>
      </c>
      <c r="C1375" s="5" t="s">
        <v>410</v>
      </c>
      <c r="D1375" s="5" t="s">
        <v>16860</v>
      </c>
      <c r="E1375" s="5"/>
      <c r="F1375" s="5" t="s">
        <v>9054</v>
      </c>
      <c r="G1375" s="5" t="s">
        <v>8971</v>
      </c>
      <c r="H1375" s="1"/>
      <c r="I1375" s="1"/>
      <c r="J1375" s="2"/>
      <c r="K1375" s="5" t="s">
        <v>9649</v>
      </c>
      <c r="L1375" s="19" t="s">
        <v>11250</v>
      </c>
      <c r="M1375" s="20"/>
      <c r="N1375" s="5" t="s">
        <v>9056</v>
      </c>
      <c r="O1375" s="1"/>
      <c r="P1375" s="21" t="str">
        <f>IF(ISNUMBER(MATCH($C1375,StackableKinds,0)), TRUE, "")</f>
        <v/>
      </c>
      <c r="Q1375" s="7" t="b">
        <v>1</v>
      </c>
    </row>
    <row r="1376" spans="1:17" x14ac:dyDescent="0.2">
      <c r="A1376" s="19" t="str">
        <f>_xlfn.IFNA(VLOOKUP($B1376,Keys!$A:$B,2,FALSE),_xlfn.IFNA(VLOOKUP($B1376,Keys!$D:$E,2,FALSE),VLOOKUP($B1376,Keys!$G:$H,2,FALSE)))</f>
        <v>0x00000013E7D51DE1</v>
      </c>
      <c r="B1376" s="5" t="s">
        <v>2116</v>
      </c>
      <c r="C1376" s="5" t="s">
        <v>410</v>
      </c>
      <c r="D1376" s="5" t="s">
        <v>16859</v>
      </c>
      <c r="E1376" s="5"/>
      <c r="F1376" s="5" t="s">
        <v>9054</v>
      </c>
      <c r="G1376" s="5" t="s">
        <v>8971</v>
      </c>
      <c r="H1376" s="1"/>
      <c r="I1376" s="1"/>
      <c r="J1376" s="2"/>
      <c r="K1376" s="5" t="s">
        <v>9649</v>
      </c>
      <c r="L1376" s="19" t="s">
        <v>11248</v>
      </c>
      <c r="M1376" s="20"/>
      <c r="N1376" s="5" t="s">
        <v>9056</v>
      </c>
      <c r="O1376" s="1"/>
      <c r="P1376" s="21" t="str">
        <f>IF(ISNUMBER(MATCH($C1376,StackableKinds,0)), TRUE, "")</f>
        <v/>
      </c>
      <c r="Q1376" s="7" t="b">
        <v>1</v>
      </c>
    </row>
    <row r="1377" spans="1:17" x14ac:dyDescent="0.2">
      <c r="A1377" s="19" t="str">
        <f>_xlfn.IFNA(VLOOKUP($B1377,Keys!$A:$B,2,FALSE),_xlfn.IFNA(VLOOKUP($B1377,Keys!$D:$E,2,FALSE),VLOOKUP($B1377,Keys!$G:$H,2,FALSE)))</f>
        <v>0x000000181A85CF17</v>
      </c>
      <c r="B1377" s="5" t="s">
        <v>2118</v>
      </c>
      <c r="C1377" s="5" t="s">
        <v>410</v>
      </c>
      <c r="D1377" s="5" t="s">
        <v>16858</v>
      </c>
      <c r="E1377" s="5"/>
      <c r="F1377" s="5" t="s">
        <v>9054</v>
      </c>
      <c r="G1377" s="5" t="s">
        <v>8971</v>
      </c>
      <c r="H1377" s="1"/>
      <c r="I1377" s="1"/>
      <c r="J1377" s="2"/>
      <c r="K1377" s="5" t="s">
        <v>9649</v>
      </c>
      <c r="L1377" s="19" t="s">
        <v>11249</v>
      </c>
      <c r="M1377" s="20"/>
      <c r="N1377" s="5" t="s">
        <v>9056</v>
      </c>
      <c r="O1377" s="1"/>
      <c r="P1377" s="21" t="str">
        <f>IF(ISNUMBER(MATCH($C1377,StackableKinds,0)), TRUE, "")</f>
        <v/>
      </c>
      <c r="Q1377" s="7" t="b">
        <v>1</v>
      </c>
    </row>
    <row r="1378" spans="1:17" x14ac:dyDescent="0.2">
      <c r="A1378" s="19" t="str">
        <f>_xlfn.IFNA(VLOOKUP($B1378,Keys!$A:$B,2,FALSE),_xlfn.IFNA(VLOOKUP($B1378,Keys!$D:$E,2,FALSE),VLOOKUP($B1378,Keys!$G:$H,2,FALSE)))</f>
        <v>0x0000001CE378D724</v>
      </c>
      <c r="B1378" s="5" t="s">
        <v>5479</v>
      </c>
      <c r="C1378" s="5" t="s">
        <v>410</v>
      </c>
      <c r="D1378" s="5" t="s">
        <v>16861</v>
      </c>
      <c r="E1378" s="5"/>
      <c r="F1378" s="5" t="s">
        <v>8995</v>
      </c>
      <c r="G1378" s="5" t="s">
        <v>8996</v>
      </c>
      <c r="H1378" s="1"/>
      <c r="I1378" s="1"/>
      <c r="J1378" s="2"/>
      <c r="K1378" s="5" t="s">
        <v>10443</v>
      </c>
      <c r="L1378" s="19" t="s">
        <v>11286</v>
      </c>
      <c r="M1378" s="20"/>
      <c r="N1378" s="5" t="s">
        <v>9961</v>
      </c>
      <c r="O1378" s="5" t="s">
        <v>8999</v>
      </c>
      <c r="P1378" s="21" t="str">
        <f>IF(ISNUMBER(MATCH($C1378,StackableKinds,0)), TRUE, "")</f>
        <v/>
      </c>
      <c r="Q1378" s="7" t="b">
        <v>1</v>
      </c>
    </row>
    <row r="1379" spans="1:17" x14ac:dyDescent="0.2">
      <c r="A1379" s="19" t="str">
        <f>_xlfn.IFNA(VLOOKUP($B1379,Keys!$A:$B,2,FALSE),_xlfn.IFNA(VLOOKUP($B1379,Keys!$D:$E,2,FALSE),VLOOKUP($B1379,Keys!$G:$H,2,FALSE)))</f>
        <v>0x0000001946861D10</v>
      </c>
      <c r="B1379" s="5" t="s">
        <v>5475</v>
      </c>
      <c r="C1379" s="5" t="s">
        <v>410</v>
      </c>
      <c r="D1379" s="5" t="s">
        <v>16860</v>
      </c>
      <c r="E1379" s="5"/>
      <c r="F1379" s="5" t="s">
        <v>8995</v>
      </c>
      <c r="G1379" s="5" t="s">
        <v>8996</v>
      </c>
      <c r="H1379" s="1"/>
      <c r="I1379" s="1"/>
      <c r="J1379" s="2"/>
      <c r="K1379" s="5" t="s">
        <v>10441</v>
      </c>
      <c r="L1379" s="19" t="s">
        <v>11107</v>
      </c>
      <c r="M1379" s="20"/>
      <c r="N1379" s="5" t="s">
        <v>9961</v>
      </c>
      <c r="O1379" s="5" t="s">
        <v>8999</v>
      </c>
      <c r="P1379" s="21" t="str">
        <f>IF(ISNUMBER(MATCH($C1379,StackableKinds,0)), TRUE, "")</f>
        <v/>
      </c>
      <c r="Q1379" s="7" t="b">
        <v>1</v>
      </c>
    </row>
    <row r="1380" spans="1:17" x14ac:dyDescent="0.2">
      <c r="A1380" s="19" t="str">
        <f>_xlfn.IFNA(VLOOKUP($B1380,Keys!$A:$B,2,FALSE),_xlfn.IFNA(VLOOKUP($B1380,Keys!$D:$E,2,FALSE),VLOOKUP($B1380,Keys!$G:$H,2,FALSE)))</f>
        <v>0x0000001A0BC3B5E4</v>
      </c>
      <c r="B1380" s="5" t="s">
        <v>5473</v>
      </c>
      <c r="C1380" s="5" t="s">
        <v>410</v>
      </c>
      <c r="D1380" s="5" t="s">
        <v>16859</v>
      </c>
      <c r="E1380" s="5"/>
      <c r="F1380" s="5" t="s">
        <v>8995</v>
      </c>
      <c r="G1380" s="5" t="s">
        <v>8996</v>
      </c>
      <c r="H1380" s="1"/>
      <c r="I1380" s="1"/>
      <c r="J1380" s="2"/>
      <c r="K1380" s="5" t="s">
        <v>10440</v>
      </c>
      <c r="L1380" s="19" t="s">
        <v>11106</v>
      </c>
      <c r="M1380" s="20"/>
      <c r="N1380" s="5" t="s">
        <v>9961</v>
      </c>
      <c r="O1380" s="5" t="s">
        <v>8999</v>
      </c>
      <c r="P1380" s="21" t="str">
        <f>IF(ISNUMBER(MATCH($C1380,StackableKinds,0)), TRUE, "")</f>
        <v/>
      </c>
      <c r="Q1380" s="7" t="b">
        <v>1</v>
      </c>
    </row>
    <row r="1381" spans="1:17" x14ac:dyDescent="0.2">
      <c r="A1381" s="19" t="str">
        <f>_xlfn.IFNA(VLOOKUP($B1381,Keys!$A:$B,2,FALSE),_xlfn.IFNA(VLOOKUP($B1381,Keys!$D:$E,2,FALSE),VLOOKUP($B1381,Keys!$G:$H,2,FALSE)))</f>
        <v>0x0000002589AD8AA7</v>
      </c>
      <c r="B1381" s="5" t="s">
        <v>5477</v>
      </c>
      <c r="C1381" s="5" t="s">
        <v>410</v>
      </c>
      <c r="D1381" s="5" t="s">
        <v>16858</v>
      </c>
      <c r="E1381" s="5"/>
      <c r="F1381" s="5" t="s">
        <v>8995</v>
      </c>
      <c r="G1381" s="5" t="s">
        <v>8996</v>
      </c>
      <c r="H1381" s="1"/>
      <c r="I1381" s="1"/>
      <c r="J1381" s="2"/>
      <c r="K1381" s="5" t="s">
        <v>10442</v>
      </c>
      <c r="L1381" s="19" t="s">
        <v>11285</v>
      </c>
      <c r="M1381" s="20"/>
      <c r="N1381" s="5" t="s">
        <v>9961</v>
      </c>
      <c r="O1381" s="5" t="s">
        <v>8999</v>
      </c>
      <c r="P1381" s="21" t="str">
        <f>IF(ISNUMBER(MATCH($C1381,StackableKinds,0)), TRUE, "")</f>
        <v/>
      </c>
      <c r="Q1381" s="7" t="b">
        <v>1</v>
      </c>
    </row>
    <row r="1382" spans="1:17" x14ac:dyDescent="0.2">
      <c r="A1382" s="19" t="str">
        <f>_xlfn.IFNA(VLOOKUP($B1382,Keys!$A:$B,2,FALSE),_xlfn.IFNA(VLOOKUP($B1382,Keys!$D:$E,2,FALSE),VLOOKUP($B1382,Keys!$G:$H,2,FALSE)))</f>
        <v>0x00000020FC32B54A</v>
      </c>
      <c r="B1382" s="5" t="s">
        <v>5503</v>
      </c>
      <c r="C1382" s="5" t="s">
        <v>410</v>
      </c>
      <c r="D1382" s="5" t="s">
        <v>16862</v>
      </c>
      <c r="E1382" s="5"/>
      <c r="F1382" s="5" t="s">
        <v>9297</v>
      </c>
      <c r="G1382" s="1"/>
      <c r="H1382" s="1"/>
      <c r="I1382" s="1"/>
      <c r="J1382" s="2"/>
      <c r="K1382" s="5" t="s">
        <v>10453</v>
      </c>
      <c r="L1382" s="19" t="s">
        <v>11287</v>
      </c>
      <c r="M1382" s="20"/>
      <c r="N1382" s="5" t="s">
        <v>9299</v>
      </c>
      <c r="O1382" s="1"/>
      <c r="P1382" s="21" t="str">
        <f>IF(ISNUMBER(MATCH($C1382,StackableKinds,0)), TRUE, "")</f>
        <v/>
      </c>
      <c r="Q1382" s="7" t="b">
        <v>1</v>
      </c>
    </row>
    <row r="1383" spans="1:17" x14ac:dyDescent="0.2">
      <c r="A1383" s="19" t="str">
        <f>_xlfn.IFNA(VLOOKUP($B1383,Keys!$A:$B,2,FALSE),_xlfn.IFNA(VLOOKUP($B1383,Keys!$D:$E,2,FALSE),VLOOKUP($B1383,Keys!$G:$H,2,FALSE)))</f>
        <v>0x000000224C0D42AC</v>
      </c>
      <c r="B1383" s="5" t="s">
        <v>5507</v>
      </c>
      <c r="C1383" s="5" t="s">
        <v>410</v>
      </c>
      <c r="D1383" s="5" t="s">
        <v>16861</v>
      </c>
      <c r="E1383" s="5"/>
      <c r="F1383" s="5" t="s">
        <v>9297</v>
      </c>
      <c r="G1383" s="1"/>
      <c r="H1383" s="1"/>
      <c r="I1383" s="1"/>
      <c r="J1383" s="2"/>
      <c r="K1383" s="5" t="s">
        <v>10453</v>
      </c>
      <c r="L1383" s="19" t="s">
        <v>11289</v>
      </c>
      <c r="M1383" s="20"/>
      <c r="N1383" s="5" t="s">
        <v>9299</v>
      </c>
      <c r="O1383" s="1"/>
      <c r="P1383" s="21" t="str">
        <f>IF(ISNUMBER(MATCH($C1383,StackableKinds,0)), TRUE, "")</f>
        <v/>
      </c>
      <c r="Q1383" s="7" t="b">
        <v>1</v>
      </c>
    </row>
    <row r="1384" spans="1:17" x14ac:dyDescent="0.2">
      <c r="A1384" s="19" t="str">
        <f>_xlfn.IFNA(VLOOKUP($B1384,Keys!$A:$B,2,FALSE),_xlfn.IFNA(VLOOKUP($B1384,Keys!$D:$E,2,FALSE),VLOOKUP($B1384,Keys!$G:$H,2,FALSE)))</f>
        <v>0x0000001EC7D72606</v>
      </c>
      <c r="B1384" s="5" t="s">
        <v>5505</v>
      </c>
      <c r="C1384" s="5" t="s">
        <v>410</v>
      </c>
      <c r="D1384" s="5" t="s">
        <v>16860</v>
      </c>
      <c r="E1384" s="5"/>
      <c r="F1384" s="5" t="s">
        <v>9297</v>
      </c>
      <c r="G1384" s="1"/>
      <c r="H1384" s="1"/>
      <c r="I1384" s="1"/>
      <c r="J1384" s="2"/>
      <c r="K1384" s="5" t="s">
        <v>10453</v>
      </c>
      <c r="L1384" s="19" t="s">
        <v>11288</v>
      </c>
      <c r="M1384" s="20"/>
      <c r="N1384" s="5" t="s">
        <v>9299</v>
      </c>
      <c r="O1384" s="1"/>
      <c r="P1384" s="21" t="str">
        <f>IF(ISNUMBER(MATCH($C1384,StackableKinds,0)), TRUE, "")</f>
        <v/>
      </c>
      <c r="Q1384" s="7" t="b">
        <v>1</v>
      </c>
    </row>
    <row r="1385" spans="1:17" x14ac:dyDescent="0.2">
      <c r="A1385" s="19" t="str">
        <f>_xlfn.IFNA(VLOOKUP($B1385,Keys!$A:$B,2,FALSE),_xlfn.IFNA(VLOOKUP($B1385,Keys!$D:$E,2,FALSE),VLOOKUP($B1385,Keys!$G:$H,2,FALSE)))</f>
        <v>0x000000163EC8F88A</v>
      </c>
      <c r="B1385" s="5" t="s">
        <v>5555</v>
      </c>
      <c r="C1385" s="5" t="s">
        <v>410</v>
      </c>
      <c r="D1385" s="5" t="s">
        <v>16861</v>
      </c>
      <c r="E1385" s="5"/>
      <c r="F1385" s="5" t="s">
        <v>9054</v>
      </c>
      <c r="G1385" s="1"/>
      <c r="H1385" s="1"/>
      <c r="I1385" s="1"/>
      <c r="J1385" s="2"/>
      <c r="K1385" s="5" t="s">
        <v>10547</v>
      </c>
      <c r="L1385" s="19" t="s">
        <v>11122</v>
      </c>
      <c r="M1385" s="20"/>
      <c r="N1385" s="5" t="s">
        <v>9056</v>
      </c>
      <c r="O1385" s="1"/>
      <c r="P1385" s="21" t="str">
        <f>IF(ISNUMBER(MATCH($C1385,StackableKinds,0)), TRUE, "")</f>
        <v/>
      </c>
      <c r="Q1385" s="7" t="b">
        <v>1</v>
      </c>
    </row>
    <row r="1386" spans="1:17" x14ac:dyDescent="0.2">
      <c r="A1386" s="19" t="str">
        <f>_xlfn.IFNA(VLOOKUP($B1386,Keys!$A:$B,2,FALSE),_xlfn.IFNA(VLOOKUP($B1386,Keys!$D:$E,2,FALSE),VLOOKUP($B1386,Keys!$G:$H,2,FALSE)))</f>
        <v>0x0000001EBCE9AB44</v>
      </c>
      <c r="B1386" s="5" t="s">
        <v>2094</v>
      </c>
      <c r="C1386" s="5" t="s">
        <v>410</v>
      </c>
      <c r="D1386" s="5" t="s">
        <v>16862</v>
      </c>
      <c r="E1386" s="5"/>
      <c r="F1386" s="5" t="s">
        <v>8991</v>
      </c>
      <c r="G1386" s="5" t="s">
        <v>8971</v>
      </c>
      <c r="H1386" s="1"/>
      <c r="I1386" s="1"/>
      <c r="J1386" s="2"/>
      <c r="K1386" s="5" t="s">
        <v>9644</v>
      </c>
      <c r="L1386" s="19" t="s">
        <v>11243</v>
      </c>
      <c r="M1386" s="20"/>
      <c r="N1386" s="5" t="s">
        <v>8994</v>
      </c>
      <c r="O1386" s="1"/>
      <c r="P1386" s="21" t="str">
        <f>IF(ISNUMBER(MATCH($C1386,StackableKinds,0)), TRUE, "")</f>
        <v/>
      </c>
      <c r="Q1386" s="7" t="b">
        <v>1</v>
      </c>
    </row>
    <row r="1387" spans="1:17" x14ac:dyDescent="0.2">
      <c r="A1387" s="19" t="str">
        <f>_xlfn.IFNA(VLOOKUP($B1387,Keys!$A:$B,2,FALSE),_xlfn.IFNA(VLOOKUP($B1387,Keys!$D:$E,2,FALSE),VLOOKUP($B1387,Keys!$G:$H,2,FALSE)))</f>
        <v>0x000000202881129A</v>
      </c>
      <c r="B1387" s="5" t="s">
        <v>2100</v>
      </c>
      <c r="C1387" s="5" t="s">
        <v>410</v>
      </c>
      <c r="D1387" s="5" t="s">
        <v>16861</v>
      </c>
      <c r="E1387" s="5"/>
      <c r="F1387" s="5" t="s">
        <v>8991</v>
      </c>
      <c r="G1387" s="5" t="s">
        <v>8971</v>
      </c>
      <c r="H1387" s="1"/>
      <c r="I1387" s="1"/>
      <c r="J1387" s="2"/>
      <c r="K1387" s="5" t="s">
        <v>9644</v>
      </c>
      <c r="L1387" s="19" t="s">
        <v>11246</v>
      </c>
      <c r="M1387" s="20"/>
      <c r="N1387" s="5" t="s">
        <v>8994</v>
      </c>
      <c r="O1387" s="1"/>
      <c r="P1387" s="21" t="str">
        <f>IF(ISNUMBER(MATCH($C1387,StackableKinds,0)), TRUE, "")</f>
        <v/>
      </c>
      <c r="Q1387" s="7" t="b">
        <v>1</v>
      </c>
    </row>
    <row r="1388" spans="1:17" x14ac:dyDescent="0.2">
      <c r="A1388" s="19" t="str">
        <f>_xlfn.IFNA(VLOOKUP($B1388,Keys!$A:$B,2,FALSE),_xlfn.IFNA(VLOOKUP($B1388,Keys!$D:$E,2,FALSE),VLOOKUP($B1388,Keys!$G:$H,2,FALSE)))</f>
        <v>0x0000001C99E6114E</v>
      </c>
      <c r="B1388" s="5" t="s">
        <v>2096</v>
      </c>
      <c r="C1388" s="5" t="s">
        <v>410</v>
      </c>
      <c r="D1388" s="5" t="s">
        <v>16859</v>
      </c>
      <c r="E1388" s="5"/>
      <c r="F1388" s="5" t="s">
        <v>8991</v>
      </c>
      <c r="G1388" s="5" t="s">
        <v>8971</v>
      </c>
      <c r="H1388" s="1"/>
      <c r="I1388" s="1"/>
      <c r="J1388" s="2"/>
      <c r="K1388" s="5" t="s">
        <v>9644</v>
      </c>
      <c r="L1388" s="19" t="s">
        <v>11244</v>
      </c>
      <c r="M1388" s="20"/>
      <c r="N1388" s="5" t="s">
        <v>8994</v>
      </c>
      <c r="O1388" s="1"/>
      <c r="P1388" s="21" t="str">
        <f>IF(ISNUMBER(MATCH($C1388,StackableKinds,0)), TRUE, "")</f>
        <v/>
      </c>
      <c r="Q1388" s="7" t="b">
        <v>1</v>
      </c>
    </row>
    <row r="1389" spans="1:17" x14ac:dyDescent="0.2">
      <c r="A1389" s="19" t="str">
        <f>_xlfn.IFNA(VLOOKUP($B1389,Keys!$A:$B,2,FALSE),_xlfn.IFNA(VLOOKUP($B1389,Keys!$D:$E,2,FALSE),VLOOKUP($B1389,Keys!$G:$H,2,FALSE)))</f>
        <v>0x0000002135B57759</v>
      </c>
      <c r="B1389" s="5" t="s">
        <v>2098</v>
      </c>
      <c r="C1389" s="5" t="s">
        <v>410</v>
      </c>
      <c r="D1389" s="5" t="s">
        <v>16858</v>
      </c>
      <c r="E1389" s="5"/>
      <c r="F1389" s="5" t="s">
        <v>8991</v>
      </c>
      <c r="G1389" s="5" t="s">
        <v>8971</v>
      </c>
      <c r="H1389" s="1"/>
      <c r="I1389" s="1"/>
      <c r="J1389" s="2"/>
      <c r="K1389" s="5" t="s">
        <v>9644</v>
      </c>
      <c r="L1389" s="19" t="s">
        <v>11245</v>
      </c>
      <c r="M1389" s="20"/>
      <c r="N1389" s="5" t="s">
        <v>8994</v>
      </c>
      <c r="O1389" s="1"/>
      <c r="P1389" s="21" t="str">
        <f>IF(ISNUMBER(MATCH($C1389,StackableKinds,0)), TRUE, "")</f>
        <v/>
      </c>
      <c r="Q1389" s="7" t="b">
        <v>1</v>
      </c>
    </row>
    <row r="1390" spans="1:17" x14ac:dyDescent="0.2">
      <c r="A1390" s="19" t="str">
        <f>_xlfn.IFNA(VLOOKUP($B1390,Keys!$A:$B,2,FALSE),_xlfn.IFNA(VLOOKUP($B1390,Keys!$D:$E,2,FALSE),VLOOKUP($B1390,Keys!$G:$H,2,FALSE)))</f>
        <v>0x00000012E0A7D803</v>
      </c>
      <c r="B1390" s="5" t="s">
        <v>544</v>
      </c>
      <c r="C1390" s="5" t="s">
        <v>410</v>
      </c>
      <c r="D1390" s="5" t="s">
        <v>16858</v>
      </c>
      <c r="E1390" s="5"/>
      <c r="F1390" s="5" t="s">
        <v>8995</v>
      </c>
      <c r="G1390" s="5" t="s">
        <v>8972</v>
      </c>
      <c r="H1390" s="1"/>
      <c r="I1390" s="1"/>
      <c r="J1390" s="2"/>
      <c r="K1390" s="5" t="s">
        <v>9035</v>
      </c>
      <c r="L1390" s="5" t="s">
        <v>9036</v>
      </c>
      <c r="M1390" s="20"/>
      <c r="N1390" s="5" t="s">
        <v>9961</v>
      </c>
      <c r="O1390" s="5" t="s">
        <v>9022</v>
      </c>
      <c r="P1390" s="21" t="str">
        <f>IF(ISNUMBER(MATCH($C1390,StackableKinds,0)), TRUE, "")</f>
        <v/>
      </c>
      <c r="Q1390" s="7" t="b">
        <v>1</v>
      </c>
    </row>
    <row r="1391" spans="1:17" x14ac:dyDescent="0.2">
      <c r="A1391" s="19" t="str">
        <f>_xlfn.IFNA(VLOOKUP($B1391,Keys!$A:$B,2,FALSE),_xlfn.IFNA(VLOOKUP($B1391,Keys!$D:$E,2,FALSE),VLOOKUP($B1391,Keys!$G:$H,2,FALSE)))</f>
        <v>0x0000001297A0E895</v>
      </c>
      <c r="B1391" s="5" t="s">
        <v>546</v>
      </c>
      <c r="C1391" s="5" t="s">
        <v>410</v>
      </c>
      <c r="D1391" s="5" t="s">
        <v>16858</v>
      </c>
      <c r="E1391" s="5"/>
      <c r="F1391" s="5" t="s">
        <v>8995</v>
      </c>
      <c r="G1391" s="5" t="s">
        <v>8972</v>
      </c>
      <c r="H1391" s="1"/>
      <c r="I1391" s="5">
        <v>1</v>
      </c>
      <c r="J1391" s="2"/>
      <c r="K1391" s="5" t="s">
        <v>9037</v>
      </c>
      <c r="L1391" s="5" t="s">
        <v>9038</v>
      </c>
      <c r="M1391" s="20"/>
      <c r="N1391" s="5" t="s">
        <v>9961</v>
      </c>
      <c r="O1391" s="5" t="s">
        <v>9022</v>
      </c>
      <c r="P1391" s="21" t="str">
        <f>IF(ISNUMBER(MATCH($C1391,StackableKinds,0)), TRUE, "")</f>
        <v/>
      </c>
      <c r="Q1391" s="7" t="b">
        <v>1</v>
      </c>
    </row>
    <row r="1392" spans="1:17" x14ac:dyDescent="0.2">
      <c r="A1392" s="19" t="str">
        <f>_xlfn.IFNA(VLOOKUP($B1392,Keys!$A:$B,2,FALSE),_xlfn.IFNA(VLOOKUP($B1392,Keys!$D:$E,2,FALSE),VLOOKUP($B1392,Keys!$G:$H,2,FALSE)))</f>
        <v>0x00000016F0630EB1</v>
      </c>
      <c r="B1392" s="5" t="s">
        <v>4919</v>
      </c>
      <c r="C1392" s="5" t="s">
        <v>410</v>
      </c>
      <c r="D1392" s="5" t="s">
        <v>16860</v>
      </c>
      <c r="E1392" s="5"/>
      <c r="F1392" s="5" t="s">
        <v>8995</v>
      </c>
      <c r="G1392" s="5" t="s">
        <v>8755</v>
      </c>
      <c r="H1392" s="1"/>
      <c r="I1392" s="1"/>
      <c r="J1392" s="2"/>
      <c r="K1392" s="5" t="s">
        <v>10290</v>
      </c>
      <c r="L1392" s="19" t="s">
        <v>11051</v>
      </c>
      <c r="M1392" s="20"/>
      <c r="N1392" s="5" t="s">
        <v>9961</v>
      </c>
      <c r="O1392" s="5" t="s">
        <v>10289</v>
      </c>
      <c r="P1392" s="21" t="str">
        <f>IF(ISNUMBER(MATCH($C1392,StackableKinds,0)), TRUE, "")</f>
        <v/>
      </c>
      <c r="Q1392" s="7" t="b">
        <v>1</v>
      </c>
    </row>
    <row r="1393" spans="1:17" x14ac:dyDescent="0.2">
      <c r="A1393" s="19" t="str">
        <f>_xlfn.IFNA(VLOOKUP($B1393,Keys!$A:$B,2,FALSE),_xlfn.IFNA(VLOOKUP($B1393,Keys!$D:$E,2,FALSE),VLOOKUP($B1393,Keys!$G:$H,2,FALSE)))</f>
        <v>0x0000001687643E27</v>
      </c>
      <c r="B1393" s="5" t="s">
        <v>4921</v>
      </c>
      <c r="C1393" s="5" t="s">
        <v>410</v>
      </c>
      <c r="D1393" s="5" t="s">
        <v>16859</v>
      </c>
      <c r="E1393" s="5"/>
      <c r="F1393" s="5" t="s">
        <v>8995</v>
      </c>
      <c r="G1393" s="5" t="s">
        <v>8755</v>
      </c>
      <c r="H1393" s="1"/>
      <c r="I1393" s="1"/>
      <c r="J1393" s="2"/>
      <c r="K1393" s="5" t="s">
        <v>10291</v>
      </c>
      <c r="L1393" s="19" t="s">
        <v>11052</v>
      </c>
      <c r="M1393" s="20"/>
      <c r="N1393" s="5" t="s">
        <v>9961</v>
      </c>
      <c r="O1393" s="5" t="s">
        <v>10289</v>
      </c>
      <c r="P1393" s="21" t="str">
        <f>IF(ISNUMBER(MATCH($C1393,StackableKinds,0)), TRUE, "")</f>
        <v/>
      </c>
      <c r="Q1393" s="7" t="b">
        <v>1</v>
      </c>
    </row>
    <row r="1394" spans="1:17" x14ac:dyDescent="0.2">
      <c r="A1394" s="19" t="str">
        <f>_xlfn.IFNA(VLOOKUP($B1394,Keys!$A:$B,2,FALSE),_xlfn.IFNA(VLOOKUP($B1394,Keys!$D:$E,2,FALSE),VLOOKUP($B1394,Keys!$G:$H,2,FALSE)))</f>
        <v>0x00000016696A5F0B</v>
      </c>
      <c r="B1394" s="5" t="s">
        <v>4917</v>
      </c>
      <c r="C1394" s="5" t="s">
        <v>410</v>
      </c>
      <c r="D1394" s="5" t="s">
        <v>16861</v>
      </c>
      <c r="E1394" s="5"/>
      <c r="F1394" s="5" t="s">
        <v>8995</v>
      </c>
      <c r="G1394" s="5" t="s">
        <v>8755</v>
      </c>
      <c r="H1394" s="1"/>
      <c r="I1394" s="1"/>
      <c r="J1394" s="2"/>
      <c r="K1394" s="5" t="s">
        <v>10288</v>
      </c>
      <c r="L1394" s="19" t="s">
        <v>11050</v>
      </c>
      <c r="M1394" s="20"/>
      <c r="N1394" s="5" t="s">
        <v>9961</v>
      </c>
      <c r="O1394" s="5" t="s">
        <v>10289</v>
      </c>
      <c r="P1394" s="21" t="str">
        <f>IF(ISNUMBER(MATCH($C1394,StackableKinds,0)), TRUE, "")</f>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16861</v>
      </c>
      <c r="E1607" s="5"/>
      <c r="F1607" s="1" t="s">
        <v>11190</v>
      </c>
      <c r="G1607" s="5" t="s">
        <v>8971</v>
      </c>
      <c r="H1607" s="1"/>
      <c r="I1607" s="1"/>
      <c r="J1607" s="2"/>
      <c r="K1607" s="5" t="s">
        <v>9580</v>
      </c>
      <c r="L1607" s="19" t="s">
        <v>11143</v>
      </c>
      <c r="M1607" s="20" t="s">
        <v>11206</v>
      </c>
      <c r="N1607" s="5" t="s">
        <v>9575</v>
      </c>
      <c r="O1607" s="1"/>
      <c r="P1607" s="21" t="b">
        <f>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16860</v>
      </c>
      <c r="E1608" s="5"/>
      <c r="F1608" s="1" t="s">
        <v>10922</v>
      </c>
      <c r="G1608" s="5" t="s">
        <v>8971</v>
      </c>
      <c r="H1608" s="1"/>
      <c r="I1608" s="1"/>
      <c r="J1608" s="2"/>
      <c r="K1608" s="5" t="s">
        <v>9580</v>
      </c>
      <c r="L1608" s="19" t="s">
        <v>11143</v>
      </c>
      <c r="M1608" s="20" t="s">
        <v>11206</v>
      </c>
      <c r="N1608" s="5" t="s">
        <v>9575</v>
      </c>
      <c r="O1608" s="1"/>
      <c r="P1608" s="21" t="b">
        <f>IF(ISNUMBER(MATCH($C1608,StackableKinds,0)), TRUE, "")</f>
        <v>1</v>
      </c>
      <c r="R1608" s="22" t="b">
        <v>1</v>
      </c>
    </row>
    <row r="1609" spans="1:18" x14ac:dyDescent="0.2">
      <c r="A1609" s="19" t="str">
        <f>_xlfn.IFNA(VLOOKUP($B1609,Keys!$A:$B,2,FALSE),_xlfn.IFNA(VLOOKUP($B1609,Keys!$D:$E,2,FALSE),VLOOKUP($B1609,Keys!$G:$H,2,FALSE)))</f>
        <v>0x0000001D46566C29</v>
      </c>
      <c r="B1609" s="5" t="s">
        <v>1936</v>
      </c>
      <c r="C1609" s="5" t="s">
        <v>9</v>
      </c>
      <c r="D1609" s="5" t="s">
        <v>16859</v>
      </c>
      <c r="E1609" s="5"/>
      <c r="F1609" s="19" t="s">
        <v>10921</v>
      </c>
      <c r="G1609" s="5" t="s">
        <v>8971</v>
      </c>
      <c r="H1609" s="1"/>
      <c r="I1609" s="1"/>
      <c r="J1609" s="2"/>
      <c r="K1609" s="5" t="s">
        <v>9580</v>
      </c>
      <c r="L1609" s="19" t="s">
        <v>11143</v>
      </c>
      <c r="M1609" s="20" t="s">
        <v>11206</v>
      </c>
      <c r="N1609" s="5" t="s">
        <v>9575</v>
      </c>
      <c r="O1609" s="1"/>
      <c r="P1609" s="21" t="b">
        <f>IF(ISNUMBER(MATCH($C1609,StackableKinds,0)), TRUE, "")</f>
        <v>1</v>
      </c>
      <c r="R1609" s="22" t="b">
        <v>1</v>
      </c>
    </row>
    <row r="1610" spans="1:18" x14ac:dyDescent="0.2">
      <c r="A1610" s="19" t="str">
        <f>_xlfn.IFNA(VLOOKUP($B1610,Keys!$A:$B,2,FALSE),_xlfn.IFNA(VLOOKUP($B1610,Keys!$D:$E,2,FALSE),VLOOKUP($B1610,Keys!$G:$H,2,FALSE)))</f>
        <v>0x00000017631C96CF</v>
      </c>
      <c r="B1610" s="5" t="s">
        <v>1918</v>
      </c>
      <c r="C1610" s="5" t="s">
        <v>9</v>
      </c>
      <c r="D1610" s="5" t="s">
        <v>16861</v>
      </c>
      <c r="E1610" s="5"/>
      <c r="F1610" s="1" t="s">
        <v>11190</v>
      </c>
      <c r="G1610" s="5" t="s">
        <v>8971</v>
      </c>
      <c r="H1610" s="1"/>
      <c r="I1610" s="1"/>
      <c r="J1610" s="2"/>
      <c r="K1610" s="5" t="s">
        <v>9577</v>
      </c>
      <c r="L1610" s="19" t="s">
        <v>11140</v>
      </c>
      <c r="M1610" s="20" t="s">
        <v>11204</v>
      </c>
      <c r="N1610" s="5" t="s">
        <v>9575</v>
      </c>
      <c r="O1610" s="1"/>
      <c r="P1610" s="21" t="b">
        <f>IF(ISNUMBER(MATCH($C1610,StackableKinds,0)), TRUE, "")</f>
        <v>1</v>
      </c>
      <c r="R1610" s="22" t="b">
        <v>1</v>
      </c>
    </row>
    <row r="1611" spans="1:18" x14ac:dyDescent="0.2">
      <c r="A1611" s="19" t="str">
        <f>_xlfn.IFNA(VLOOKUP($B1611,Keys!$A:$B,2,FALSE),_xlfn.IFNA(VLOOKUP($B1611,Keys!$D:$E,2,FALSE),VLOOKUP($B1611,Keys!$G:$H,2,FALSE)))</f>
        <v>0x000000162715ADBE</v>
      </c>
      <c r="B1611" s="5" t="s">
        <v>1920</v>
      </c>
      <c r="C1611" s="5" t="s">
        <v>9</v>
      </c>
      <c r="D1611" s="5" t="s">
        <v>16860</v>
      </c>
      <c r="E1611" s="5"/>
      <c r="F1611" s="1" t="s">
        <v>10922</v>
      </c>
      <c r="G1611" s="5" t="s">
        <v>8971</v>
      </c>
      <c r="H1611" s="1"/>
      <c r="I1611" s="1"/>
      <c r="J1611" s="2"/>
      <c r="K1611" s="5" t="s">
        <v>9577</v>
      </c>
      <c r="L1611" s="19" t="s">
        <v>11140</v>
      </c>
      <c r="M1611" s="20" t="s">
        <v>11204</v>
      </c>
      <c r="N1611" s="5" t="s">
        <v>9575</v>
      </c>
      <c r="O1611" s="1"/>
      <c r="P1611" s="21" t="b">
        <f>IF(ISNUMBER(MATCH($C1611,StackableKinds,0)), TRUE, "")</f>
        <v>1</v>
      </c>
      <c r="R1611" s="22" t="b">
        <v>1</v>
      </c>
    </row>
    <row r="1612" spans="1:18" x14ac:dyDescent="0.2">
      <c r="A1612" s="19" t="str">
        <f>_xlfn.IFNA(VLOOKUP($B1612,Keys!$A:$B,2,FALSE),_xlfn.IFNA(VLOOKUP($B1612,Keys!$D:$E,2,FALSE),VLOOKUP($B1612,Keys!$G:$H,2,FALSE)))</f>
        <v>0x000000165CB922D2</v>
      </c>
      <c r="B1612" s="5" t="s">
        <v>1916</v>
      </c>
      <c r="C1612" s="5" t="s">
        <v>9</v>
      </c>
      <c r="D1612" s="5" t="s">
        <v>16859</v>
      </c>
      <c r="E1612" s="5"/>
      <c r="F1612" s="1" t="s">
        <v>10921</v>
      </c>
      <c r="G1612" s="5" t="s">
        <v>8971</v>
      </c>
      <c r="H1612" s="1"/>
      <c r="I1612" s="1"/>
      <c r="J1612" s="2"/>
      <c r="K1612" s="5" t="s">
        <v>9577</v>
      </c>
      <c r="L1612" s="19" t="s">
        <v>11140</v>
      </c>
      <c r="M1612" s="20" t="s">
        <v>11204</v>
      </c>
      <c r="N1612" s="5" t="s">
        <v>9575</v>
      </c>
      <c r="O1612" s="1"/>
      <c r="P1612" s="21" t="b">
        <f>IF(ISNUMBER(MATCH($C1612,StackableKinds,0)), TRUE, "")</f>
        <v>1</v>
      </c>
      <c r="R1612" s="22" t="b">
        <v>1</v>
      </c>
    </row>
    <row r="1613" spans="1:18" x14ac:dyDescent="0.2">
      <c r="A1613" s="19" t="str">
        <f>_xlfn.IFNA(VLOOKUP($B1613,Keys!$A:$B,2,FALSE),_xlfn.IFNA(VLOOKUP($B1613,Keys!$D:$E,2,FALSE),VLOOKUP($B1613,Keys!$G:$H,2,FALSE)))</f>
        <v>0x00000018EDC63EF7</v>
      </c>
      <c r="B1613" s="5" t="s">
        <v>1932</v>
      </c>
      <c r="C1613" s="5" t="s">
        <v>9</v>
      </c>
      <c r="D1613" s="5" t="s">
        <v>16862</v>
      </c>
      <c r="E1613" s="5"/>
      <c r="F1613" s="1" t="s">
        <v>11190</v>
      </c>
      <c r="G1613" s="5" t="s">
        <v>8971</v>
      </c>
      <c r="H1613" s="1"/>
      <c r="I1613" s="1"/>
      <c r="J1613" s="2"/>
      <c r="K1613" s="5" t="s">
        <v>9579</v>
      </c>
      <c r="M1613" s="20" t="s">
        <v>11202</v>
      </c>
      <c r="N1613" s="5" t="s">
        <v>9575</v>
      </c>
      <c r="O1613" s="1"/>
      <c r="P1613" s="21" t="b">
        <f>IF(ISNUMBER(MATCH($C1613,StackableKinds,0)), TRUE, "")</f>
        <v>1</v>
      </c>
      <c r="R1613" s="22" t="b">
        <v>1</v>
      </c>
    </row>
    <row r="1614" spans="1:18" x14ac:dyDescent="0.2">
      <c r="A1614" s="19" t="str">
        <f>_xlfn.IFNA(VLOOKUP($B1614,Keys!$A:$B,2,FALSE),_xlfn.IFNA(VLOOKUP($B1614,Keys!$D:$E,2,FALSE),VLOOKUP($B1614,Keys!$G:$H,2,FALSE)))</f>
        <v>0x0000001743526C23</v>
      </c>
      <c r="B1614" s="5" t="s">
        <v>1934</v>
      </c>
      <c r="C1614" s="5" t="s">
        <v>9</v>
      </c>
      <c r="D1614" s="5" t="s">
        <v>16861</v>
      </c>
      <c r="E1614" s="5"/>
      <c r="F1614" s="19" t="s">
        <v>10922</v>
      </c>
      <c r="G1614" s="5" t="s">
        <v>8971</v>
      </c>
      <c r="H1614" s="1"/>
      <c r="I1614" s="1"/>
      <c r="J1614" s="2"/>
      <c r="K1614" s="5" t="s">
        <v>9579</v>
      </c>
      <c r="M1614" s="20" t="s">
        <v>11202</v>
      </c>
      <c r="N1614" s="5" t="s">
        <v>9575</v>
      </c>
      <c r="O1614" s="1"/>
      <c r="P1614" s="21" t="b">
        <f>IF(ISNUMBER(MATCH($C1614,StackableKinds,0)), TRUE, "")</f>
        <v>1</v>
      </c>
      <c r="R1614" s="22" t="b">
        <v>1</v>
      </c>
    </row>
    <row r="1615" spans="1:18" x14ac:dyDescent="0.2">
      <c r="A1615" s="19" t="str">
        <f>_xlfn.IFNA(VLOOKUP($B1615,Keys!$A:$B,2,FALSE),_xlfn.IFNA(VLOOKUP($B1615,Keys!$D:$E,2,FALSE),VLOOKUP($B1615,Keys!$G:$H,2,FALSE)))</f>
        <v>0x0000001738FEE34F</v>
      </c>
      <c r="B1615" s="5" t="s">
        <v>1930</v>
      </c>
      <c r="C1615" s="5" t="s">
        <v>9</v>
      </c>
      <c r="D1615" s="5" t="s">
        <v>16860</v>
      </c>
      <c r="E1615" s="5"/>
      <c r="F1615" s="19" t="s">
        <v>10921</v>
      </c>
      <c r="G1615" s="5" t="s">
        <v>8971</v>
      </c>
      <c r="H1615" s="1"/>
      <c r="I1615" s="1"/>
      <c r="J1615" s="2"/>
      <c r="K1615" s="5" t="s">
        <v>9579</v>
      </c>
      <c r="M1615" s="20" t="s">
        <v>11202</v>
      </c>
      <c r="N1615" s="5" t="s">
        <v>9575</v>
      </c>
      <c r="O1615" s="1"/>
      <c r="P1615" s="21" t="b">
        <f>IF(ISNUMBER(MATCH($C1615,StackableKinds,0)), TRUE, "")</f>
        <v>1</v>
      </c>
      <c r="R1615" s="22" t="b">
        <v>1</v>
      </c>
    </row>
    <row r="1616" spans="1:18" x14ac:dyDescent="0.2">
      <c r="A1616" s="19" t="str">
        <f>_xlfn.IFNA(VLOOKUP($B1616,Keys!$A:$B,2,FALSE),_xlfn.IFNA(VLOOKUP($B1616,Keys!$D:$E,2,FALSE),VLOOKUP($B1616,Keys!$G:$H,2,FALSE)))</f>
        <v>0x0000001B88939422</v>
      </c>
      <c r="B1616" s="5" t="s">
        <v>1912</v>
      </c>
      <c r="C1616" s="5" t="s">
        <v>9</v>
      </c>
      <c r="D1616" s="5" t="s">
        <v>16859</v>
      </c>
      <c r="E1616" s="5"/>
      <c r="F1616" s="1" t="s">
        <v>11190</v>
      </c>
      <c r="G1616" s="5" t="s">
        <v>8971</v>
      </c>
      <c r="H1616" s="1"/>
      <c r="I1616" s="1"/>
      <c r="J1616" s="2"/>
      <c r="K1616" s="5" t="s">
        <v>9576</v>
      </c>
      <c r="L1616" s="19" t="s">
        <v>11142</v>
      </c>
      <c r="M1616" s="20" t="s">
        <v>11208</v>
      </c>
      <c r="N1616" s="5" t="s">
        <v>9575</v>
      </c>
      <c r="O1616" s="1"/>
      <c r="P1616" s="21" t="b">
        <f>IF(ISNUMBER(MATCH($C1616,StackableKinds,0)), TRUE, "")</f>
        <v>1</v>
      </c>
      <c r="R1616" s="22" t="b">
        <v>1</v>
      </c>
    </row>
    <row r="1617" spans="1:18" x14ac:dyDescent="0.2">
      <c r="A1617" s="19" t="str">
        <f>_xlfn.IFNA(VLOOKUP($B1617,Keys!$A:$B,2,FALSE),_xlfn.IFNA(VLOOKUP($B1617,Keys!$D:$E,2,FALSE),VLOOKUP($B1617,Keys!$G:$H,2,FALSE)))</f>
        <v>0x0000001D67D4BA7D</v>
      </c>
      <c r="B1617" s="5" t="s">
        <v>1908</v>
      </c>
      <c r="C1617" s="5" t="s">
        <v>9</v>
      </c>
      <c r="D1617" s="5" t="s">
        <v>16861</v>
      </c>
      <c r="E1617" s="5"/>
      <c r="F1617" s="1" t="s">
        <v>11190</v>
      </c>
      <c r="G1617" s="5" t="s">
        <v>8971</v>
      </c>
      <c r="H1617" s="1"/>
      <c r="I1617" s="1"/>
      <c r="J1617" s="2"/>
      <c r="K1617" s="5" t="s">
        <v>9574</v>
      </c>
      <c r="L1617" s="19" t="s">
        <v>11141</v>
      </c>
      <c r="M1617" s="20" t="s">
        <v>11205</v>
      </c>
      <c r="N1617" s="5" t="s">
        <v>9575</v>
      </c>
      <c r="O1617" s="1"/>
      <c r="P1617" s="21" t="b">
        <f>IF(ISNUMBER(MATCH($C1617,StackableKinds,0)), TRUE, "")</f>
        <v>1</v>
      </c>
      <c r="R1617" s="22" t="b">
        <v>1</v>
      </c>
    </row>
    <row r="1618" spans="1:18" x14ac:dyDescent="0.2">
      <c r="A1618" s="19" t="str">
        <f>_xlfn.IFNA(VLOOKUP($B1618,Keys!$A:$B,2,FALSE),_xlfn.IFNA(VLOOKUP($B1618,Keys!$D:$E,2,FALSE),VLOOKUP($B1618,Keys!$G:$H,2,FALSE)))</f>
        <v>0x0000001C4FB38554</v>
      </c>
      <c r="B1618" s="5" t="s">
        <v>1906</v>
      </c>
      <c r="C1618" s="5" t="s">
        <v>9</v>
      </c>
      <c r="D1618" s="5" t="s">
        <v>16860</v>
      </c>
      <c r="E1618" s="5"/>
      <c r="F1618" s="1" t="s">
        <v>10921</v>
      </c>
      <c r="G1618" s="5" t="s">
        <v>8971</v>
      </c>
      <c r="H1618" s="1"/>
      <c r="I1618" s="1"/>
      <c r="J1618" s="2"/>
      <c r="K1618" s="5" t="s">
        <v>9574</v>
      </c>
      <c r="L1618" s="19" t="s">
        <v>11141</v>
      </c>
      <c r="M1618" s="20" t="s">
        <v>11205</v>
      </c>
      <c r="N1618" s="5" t="s">
        <v>9575</v>
      </c>
      <c r="O1618" s="1"/>
      <c r="P1618" s="21" t="b">
        <f>IF(ISNUMBER(MATCH($C1618,StackableKinds,0)), TRUE, "")</f>
        <v>1</v>
      </c>
      <c r="R1618" s="22" t="b">
        <v>1</v>
      </c>
    </row>
    <row r="1619" spans="1:18" x14ac:dyDescent="0.2">
      <c r="A1619" s="19" t="str">
        <f>_xlfn.IFNA(VLOOKUP($B1619,Keys!$A:$B,2,FALSE),_xlfn.IFNA(VLOOKUP($B1619,Keys!$D:$E,2,FALSE),VLOOKUP($B1619,Keys!$G:$H,2,FALSE)))</f>
        <v>0x00000016BCFB0A12</v>
      </c>
      <c r="B1619" s="1" t="s">
        <v>14458</v>
      </c>
      <c r="C1619" s="5" t="s">
        <v>9</v>
      </c>
      <c r="D1619" s="5" t="s">
        <v>16858</v>
      </c>
      <c r="E1619" s="5"/>
      <c r="F1619" s="1" t="s">
        <v>11190</v>
      </c>
      <c r="G1619" s="1"/>
      <c r="H1619" s="1"/>
      <c r="I1619" s="1"/>
      <c r="J1619" s="2"/>
      <c r="K1619" s="5" t="s">
        <v>31</v>
      </c>
      <c r="M1619" s="20" t="s">
        <v>11201</v>
      </c>
      <c r="N1619" s="5" t="s">
        <v>9575</v>
      </c>
      <c r="O1619" s="1"/>
      <c r="P1619" s="21" t="b">
        <f>IF(ISNUMBER(MATCH($C1619,StackableKinds,0)), TRUE, "")</f>
        <v>1</v>
      </c>
      <c r="R1619" s="22" t="b">
        <v>1</v>
      </c>
    </row>
    <row r="1620" spans="1:18" x14ac:dyDescent="0.2">
      <c r="A1620" s="19" t="str">
        <f>_xlfn.IFNA(VLOOKUP($B1620,Keys!$A:$B,2,FALSE),_xlfn.IFNA(VLOOKUP($B1620,Keys!$D:$E,2,FALSE),VLOOKUP($B1620,Keys!$G:$H,2,FALSE)))</f>
        <v>0x00000019D4AB5921</v>
      </c>
      <c r="B1620" s="5" t="s">
        <v>1942</v>
      </c>
      <c r="C1620" s="5" t="s">
        <v>9</v>
      </c>
      <c r="D1620" s="5" t="s">
        <v>16861</v>
      </c>
      <c r="E1620" s="5"/>
      <c r="F1620" s="1" t="s">
        <v>11190</v>
      </c>
      <c r="G1620" s="5" t="s">
        <v>8971</v>
      </c>
      <c r="H1620" s="1"/>
      <c r="I1620" s="1"/>
      <c r="J1620" s="2"/>
      <c r="K1620" s="5" t="s">
        <v>9581</v>
      </c>
      <c r="L1620" s="19" t="s">
        <v>11144</v>
      </c>
      <c r="M1620" s="20" t="s">
        <v>11207</v>
      </c>
      <c r="N1620" s="5" t="s">
        <v>9575</v>
      </c>
      <c r="O1620" s="1"/>
      <c r="P1620" s="21" t="b">
        <f>IF(ISNUMBER(MATCH($C1620,StackableKinds,0)), TRUE, "")</f>
        <v>1</v>
      </c>
      <c r="R1620" s="22" t="b">
        <v>1</v>
      </c>
    </row>
    <row r="1621" spans="1:18" x14ac:dyDescent="0.2">
      <c r="A1621" s="19" t="str">
        <f>_xlfn.IFNA(VLOOKUP($B1621,Keys!$A:$B,2,FALSE),_xlfn.IFNA(VLOOKUP($B1621,Keys!$D:$E,2,FALSE),VLOOKUP($B1621,Keys!$G:$H,2,FALSE)))</f>
        <v>0x000000182D8678C0</v>
      </c>
      <c r="B1621" s="5" t="s">
        <v>1944</v>
      </c>
      <c r="C1621" s="5" t="s">
        <v>9</v>
      </c>
      <c r="D1621" s="5" t="s">
        <v>16861</v>
      </c>
      <c r="E1621" s="5"/>
      <c r="F1621" s="1" t="s">
        <v>10922</v>
      </c>
      <c r="G1621" s="5" t="s">
        <v>8971</v>
      </c>
      <c r="H1621" s="1"/>
      <c r="I1621" s="1"/>
      <c r="J1621" s="2"/>
      <c r="K1621" s="5" t="s">
        <v>9581</v>
      </c>
      <c r="L1621" s="19" t="s">
        <v>11144</v>
      </c>
      <c r="M1621" s="20" t="s">
        <v>11207</v>
      </c>
      <c r="N1621" s="5" t="s">
        <v>9575</v>
      </c>
      <c r="O1621" s="1"/>
      <c r="P1621" s="21" t="b">
        <f>IF(ISNUMBER(MATCH($C1621,StackableKinds,0)), TRUE, "")</f>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16862</v>
      </c>
      <c r="E1622" s="5"/>
      <c r="F1622" s="1" t="s">
        <v>11190</v>
      </c>
      <c r="G1622" s="5" t="s">
        <v>8971</v>
      </c>
      <c r="H1622" s="1"/>
      <c r="I1622" s="1"/>
      <c r="J1622" s="2"/>
      <c r="K1622" s="5" t="s">
        <v>9578</v>
      </c>
      <c r="L1622" s="19" t="s">
        <v>11139</v>
      </c>
      <c r="M1622" s="20" t="s">
        <v>11203</v>
      </c>
      <c r="N1622" s="5" t="s">
        <v>9575</v>
      </c>
      <c r="O1622" s="1"/>
      <c r="P1622" s="21" t="b">
        <f>IF(ISNUMBER(MATCH($C1622,StackableKinds,0)), TRUE, "")</f>
        <v>1</v>
      </c>
      <c r="R1622" s="22" t="b">
        <v>1</v>
      </c>
    </row>
    <row r="1623" spans="1:18" x14ac:dyDescent="0.2">
      <c r="A1623" s="19" t="str">
        <f>_xlfn.IFNA(VLOOKUP($B1623,Keys!$A:$B,2,FALSE),_xlfn.IFNA(VLOOKUP($B1623,Keys!$D:$E,2,FALSE),VLOOKUP($B1623,Keys!$G:$H,2,FALSE)))</f>
        <v>0x00000018D22252F7</v>
      </c>
      <c r="B1623" s="5" t="s">
        <v>1926</v>
      </c>
      <c r="C1623" s="5" t="s">
        <v>9</v>
      </c>
      <c r="D1623" s="5" t="s">
        <v>16860</v>
      </c>
      <c r="E1623" s="5"/>
      <c r="F1623" s="1" t="s">
        <v>10921</v>
      </c>
      <c r="G1623" s="5" t="s">
        <v>8971</v>
      </c>
      <c r="H1623" s="1"/>
      <c r="I1623" s="1"/>
      <c r="J1623" s="2"/>
      <c r="K1623" s="5" t="s">
        <v>9578</v>
      </c>
      <c r="L1623" s="19" t="s">
        <v>11139</v>
      </c>
      <c r="M1623" s="20" t="s">
        <v>11203</v>
      </c>
      <c r="N1623" s="5" t="s">
        <v>9575</v>
      </c>
      <c r="O1623" s="1"/>
      <c r="P1623" s="21" t="b">
        <f>IF(ISNUMBER(MATCH($C1623,StackableKinds,0)), TRUE, "")</f>
        <v>1</v>
      </c>
      <c r="R1623" s="22" t="b">
        <v>1</v>
      </c>
    </row>
    <row r="1624" spans="1:18" x14ac:dyDescent="0.2">
      <c r="A1624" s="19" t="str">
        <f>_xlfn.IFNA(VLOOKUP($B1624,Keys!$A:$B,2,FALSE),_xlfn.IFNA(VLOOKUP($B1624,Keys!$D:$E,2,FALSE),VLOOKUP($B1624,Keys!$G:$H,2,FALSE)))</f>
        <v>0x0000001A09F897C5</v>
      </c>
      <c r="B1624" s="5" t="s">
        <v>1778</v>
      </c>
      <c r="C1624" s="5" t="s">
        <v>12</v>
      </c>
      <c r="D1624" s="5" t="s">
        <v>16862</v>
      </c>
      <c r="E1624" s="5"/>
      <c r="F1624" s="1"/>
      <c r="G1624" s="5" t="s">
        <v>8971</v>
      </c>
      <c r="H1624" s="1"/>
      <c r="I1624" s="1"/>
      <c r="J1624" s="2"/>
      <c r="K1624" s="5" t="s">
        <v>9508</v>
      </c>
      <c r="M1624" s="20" t="s">
        <v>10917</v>
      </c>
      <c r="N1624" s="1"/>
      <c r="O1624" s="1"/>
      <c r="P1624" s="21" t="b">
        <f>IF(ISNUMBER(MATCH($C1624,StackableKinds,0)), TRUE, "")</f>
        <v>1</v>
      </c>
    </row>
    <row r="1625" spans="1:18" x14ac:dyDescent="0.2">
      <c r="A1625" s="19" t="str">
        <f>_xlfn.IFNA(VLOOKUP($B1625,Keys!$A:$B,2,FALSE),_xlfn.IFNA(VLOOKUP($B1625,Keys!$D:$E,2,FALSE),VLOOKUP($B1625,Keys!$G:$H,2,FALSE)))</f>
        <v>0x00000019CD55970F</v>
      </c>
      <c r="B1625" s="5" t="s">
        <v>878</v>
      </c>
      <c r="C1625" s="5" t="s">
        <v>12</v>
      </c>
      <c r="D1625" s="5" t="s">
        <v>16862</v>
      </c>
      <c r="E1625" s="5"/>
      <c r="F1625" s="1"/>
      <c r="G1625" s="5" t="s">
        <v>8971</v>
      </c>
      <c r="H1625" s="1"/>
      <c r="I1625" s="1"/>
      <c r="J1625" s="2"/>
      <c r="K1625" s="5" t="s">
        <v>9193</v>
      </c>
      <c r="M1625" s="20" t="s">
        <v>9194</v>
      </c>
      <c r="N1625" s="1"/>
      <c r="O1625" s="1"/>
      <c r="P1625" s="21" t="b">
        <f>IF(ISNUMBER(MATCH($C1625,StackableKinds,0)), TRUE, "")</f>
        <v>1</v>
      </c>
      <c r="Q1625" s="2"/>
    </row>
    <row r="1626" spans="1:18" x14ac:dyDescent="0.2">
      <c r="A1626" s="19" t="str">
        <f>_xlfn.IFNA(VLOOKUP($B1626,Keys!$A:$B,2,FALSE),_xlfn.IFNA(VLOOKUP($B1626,Keys!$D:$E,2,FALSE),VLOOKUP($B1626,Keys!$G:$H,2,FALSE)))</f>
        <v>0x00000016C0038F68</v>
      </c>
      <c r="B1626" s="5" t="s">
        <v>6008</v>
      </c>
      <c r="C1626" s="5" t="s">
        <v>12</v>
      </c>
      <c r="D1626" s="5" t="s">
        <v>16862</v>
      </c>
      <c r="E1626" s="5"/>
      <c r="F1626" s="5" t="s">
        <v>10727</v>
      </c>
      <c r="G1626" s="1"/>
      <c r="H1626" s="1"/>
      <c r="I1626" s="1"/>
      <c r="J1626" s="2"/>
      <c r="K1626" s="5" t="s">
        <v>10730</v>
      </c>
      <c r="M1626" s="20" t="s">
        <v>10731</v>
      </c>
      <c r="N1626" s="1"/>
      <c r="O1626" s="1"/>
      <c r="P1626" s="21" t="b">
        <f>IF(ISNUMBER(MATCH($C1626,StackableKinds,0)), TRUE, "")</f>
        <v>1</v>
      </c>
      <c r="Q1626" s="2"/>
    </row>
    <row r="1627" spans="1:18" x14ac:dyDescent="0.2">
      <c r="A1627" s="19" t="str">
        <f>_xlfn.IFNA(VLOOKUP($B1627,Keys!$A:$B,2,FALSE),_xlfn.IFNA(VLOOKUP($B1627,Keys!$D:$E,2,FALSE),VLOOKUP($B1627,Keys!$G:$H,2,FALSE)))</f>
        <v>0x0000001A022777DB</v>
      </c>
      <c r="B1627" s="5" t="s">
        <v>1702</v>
      </c>
      <c r="C1627" s="5" t="s">
        <v>12</v>
      </c>
      <c r="D1627" s="5" t="s">
        <v>16862</v>
      </c>
      <c r="E1627" s="5"/>
      <c r="F1627" s="1"/>
      <c r="G1627" s="5" t="s">
        <v>8971</v>
      </c>
      <c r="H1627" s="1"/>
      <c r="I1627" s="1"/>
      <c r="J1627" s="2"/>
      <c r="K1627" s="5" t="s">
        <v>9480</v>
      </c>
      <c r="M1627" s="20" t="s">
        <v>10880</v>
      </c>
      <c r="N1627" s="1"/>
      <c r="O1627" s="1"/>
      <c r="P1627" s="21" t="b">
        <f>IF(ISNUMBER(MATCH($C1627,StackableKinds,0)), TRUE, "")</f>
        <v>1</v>
      </c>
    </row>
    <row r="1628" spans="1:18" x14ac:dyDescent="0.2">
      <c r="A1628" s="19" t="str">
        <f>_xlfn.IFNA(VLOOKUP($B1628,Keys!$A:$B,2,FALSE),_xlfn.IFNA(VLOOKUP($B1628,Keys!$D:$E,2,FALSE),VLOOKUP($B1628,Keys!$G:$H,2,FALSE)))</f>
        <v>0x0000001D1D0BB22F</v>
      </c>
      <c r="B1628" s="5" t="s">
        <v>2904</v>
      </c>
      <c r="C1628" s="5" t="s">
        <v>12</v>
      </c>
      <c r="D1628" s="5" t="s">
        <v>16862</v>
      </c>
      <c r="E1628" s="5"/>
      <c r="F1628" s="1"/>
      <c r="G1628" s="5" t="s">
        <v>8971</v>
      </c>
      <c r="H1628" s="1"/>
      <c r="I1628" s="1"/>
      <c r="J1628" s="2"/>
      <c r="K1628" s="5" t="s">
        <v>9944</v>
      </c>
      <c r="M1628" s="20" t="s">
        <v>10970</v>
      </c>
      <c r="N1628" s="1"/>
      <c r="O1628" s="1"/>
      <c r="P1628" s="21" t="b">
        <f>IF(ISNUMBER(MATCH($C1628,StackableKinds,0)), TRUE, "")</f>
        <v>1</v>
      </c>
      <c r="Q1628" s="2"/>
    </row>
    <row r="1629" spans="1:18" x14ac:dyDescent="0.2">
      <c r="A1629" s="19" t="str">
        <f>_xlfn.IFNA(VLOOKUP($B1629,Keys!$A:$B,2,FALSE),_xlfn.IFNA(VLOOKUP($B1629,Keys!$D:$E,2,FALSE),VLOOKUP($B1629,Keys!$G:$H,2,FALSE)))</f>
        <v>0x000000155D146CFA</v>
      </c>
      <c r="B1629" s="5" t="s">
        <v>3028</v>
      </c>
      <c r="C1629" s="5" t="s">
        <v>12</v>
      </c>
      <c r="D1629" s="5" t="s">
        <v>16862</v>
      </c>
      <c r="E1629" s="5"/>
      <c r="F1629" s="5" t="s">
        <v>9981</v>
      </c>
      <c r="G1629" s="5" t="s">
        <v>8971</v>
      </c>
      <c r="H1629" s="1"/>
      <c r="I1629" s="1"/>
      <c r="J1629" s="2"/>
      <c r="K1629" s="5" t="s">
        <v>9982</v>
      </c>
      <c r="M1629" s="20" t="s">
        <v>10993</v>
      </c>
      <c r="N1629" s="1"/>
      <c r="O1629" s="1"/>
      <c r="P1629" s="21" t="b">
        <f>IF(ISNUMBER(MATCH($C1629,StackableKinds,0)), TRUE, "")</f>
        <v>1</v>
      </c>
      <c r="Q1629" s="2"/>
    </row>
    <row r="1630" spans="1:18" x14ac:dyDescent="0.2">
      <c r="A1630" s="19" t="str">
        <f>_xlfn.IFNA(VLOOKUP($B1630,Keys!$A:$B,2,FALSE),_xlfn.IFNA(VLOOKUP($B1630,Keys!$D:$E,2,FALSE),VLOOKUP($B1630,Keys!$G:$H,2,FALSE)))</f>
        <v>0x000000187C20CEB4</v>
      </c>
      <c r="B1630" s="5" t="s">
        <v>2750</v>
      </c>
      <c r="C1630" s="5" t="s">
        <v>12</v>
      </c>
      <c r="D1630" s="5" t="s">
        <v>16862</v>
      </c>
      <c r="E1630" s="5"/>
      <c r="F1630" s="5" t="s">
        <v>9880</v>
      </c>
      <c r="G1630" s="5" t="s">
        <v>8971</v>
      </c>
      <c r="H1630" s="1"/>
      <c r="I1630" s="1"/>
      <c r="J1630" s="2"/>
      <c r="K1630" s="5" t="s">
        <v>9883</v>
      </c>
      <c r="M1630" s="20" t="s">
        <v>10967</v>
      </c>
      <c r="N1630" s="1"/>
      <c r="O1630" s="1"/>
      <c r="P1630" s="21" t="b">
        <f>IF(ISNUMBER(MATCH($C1630,StackableKinds,0)), TRUE, "")</f>
        <v>1</v>
      </c>
      <c r="Q1630" s="2"/>
    </row>
    <row r="1631" spans="1:18" x14ac:dyDescent="0.2">
      <c r="A1631" s="19" t="str">
        <f>_xlfn.IFNA(VLOOKUP($B1631,Keys!$A:$B,2,FALSE),_xlfn.IFNA(VLOOKUP($B1631,Keys!$D:$E,2,FALSE),VLOOKUP($B1631,Keys!$G:$H,2,FALSE)))</f>
        <v>0x000000163AA922CD</v>
      </c>
      <c r="B1631" s="5" t="s">
        <v>426</v>
      </c>
      <c r="C1631" s="5" t="s">
        <v>12</v>
      </c>
      <c r="D1631" s="5" t="s">
        <v>16862</v>
      </c>
      <c r="E1631" s="5"/>
      <c r="F1631" s="5" t="s">
        <v>8975</v>
      </c>
      <c r="G1631" s="5" t="s">
        <v>8971</v>
      </c>
      <c r="H1631" s="1"/>
      <c r="I1631" s="1"/>
      <c r="J1631" s="2"/>
      <c r="K1631" s="5" t="s">
        <v>8981</v>
      </c>
      <c r="M1631" s="20" t="s">
        <v>8982</v>
      </c>
      <c r="N1631" s="1"/>
      <c r="O1631" s="1"/>
      <c r="P1631" s="21" t="b">
        <f>IF(ISNUMBER(MATCH($C1631,StackableKinds,0)), TRUE, "")</f>
        <v>1</v>
      </c>
      <c r="Q1631" s="2"/>
    </row>
    <row r="1632" spans="1:18" x14ac:dyDescent="0.2">
      <c r="A1632" s="19" t="str">
        <f>_xlfn.IFNA(VLOOKUP($B1632,Keys!$A:$B,2,FALSE),_xlfn.IFNA(VLOOKUP($B1632,Keys!$D:$E,2,FALSE),VLOOKUP($B1632,Keys!$G:$H,2,FALSE)))</f>
        <v>0x0000001729EAD73F</v>
      </c>
      <c r="B1632" s="5" t="s">
        <v>1748</v>
      </c>
      <c r="C1632" s="5" t="s">
        <v>12</v>
      </c>
      <c r="D1632" s="5" t="s">
        <v>16862</v>
      </c>
      <c r="E1632" s="5"/>
      <c r="F1632" s="1"/>
      <c r="G1632" s="5" t="s">
        <v>8971</v>
      </c>
      <c r="H1632" s="1"/>
      <c r="I1632" s="1"/>
      <c r="J1632" s="2"/>
      <c r="K1632" s="5" t="s">
        <v>9497</v>
      </c>
      <c r="M1632" s="20" t="s">
        <v>10902</v>
      </c>
      <c r="N1632" s="1"/>
      <c r="O1632" s="1"/>
      <c r="P1632" s="21" t="b">
        <f>IF(ISNUMBER(MATCH($C1632,StackableKinds,0)), TRUE, "")</f>
        <v>1</v>
      </c>
    </row>
    <row r="1633" spans="1:17" x14ac:dyDescent="0.2">
      <c r="A1633" s="19" t="str">
        <f>_xlfn.IFNA(VLOOKUP($B1633,Keys!$A:$B,2,FALSE),_xlfn.IFNA(VLOOKUP($B1633,Keys!$D:$E,2,FALSE),VLOOKUP($B1633,Keys!$G:$H,2,FALSE)))</f>
        <v>0x00000017492D5EDA</v>
      </c>
      <c r="B1633" s="5" t="s">
        <v>1752</v>
      </c>
      <c r="C1633" s="5" t="s">
        <v>12</v>
      </c>
      <c r="D1633" s="5" t="s">
        <v>16862</v>
      </c>
      <c r="E1633" s="5"/>
      <c r="F1633" s="1"/>
      <c r="G1633" s="5" t="s">
        <v>8971</v>
      </c>
      <c r="H1633" s="1"/>
      <c r="I1633" s="1"/>
      <c r="J1633" s="2"/>
      <c r="K1633" s="5" t="s">
        <v>9497</v>
      </c>
      <c r="M1633" s="20" t="s">
        <v>10904</v>
      </c>
      <c r="N1633" s="1"/>
      <c r="O1633" s="1"/>
      <c r="P1633" s="21" t="b">
        <f>IF(ISNUMBER(MATCH($C1633,StackableKinds,0)), TRUE, "")</f>
        <v>1</v>
      </c>
    </row>
    <row r="1634" spans="1:17" x14ac:dyDescent="0.2">
      <c r="A1634" s="19" t="str">
        <f>_xlfn.IFNA(VLOOKUP($B1634,Keys!$A:$B,2,FALSE),_xlfn.IFNA(VLOOKUP($B1634,Keys!$D:$E,2,FALSE),VLOOKUP($B1634,Keys!$G:$H,2,FALSE)))</f>
        <v>0x0000001A84F22395</v>
      </c>
      <c r="B1634" s="5" t="s">
        <v>2730</v>
      </c>
      <c r="C1634" s="5" t="s">
        <v>12</v>
      </c>
      <c r="D1634" s="5" t="s">
        <v>16862</v>
      </c>
      <c r="E1634" s="5"/>
      <c r="F1634" s="1"/>
      <c r="G1634" s="5" t="s">
        <v>8971</v>
      </c>
      <c r="H1634" s="1"/>
      <c r="I1634" s="1"/>
      <c r="J1634" s="2"/>
      <c r="K1634" s="5" t="s">
        <v>9871</v>
      </c>
      <c r="M1634" s="20" t="s">
        <v>10959</v>
      </c>
      <c r="N1634" s="1"/>
      <c r="O1634" s="1"/>
      <c r="P1634" s="21" t="b">
        <f>IF(ISNUMBER(MATCH($C1634,StackableKinds,0)), TRUE, "")</f>
        <v>1</v>
      </c>
    </row>
    <row r="1635" spans="1:17" x14ac:dyDescent="0.2">
      <c r="A1635" s="19" t="str">
        <f>_xlfn.IFNA(VLOOKUP($B1635,Keys!$A:$B,2,FALSE),_xlfn.IFNA(VLOOKUP($B1635,Keys!$D:$E,2,FALSE),VLOOKUP($B1635,Keys!$G:$H,2,FALSE)))</f>
        <v>0x0000001A1DFB722F</v>
      </c>
      <c r="B1635" s="5" t="s">
        <v>2732</v>
      </c>
      <c r="C1635" s="5" t="s">
        <v>12</v>
      </c>
      <c r="D1635" s="5" t="s">
        <v>16862</v>
      </c>
      <c r="E1635" s="5"/>
      <c r="F1635" s="1"/>
      <c r="G1635" s="5" t="s">
        <v>8971</v>
      </c>
      <c r="H1635" s="1"/>
      <c r="I1635" s="1"/>
      <c r="J1635" s="2"/>
      <c r="K1635" s="5" t="s">
        <v>9872</v>
      </c>
      <c r="M1635" s="20" t="s">
        <v>10960</v>
      </c>
      <c r="N1635" s="1"/>
      <c r="O1635" s="1"/>
      <c r="P1635" s="21" t="b">
        <f>IF(ISNUMBER(MATCH($C1635,StackableKinds,0)), TRUE, "")</f>
        <v>1</v>
      </c>
    </row>
    <row r="1636" spans="1:17" x14ac:dyDescent="0.2">
      <c r="A1636" s="19" t="str">
        <f>_xlfn.IFNA(VLOOKUP($B1636,Keys!$A:$B,2,FALSE),_xlfn.IFNA(VLOOKUP($B1636,Keys!$D:$E,2,FALSE),VLOOKUP($B1636,Keys!$G:$H,2,FALSE)))</f>
        <v>0x000000193C6AAF5E</v>
      </c>
      <c r="B1636" s="5" t="s">
        <v>5722</v>
      </c>
      <c r="C1636" s="5" t="s">
        <v>12</v>
      </c>
      <c r="D1636" s="5" t="s">
        <v>16862</v>
      </c>
      <c r="E1636" s="5"/>
      <c r="F1636" s="5" t="s">
        <v>10559</v>
      </c>
      <c r="G1636" s="1"/>
      <c r="H1636" s="1"/>
      <c r="I1636" s="1"/>
      <c r="J1636" s="2"/>
      <c r="K1636" s="5" t="s">
        <v>10570</v>
      </c>
      <c r="L1636" s="5"/>
      <c r="M1636" s="20" t="s">
        <v>10571</v>
      </c>
      <c r="N1636" s="1"/>
      <c r="O1636" s="1"/>
      <c r="P1636" s="21" t="b">
        <f>IF(ISNUMBER(MATCH($C1636,StackableKinds,0)), TRUE, "")</f>
        <v>1</v>
      </c>
      <c r="Q1636" s="2"/>
    </row>
    <row r="1637" spans="1:17" x14ac:dyDescent="0.2">
      <c r="A1637" s="19" t="str">
        <f>_xlfn.IFNA(VLOOKUP($B1637,Keys!$A:$B,2,FALSE),_xlfn.IFNA(VLOOKUP($B1637,Keys!$D:$E,2,FALSE),VLOOKUP($B1637,Keys!$G:$H,2,FALSE)))</f>
        <v>0x00000019B6922D8C</v>
      </c>
      <c r="B1637" s="5" t="s">
        <v>5984</v>
      </c>
      <c r="C1637" s="5" t="s">
        <v>12</v>
      </c>
      <c r="D1637" s="5" t="s">
        <v>16862</v>
      </c>
      <c r="E1637" s="5"/>
      <c r="F1637" s="5" t="s">
        <v>10699</v>
      </c>
      <c r="G1637" s="1"/>
      <c r="H1637" s="1"/>
      <c r="I1637" s="1"/>
      <c r="J1637" s="2"/>
      <c r="K1637" s="5" t="s">
        <v>10703</v>
      </c>
      <c r="L1637" s="5"/>
      <c r="M1637" s="20" t="s">
        <v>10704</v>
      </c>
      <c r="N1637" s="1"/>
      <c r="O1637" s="1"/>
      <c r="P1637" s="21" t="b">
        <f>IF(ISNUMBER(MATCH($C1637,StackableKinds,0)), TRUE, "")</f>
        <v>1</v>
      </c>
      <c r="Q1637" s="2"/>
    </row>
    <row r="1638" spans="1:17" x14ac:dyDescent="0.2">
      <c r="A1638" s="19" t="str">
        <f>_xlfn.IFNA(VLOOKUP($B1638,Keys!$A:$B,2,FALSE),_xlfn.IFNA(VLOOKUP($B1638,Keys!$D:$E,2,FALSE),VLOOKUP($B1638,Keys!$G:$H,2,FALSE)))</f>
        <v>0x00000017B955CAAE</v>
      </c>
      <c r="B1638" s="5" t="s">
        <v>1742</v>
      </c>
      <c r="C1638" s="5" t="s">
        <v>12</v>
      </c>
      <c r="D1638" s="5" t="s">
        <v>16862</v>
      </c>
      <c r="E1638" s="5"/>
      <c r="F1638" s="1"/>
      <c r="G1638" s="5" t="s">
        <v>8971</v>
      </c>
      <c r="H1638" s="1"/>
      <c r="I1638" s="1"/>
      <c r="J1638" s="2"/>
      <c r="K1638" s="5" t="s">
        <v>9494</v>
      </c>
      <c r="M1638" s="20" t="s">
        <v>10899</v>
      </c>
      <c r="N1638" s="1"/>
      <c r="O1638" s="1"/>
      <c r="P1638" s="21" t="b">
        <f>IF(ISNUMBER(MATCH($C1638,StackableKinds,0)), TRUE, "")</f>
        <v>1</v>
      </c>
    </row>
    <row r="1639" spans="1:17" x14ac:dyDescent="0.2">
      <c r="A1639" s="19" t="str">
        <f>_xlfn.IFNA(VLOOKUP($B1639,Keys!$A:$B,2,FALSE),_xlfn.IFNA(VLOOKUP($B1639,Keys!$D:$E,2,FALSE),VLOOKUP($B1639,Keys!$G:$H,2,FALSE)))</f>
        <v>0x00000015135FCF2C</v>
      </c>
      <c r="B1639" s="5" t="s">
        <v>872</v>
      </c>
      <c r="C1639" s="5" t="s">
        <v>12</v>
      </c>
      <c r="D1639" s="5" t="s">
        <v>16862</v>
      </c>
      <c r="E1639" s="5"/>
      <c r="F1639" s="1"/>
      <c r="G1639" s="5" t="s">
        <v>8971</v>
      </c>
      <c r="H1639" s="1"/>
      <c r="I1639" s="1"/>
      <c r="J1639" s="2"/>
      <c r="K1639" s="5" t="s">
        <v>9187</v>
      </c>
      <c r="M1639" s="20" t="s">
        <v>9188</v>
      </c>
      <c r="N1639" s="1"/>
      <c r="O1639" s="1"/>
      <c r="P1639" s="21" t="b">
        <f>IF(ISNUMBER(MATCH($C1639,StackableKinds,0)), TRUE, "")</f>
        <v>1</v>
      </c>
      <c r="Q1639" s="2"/>
    </row>
    <row r="1640" spans="1:17" x14ac:dyDescent="0.2">
      <c r="A1640" s="19" t="str">
        <f>_xlfn.IFNA(VLOOKUP($B1640,Keys!$A:$B,2,FALSE),_xlfn.IFNA(VLOOKUP($B1640,Keys!$D:$E,2,FALSE),VLOOKUP($B1640,Keys!$G:$H,2,FALSE)))</f>
        <v>0x0000001A7EFFA753</v>
      </c>
      <c r="B1640" s="5" t="s">
        <v>1780</v>
      </c>
      <c r="C1640" s="5" t="s">
        <v>12</v>
      </c>
      <c r="D1640" s="5" t="s">
        <v>16862</v>
      </c>
      <c r="E1640" s="5"/>
      <c r="F1640" s="1"/>
      <c r="G1640" s="5" t="s">
        <v>8971</v>
      </c>
      <c r="H1640" s="1"/>
      <c r="I1640" s="1"/>
      <c r="J1640" s="2"/>
      <c r="K1640" s="5" t="s">
        <v>9509</v>
      </c>
      <c r="M1640" s="20" t="s">
        <v>10918</v>
      </c>
      <c r="N1640" s="1"/>
      <c r="O1640" s="1"/>
      <c r="P1640" s="21" t="b">
        <f>IF(ISNUMBER(MATCH($C1640,StackableKinds,0)), TRUE, "")</f>
        <v>1</v>
      </c>
    </row>
    <row r="1641" spans="1:17" x14ac:dyDescent="0.2">
      <c r="A1641" s="19" t="str">
        <f>_xlfn.IFNA(VLOOKUP($B1641,Keys!$A:$B,2,FALSE),_xlfn.IFNA(VLOOKUP($B1641,Keys!$D:$E,2,FALSE),VLOOKUP($B1641,Keys!$G:$H,2,FALSE)))</f>
        <v>0x0000001A90F1C67F</v>
      </c>
      <c r="B1641" s="5" t="s">
        <v>1776</v>
      </c>
      <c r="C1641" s="5" t="s">
        <v>12</v>
      </c>
      <c r="D1641" s="5" t="s">
        <v>16862</v>
      </c>
      <c r="E1641" s="5"/>
      <c r="F1641" s="1"/>
      <c r="G1641" s="5" t="s">
        <v>8971</v>
      </c>
      <c r="H1641" s="1"/>
      <c r="I1641" s="1"/>
      <c r="J1641" s="2"/>
      <c r="K1641" s="5" t="s">
        <v>9507</v>
      </c>
      <c r="M1641" s="20" t="s">
        <v>10916</v>
      </c>
      <c r="N1641" s="1"/>
      <c r="O1641" s="1"/>
      <c r="P1641" s="21" t="b">
        <f>IF(ISNUMBER(MATCH($C1641,StackableKinds,0)), TRUE, "")</f>
        <v>1</v>
      </c>
    </row>
    <row r="1642" spans="1:17" x14ac:dyDescent="0.2">
      <c r="A1642" s="19" t="str">
        <f>_xlfn.IFNA(VLOOKUP($B1642,Keys!$A:$B,2,FALSE),_xlfn.IFNA(VLOOKUP($B1642,Keys!$D:$E,2,FALSE),VLOOKUP($B1642,Keys!$G:$H,2,FALSE)))</f>
        <v>0x0000001AE09B32F0</v>
      </c>
      <c r="B1642" s="5" t="s">
        <v>1782</v>
      </c>
      <c r="C1642" s="5" t="s">
        <v>12</v>
      </c>
      <c r="D1642" s="5" t="s">
        <v>16862</v>
      </c>
      <c r="E1642" s="5"/>
      <c r="F1642" s="1"/>
      <c r="G1642" s="5" t="s">
        <v>8971</v>
      </c>
      <c r="H1642" s="1"/>
      <c r="I1642" s="1"/>
      <c r="J1642" s="2"/>
      <c r="K1642" s="5" t="s">
        <v>9510</v>
      </c>
      <c r="M1642" s="20" t="s">
        <v>10919</v>
      </c>
      <c r="N1642" s="1"/>
      <c r="O1642" s="1"/>
      <c r="P1642" s="21" t="b">
        <f>IF(ISNUMBER(MATCH($C1642,StackableKinds,0)), TRUE, "")</f>
        <v>1</v>
      </c>
    </row>
    <row r="1643" spans="1:17" x14ac:dyDescent="0.2">
      <c r="A1643" s="19" t="str">
        <f>_xlfn.IFNA(VLOOKUP($B1643,Keys!$A:$B,2,FALSE),_xlfn.IFNA(VLOOKUP($B1643,Keys!$D:$E,2,FALSE),VLOOKUP($B1643,Keys!$G:$H,2,FALSE)))</f>
        <v>0x0000001970A49E92</v>
      </c>
      <c r="B1643" s="5" t="s">
        <v>5541</v>
      </c>
      <c r="C1643" s="5" t="s">
        <v>12</v>
      </c>
      <c r="D1643" s="5" t="s">
        <v>16862</v>
      </c>
      <c r="E1643" s="5"/>
      <c r="F1643" s="5" t="s">
        <v>10535</v>
      </c>
      <c r="G1643" s="1"/>
      <c r="H1643" s="1"/>
      <c r="I1643" s="1"/>
      <c r="J1643" s="2"/>
      <c r="K1643" s="5" t="s">
        <v>10540</v>
      </c>
      <c r="M1643" s="20" t="s">
        <v>11115</v>
      </c>
      <c r="N1643" s="1"/>
      <c r="O1643" s="1"/>
      <c r="P1643" s="21" t="b">
        <f>IF(ISNUMBER(MATCH($C1643,StackableKinds,0)), TRUE, "")</f>
        <v>1</v>
      </c>
      <c r="Q1643" s="2"/>
    </row>
    <row r="1644" spans="1:17" x14ac:dyDescent="0.2">
      <c r="A1644" s="19" t="str">
        <f>_xlfn.IFNA(VLOOKUP($B1644,Keys!$A:$B,2,FALSE),_xlfn.IFNA(VLOOKUP($B1644,Keys!$D:$E,2,FALSE),VLOOKUP($B1644,Keys!$G:$H,2,FALSE)))</f>
        <v>0x0000001978A20442</v>
      </c>
      <c r="B1644" s="5" t="s">
        <v>884</v>
      </c>
      <c r="C1644" s="5" t="s">
        <v>12</v>
      </c>
      <c r="D1644" s="5" t="s">
        <v>16862</v>
      </c>
      <c r="E1644" s="5"/>
      <c r="F1644" s="1"/>
      <c r="G1644" s="5" t="s">
        <v>8971</v>
      </c>
      <c r="H1644" s="1"/>
      <c r="I1644" s="1"/>
      <c r="J1644" s="2"/>
      <c r="K1644" s="5" t="s">
        <v>9198</v>
      </c>
      <c r="M1644" s="20" t="s">
        <v>9199</v>
      </c>
      <c r="N1644" s="1"/>
      <c r="O1644" s="1"/>
      <c r="P1644" s="21" t="b">
        <f>IF(ISNUMBER(MATCH($C1644,StackableKinds,0)), TRUE, "")</f>
        <v>1</v>
      </c>
      <c r="Q1644" s="2"/>
    </row>
    <row r="1645" spans="1:17" x14ac:dyDescent="0.2">
      <c r="A1645" s="19" t="str">
        <f>_xlfn.IFNA(VLOOKUP($B1645,Keys!$A:$B,2,FALSE),_xlfn.IFNA(VLOOKUP($B1645,Keys!$D:$E,2,FALSE),VLOOKUP($B1645,Keys!$G:$H,2,FALSE)))</f>
        <v>0x000000175EEDE7A9</v>
      </c>
      <c r="B1645" s="5" t="s">
        <v>1746</v>
      </c>
      <c r="C1645" s="5" t="s">
        <v>12</v>
      </c>
      <c r="D1645" s="5" t="s">
        <v>16862</v>
      </c>
      <c r="E1645" s="5"/>
      <c r="F1645" s="1"/>
      <c r="G1645" s="5" t="s">
        <v>8971</v>
      </c>
      <c r="H1645" s="1"/>
      <c r="I1645" s="1"/>
      <c r="J1645" s="2"/>
      <c r="K1645" s="5" t="s">
        <v>9496</v>
      </c>
      <c r="M1645" s="20" t="s">
        <v>10901</v>
      </c>
      <c r="N1645" s="1"/>
      <c r="O1645" s="1"/>
      <c r="P1645" s="21" t="b">
        <f>IF(ISNUMBER(MATCH($C1645,StackableKinds,0)), TRUE, "")</f>
        <v>1</v>
      </c>
    </row>
    <row r="1646" spans="1:17" x14ac:dyDescent="0.2">
      <c r="A1646" s="19" t="str">
        <f>_xlfn.IFNA(VLOOKUP($B1646,Keys!$A:$B,2,FALSE),_xlfn.IFNA(VLOOKUP($B1646,Keys!$D:$E,2,FALSE),VLOOKUP($B1646,Keys!$G:$H,2,FALSE)))</f>
        <v>0x00000015CCCDDB58</v>
      </c>
      <c r="B1646" s="5" t="s">
        <v>2968</v>
      </c>
      <c r="C1646" s="5" t="s">
        <v>12</v>
      </c>
      <c r="D1646" s="5" t="s">
        <v>16862</v>
      </c>
      <c r="E1646" s="5"/>
      <c r="F1646" s="5" t="s">
        <v>9963</v>
      </c>
      <c r="G1646" s="5" t="s">
        <v>8971</v>
      </c>
      <c r="H1646" s="1"/>
      <c r="I1646" s="1"/>
      <c r="J1646" s="2"/>
      <c r="K1646" s="5" t="s">
        <v>9496</v>
      </c>
      <c r="M1646" s="20" t="s">
        <v>10989</v>
      </c>
      <c r="N1646" s="1"/>
      <c r="O1646" s="1"/>
      <c r="P1646" s="21" t="b">
        <f>IF(ISNUMBER(MATCH($C1646,StackableKinds,0)), TRUE, "")</f>
        <v>1</v>
      </c>
      <c r="Q1646" s="2"/>
    </row>
    <row r="1647" spans="1:17" x14ac:dyDescent="0.2">
      <c r="A1647" s="19" t="str">
        <f>_xlfn.IFNA(VLOOKUP($B1647,Keys!$A:$B,2,FALSE),_xlfn.IFNA(VLOOKUP($B1647,Keys!$D:$E,2,FALSE),VLOOKUP($B1647,Keys!$G:$H,2,FALSE)))</f>
        <v>0x0000001A7520474D</v>
      </c>
      <c r="B1647" s="5" t="s">
        <v>1700</v>
      </c>
      <c r="C1647" s="5" t="s">
        <v>12</v>
      </c>
      <c r="D1647" s="5" t="s">
        <v>16862</v>
      </c>
      <c r="E1647" s="5"/>
      <c r="F1647" s="1"/>
      <c r="G1647" s="5" t="s">
        <v>8971</v>
      </c>
      <c r="H1647" s="1"/>
      <c r="I1647" s="1"/>
      <c r="J1647" s="2"/>
      <c r="K1647" s="5" t="s">
        <v>9479</v>
      </c>
      <c r="M1647" s="20" t="s">
        <v>10879</v>
      </c>
      <c r="N1647" s="1"/>
      <c r="O1647" s="1"/>
      <c r="P1647" s="21" t="b">
        <f>IF(ISNUMBER(MATCH($C1647,StackableKinds,0)), TRUE, "")</f>
        <v>1</v>
      </c>
    </row>
    <row r="1648" spans="1:17" x14ac:dyDescent="0.2">
      <c r="A1648" s="19" t="str">
        <f>_xlfn.IFNA(VLOOKUP($B1648,Keys!$A:$B,2,FALSE),_xlfn.IFNA(VLOOKUP($B1648,Keys!$D:$E,2,FALSE),VLOOKUP($B1648,Keys!$G:$H,2,FALSE)))</f>
        <v>0x0000001A979C0266</v>
      </c>
      <c r="B1648" s="5" t="s">
        <v>1784</v>
      </c>
      <c r="C1648" s="5" t="s">
        <v>12</v>
      </c>
      <c r="D1648" s="5" t="s">
        <v>16862</v>
      </c>
      <c r="E1648" s="5"/>
      <c r="F1648" s="1"/>
      <c r="G1648" s="5" t="s">
        <v>8971</v>
      </c>
      <c r="H1648" s="1"/>
      <c r="I1648" s="1"/>
      <c r="J1648" s="2"/>
      <c r="K1648" s="5" t="s">
        <v>9511</v>
      </c>
      <c r="M1648" s="20" t="s">
        <v>10920</v>
      </c>
      <c r="N1648" s="1"/>
      <c r="O1648" s="1"/>
      <c r="P1648" s="21" t="b">
        <f>IF(ISNUMBER(MATCH($C1648,StackableKinds,0)), TRUE, "")</f>
        <v>1</v>
      </c>
      <c r="Q1648" s="2"/>
    </row>
    <row r="1649" spans="1:17" x14ac:dyDescent="0.2">
      <c r="A1649" s="19" t="str">
        <f>_xlfn.IFNA(VLOOKUP($B1649,Keys!$A:$B,2,FALSE),_xlfn.IFNA(VLOOKUP($B1649,Keys!$D:$E,2,FALSE),VLOOKUP($B1649,Keys!$G:$H,2,FALSE)))</f>
        <v>0x00000017205C9B14</v>
      </c>
      <c r="B1649" s="5" t="s">
        <v>1740</v>
      </c>
      <c r="C1649" s="5" t="s">
        <v>12</v>
      </c>
      <c r="D1649" s="5" t="s">
        <v>16862</v>
      </c>
      <c r="E1649" s="5"/>
      <c r="F1649" s="1"/>
      <c r="G1649" s="5" t="s">
        <v>8971</v>
      </c>
      <c r="H1649" s="1"/>
      <c r="I1649" s="1"/>
      <c r="J1649" s="2"/>
      <c r="K1649" s="5" t="s">
        <v>9493</v>
      </c>
      <c r="M1649" s="20" t="s">
        <v>10898</v>
      </c>
      <c r="N1649" s="1"/>
      <c r="O1649" s="1"/>
      <c r="P1649" s="21" t="b">
        <f>IF(ISNUMBER(MATCH($C1649,StackableKinds,0)), TRUE, "")</f>
        <v>1</v>
      </c>
    </row>
    <row r="1650" spans="1:17" x14ac:dyDescent="0.2">
      <c r="A1650" s="19" t="str">
        <f>_xlfn.IFNA(VLOOKUP($B1650,Keys!$A:$B,2,FALSE),_xlfn.IFNA(VLOOKUP($B1650,Keys!$D:$E,2,FALSE),VLOOKUP($B1650,Keys!$G:$H,2,FALSE)))</f>
        <v>0x0000001996AC656E</v>
      </c>
      <c r="B1650" s="5" t="s">
        <v>880</v>
      </c>
      <c r="C1650" s="5" t="s">
        <v>12</v>
      </c>
      <c r="D1650" s="5" t="s">
        <v>16862</v>
      </c>
      <c r="E1650" s="5"/>
      <c r="F1650" s="1"/>
      <c r="G1650" s="5" t="s">
        <v>8971</v>
      </c>
      <c r="H1650" s="1"/>
      <c r="I1650" s="1"/>
      <c r="J1650" s="2"/>
      <c r="K1650" s="5" t="s">
        <v>9195</v>
      </c>
      <c r="M1650" s="20" t="s">
        <v>11359</v>
      </c>
      <c r="N1650" s="1"/>
      <c r="O1650" s="1"/>
      <c r="P1650" s="21" t="b">
        <f>IF(ISNUMBER(MATCH($C1650,StackableKinds,0)), TRUE, "")</f>
        <v>1</v>
      </c>
      <c r="Q1650" s="2"/>
    </row>
    <row r="1651" spans="1:17" x14ac:dyDescent="0.2">
      <c r="A1651" s="19" t="str">
        <f>_xlfn.IFNA(VLOOKUP($B1651,Keys!$A:$B,2,FALSE),_xlfn.IFNA(VLOOKUP($B1651,Keys!$D:$E,2,FALSE),VLOOKUP($B1651,Keys!$G:$H,2,FALSE)))</f>
        <v>0x00000019235BF623</v>
      </c>
      <c r="B1651" s="5" t="s">
        <v>874</v>
      </c>
      <c r="C1651" s="5" t="s">
        <v>12</v>
      </c>
      <c r="D1651" s="5" t="s">
        <v>16862</v>
      </c>
      <c r="E1651" s="5"/>
      <c r="F1651" s="1"/>
      <c r="G1651" s="5" t="s">
        <v>8971</v>
      </c>
      <c r="H1651" s="1"/>
      <c r="I1651" s="1"/>
      <c r="J1651" s="2"/>
      <c r="K1651" s="5" t="s">
        <v>9189</v>
      </c>
      <c r="M1651" s="20" t="s">
        <v>9190</v>
      </c>
      <c r="N1651" s="1"/>
      <c r="O1651" s="1"/>
      <c r="P1651" s="21" t="b">
        <f>IF(ISNUMBER(MATCH($C1651,StackableKinds,0)), TRUE, "")</f>
        <v>1</v>
      </c>
      <c r="Q1651" s="2"/>
    </row>
    <row r="1652" spans="1:17" x14ac:dyDescent="0.2">
      <c r="A1652" s="19" t="str">
        <f>_xlfn.IFNA(VLOOKUP($B1652,Keys!$A:$B,2,FALSE),_xlfn.IFNA(VLOOKUP($B1652,Keys!$D:$E,2,FALSE),VLOOKUP($B1652,Keys!$G:$H,2,FALSE)))</f>
        <v>0x0000001A556CA1BD</v>
      </c>
      <c r="B1652" s="5" t="s">
        <v>1772</v>
      </c>
      <c r="C1652" s="5" t="s">
        <v>12</v>
      </c>
      <c r="D1652" s="5" t="s">
        <v>16862</v>
      </c>
      <c r="E1652" s="5"/>
      <c r="F1652" s="1"/>
      <c r="G1652" s="5" t="s">
        <v>8971</v>
      </c>
      <c r="H1652" s="1"/>
      <c r="I1652" s="1"/>
      <c r="J1652" s="2"/>
      <c r="K1652" s="5" t="s">
        <v>9506</v>
      </c>
      <c r="M1652" s="20" t="s">
        <v>10914</v>
      </c>
      <c r="N1652" s="1"/>
      <c r="O1652" s="1"/>
      <c r="P1652" s="21" t="b">
        <f>IF(ISNUMBER(MATCH($C1652,StackableKinds,0)), TRUE, "")</f>
        <v>1</v>
      </c>
    </row>
    <row r="1653" spans="1:17" x14ac:dyDescent="0.2">
      <c r="A1653" s="19" t="str">
        <f>_xlfn.IFNA(VLOOKUP($B1653,Keys!$A:$B,2,FALSE),_xlfn.IFNA(VLOOKUP($B1653,Keys!$D:$E,2,FALSE),VLOOKUP($B1653,Keys!$G:$H,2,FALSE)))</f>
        <v>0x000000194B6D9FC8</v>
      </c>
      <c r="B1653" s="5" t="s">
        <v>5724</v>
      </c>
      <c r="C1653" s="5" t="s">
        <v>12</v>
      </c>
      <c r="D1653" s="5" t="s">
        <v>16862</v>
      </c>
      <c r="E1653" s="5"/>
      <c r="F1653" s="5" t="s">
        <v>10559</v>
      </c>
      <c r="G1653" s="1"/>
      <c r="H1653" s="1"/>
      <c r="I1653" s="1"/>
      <c r="J1653" s="2"/>
      <c r="K1653" s="5" t="s">
        <v>10572</v>
      </c>
      <c r="L1653" s="5"/>
      <c r="M1653" s="20" t="s">
        <v>10573</v>
      </c>
      <c r="N1653" s="1"/>
      <c r="O1653" s="1"/>
      <c r="P1653" s="21" t="b">
        <f>IF(ISNUMBER(MATCH($C1653,StackableKinds,0)), TRUE, "")</f>
        <v>1</v>
      </c>
      <c r="Q1653" s="2"/>
    </row>
    <row r="1654" spans="1:17" x14ac:dyDescent="0.2">
      <c r="A1654" s="19" t="str">
        <f>_xlfn.IFNA(VLOOKUP($B1654,Keys!$A:$B,2,FALSE),_xlfn.IFNA(VLOOKUP($B1654,Keys!$D:$E,2,FALSE),VLOOKUP($B1654,Keys!$G:$H,2,FALSE)))</f>
        <v>0x00000015FD51AE00</v>
      </c>
      <c r="B1654" s="5" t="s">
        <v>868</v>
      </c>
      <c r="C1654" s="5" t="s">
        <v>12</v>
      </c>
      <c r="D1654" s="5" t="s">
        <v>16862</v>
      </c>
      <c r="E1654" s="5"/>
      <c r="F1654" s="1"/>
      <c r="G1654" s="5" t="s">
        <v>8971</v>
      </c>
      <c r="H1654" s="1"/>
      <c r="I1654" s="1"/>
      <c r="J1654" s="2"/>
      <c r="K1654" s="5" t="s">
        <v>9184</v>
      </c>
      <c r="M1654" s="20" t="s">
        <v>10856</v>
      </c>
      <c r="N1654" s="1"/>
      <c r="O1654" s="1"/>
      <c r="P1654" s="21" t="b">
        <f>IF(ISNUMBER(MATCH($C1654,StackableKinds,0)), TRUE, "")</f>
        <v>1</v>
      </c>
      <c r="Q1654" s="2"/>
    </row>
    <row r="1655" spans="1:17" x14ac:dyDescent="0.2">
      <c r="A1655" s="19" t="str">
        <f>_xlfn.IFNA(VLOOKUP($B1655,Keys!$A:$B,2,FALSE),_xlfn.IFNA(VLOOKUP($B1655,Keys!$D:$E,2,FALSE),VLOOKUP($B1655,Keys!$G:$H,2,FALSE)))</f>
        <v>0x000000177A24A6B7</v>
      </c>
      <c r="B1655" s="5" t="s">
        <v>2956</v>
      </c>
      <c r="C1655" s="5" t="s">
        <v>12</v>
      </c>
      <c r="D1655" s="5" t="s">
        <v>16862</v>
      </c>
      <c r="E1655" s="5"/>
      <c r="F1655" s="5" t="s">
        <v>9956</v>
      </c>
      <c r="G1655" s="5" t="s">
        <v>8971</v>
      </c>
      <c r="H1655" s="1"/>
      <c r="I1655" s="1"/>
      <c r="J1655" s="2"/>
      <c r="K1655" s="5" t="s">
        <v>9959</v>
      </c>
      <c r="M1655" s="20" t="s">
        <v>10985</v>
      </c>
      <c r="N1655" s="1"/>
      <c r="O1655" s="1"/>
      <c r="P1655" s="21" t="b">
        <f>IF(ISNUMBER(MATCH($C1655,StackableKinds,0)), TRUE, "")</f>
        <v>1</v>
      </c>
      <c r="Q1655" s="2"/>
    </row>
    <row r="1656" spans="1:17" x14ac:dyDescent="0.2">
      <c r="A1656" s="19" t="str">
        <f>_xlfn.IFNA(VLOOKUP($B1656,Keys!$A:$B,2,FALSE),_xlfn.IFNA(VLOOKUP($B1656,Keys!$D:$E,2,FALSE),VLOOKUP($B1656,Keys!$G:$H,2,FALSE)))</f>
        <v>0x0000001A25065532</v>
      </c>
      <c r="B1656" s="5" t="s">
        <v>1766</v>
      </c>
      <c r="C1656" s="5" t="s">
        <v>12</v>
      </c>
      <c r="D1656" s="5" t="s">
        <v>16862</v>
      </c>
      <c r="E1656" s="5"/>
      <c r="F1656" s="1"/>
      <c r="G1656" s="5" t="s">
        <v>8971</v>
      </c>
      <c r="H1656" s="1"/>
      <c r="I1656" s="1"/>
      <c r="J1656" s="2"/>
      <c r="K1656" s="5" t="s">
        <v>9503</v>
      </c>
      <c r="M1656" s="20" t="s">
        <v>10911</v>
      </c>
      <c r="N1656" s="1"/>
      <c r="O1656" s="1"/>
      <c r="P1656" s="21" t="b">
        <f>IF(ISNUMBER(MATCH($C1656,StackableKinds,0)), TRUE, "")</f>
        <v>1</v>
      </c>
    </row>
    <row r="1657" spans="1:17" x14ac:dyDescent="0.2">
      <c r="A1657" s="19" t="str">
        <f>_xlfn.IFNA(VLOOKUP($B1657,Keys!$A:$B,2,FALSE),_xlfn.IFNA(VLOOKUP($B1657,Keys!$D:$E,2,FALSE),VLOOKUP($B1657,Keys!$G:$H,2,FALSE)))</f>
        <v>0x0000001D8402E395</v>
      </c>
      <c r="B1657" s="5" t="s">
        <v>2902</v>
      </c>
      <c r="C1657" s="5" t="s">
        <v>12</v>
      </c>
      <c r="D1657" s="5" t="s">
        <v>16862</v>
      </c>
      <c r="E1657" s="5"/>
      <c r="F1657" s="1"/>
      <c r="G1657" s="5" t="s">
        <v>8971</v>
      </c>
      <c r="H1657" s="1"/>
      <c r="I1657" s="1"/>
      <c r="J1657" s="2"/>
      <c r="K1657" s="5" t="s">
        <v>9943</v>
      </c>
      <c r="M1657" s="20" t="s">
        <v>10969</v>
      </c>
      <c r="N1657" s="1"/>
      <c r="O1657" s="1"/>
      <c r="P1657" s="21" t="b">
        <f>IF(ISNUMBER(MATCH($C1657,StackableKinds,0)), TRUE, "")</f>
        <v>1</v>
      </c>
      <c r="Q1657" s="2"/>
    </row>
    <row r="1658" spans="1:17" x14ac:dyDescent="0.2">
      <c r="A1658" s="19" t="str">
        <f>_xlfn.IFNA(VLOOKUP($B1658,Keys!$A:$B,2,FALSE),_xlfn.IFNA(VLOOKUP($B1658,Keys!$D:$E,2,FALSE),VLOOKUP($B1658,Keys!$G:$H,2,FALSE)))</f>
        <v>0x00000019BA52A799</v>
      </c>
      <c r="B1658" s="5" t="s">
        <v>876</v>
      </c>
      <c r="C1658" s="5" t="s">
        <v>12</v>
      </c>
      <c r="D1658" s="5" t="s">
        <v>16862</v>
      </c>
      <c r="E1658" s="5"/>
      <c r="F1658" s="1"/>
      <c r="G1658" s="5" t="s">
        <v>8971</v>
      </c>
      <c r="H1658" s="1"/>
      <c r="I1658" s="1"/>
      <c r="J1658" s="2"/>
      <c r="K1658" s="5" t="s">
        <v>9191</v>
      </c>
      <c r="M1658" s="20" t="s">
        <v>9192</v>
      </c>
      <c r="N1658" s="1"/>
      <c r="O1658" s="1"/>
      <c r="P1658" s="21" t="b">
        <f>IF(ISNUMBER(MATCH($C1658,StackableKinds,0)), TRUE, "")</f>
        <v>1</v>
      </c>
      <c r="Q1658" s="2"/>
    </row>
    <row r="1659" spans="1:17" x14ac:dyDescent="0.2">
      <c r="A1659" s="19" t="str">
        <f>_xlfn.IFNA(VLOOKUP($B1659,Keys!$A:$B,2,FALSE),_xlfn.IFNA(VLOOKUP($B1659,Keys!$D:$E,2,FALSE),VLOOKUP($B1659,Keys!$G:$H,2,FALSE)))</f>
        <v>0x0000002175198E73</v>
      </c>
      <c r="B1659" s="5" t="s">
        <v>1692</v>
      </c>
      <c r="C1659" s="5" t="s">
        <v>12</v>
      </c>
      <c r="D1659" s="5" t="s">
        <v>16862</v>
      </c>
      <c r="E1659" s="5"/>
      <c r="F1659" s="1"/>
      <c r="G1659" s="5" t="s">
        <v>8971</v>
      </c>
      <c r="H1659" s="1"/>
      <c r="I1659" s="1"/>
      <c r="J1659" s="2"/>
      <c r="K1659" s="5" t="s">
        <v>9475</v>
      </c>
      <c r="M1659" s="20" t="s">
        <v>10875</v>
      </c>
      <c r="N1659" s="1"/>
      <c r="O1659" s="1"/>
      <c r="P1659" s="21" t="b">
        <f>IF(ISNUMBER(MATCH($C1659,StackableKinds,0)), TRUE, "")</f>
        <v>1</v>
      </c>
    </row>
    <row r="1660" spans="1:17" x14ac:dyDescent="0.2">
      <c r="A1660" s="19" t="str">
        <f>_xlfn.IFNA(VLOOKUP($B1660,Keys!$A:$B,2,FALSE),_xlfn.IFNA(VLOOKUP($B1660,Keys!$D:$E,2,FALSE),VLOOKUP($B1660,Keys!$G:$H,2,FALSE)))</f>
        <v>0x00000019C70B50D8</v>
      </c>
      <c r="B1660" s="5" t="s">
        <v>4997</v>
      </c>
      <c r="C1660" s="5" t="s">
        <v>12</v>
      </c>
      <c r="D1660" s="5" t="s">
        <v>16862</v>
      </c>
      <c r="E1660" s="5"/>
      <c r="F1660" s="5" t="s">
        <v>10327</v>
      </c>
      <c r="G1660" s="1"/>
      <c r="H1660" s="1"/>
      <c r="I1660" s="1"/>
      <c r="J1660" s="2"/>
      <c r="K1660" s="5" t="s">
        <v>10328</v>
      </c>
      <c r="M1660" s="20" t="s">
        <v>11060</v>
      </c>
      <c r="N1660" s="1"/>
      <c r="O1660" s="1"/>
      <c r="P1660" s="21" t="b">
        <f>IF(ISNUMBER(MATCH($C1660,StackableKinds,0)), TRUE, "")</f>
        <v>1</v>
      </c>
      <c r="Q1660" s="2"/>
    </row>
    <row r="1661" spans="1:17" x14ac:dyDescent="0.2">
      <c r="A1661" s="19" t="str">
        <f>_xlfn.IFNA(VLOOKUP($B1661,Keys!$A:$B,2,FALSE),_xlfn.IFNA(VLOOKUP($B1661,Keys!$D:$E,2,FALSE),VLOOKUP($B1661,Keys!$G:$H,2,FALSE)))</f>
        <v>0x000000164C1E23E9</v>
      </c>
      <c r="B1661" s="5" t="s">
        <v>1760</v>
      </c>
      <c r="C1661" s="5" t="s">
        <v>12</v>
      </c>
      <c r="D1661" s="5" t="s">
        <v>16862</v>
      </c>
      <c r="E1661" s="5"/>
      <c r="F1661" s="1"/>
      <c r="G1661" s="5" t="s">
        <v>8971</v>
      </c>
      <c r="H1661" s="1"/>
      <c r="I1661" s="1"/>
      <c r="J1661" s="2"/>
      <c r="K1661" s="5" t="s">
        <v>9501</v>
      </c>
      <c r="M1661" s="20" t="s">
        <v>10908</v>
      </c>
      <c r="N1661" s="1"/>
      <c r="O1661" s="1"/>
      <c r="P1661" s="21" t="b">
        <f>IF(ISNUMBER(MATCH($C1661,StackableKinds,0)), TRUE, "")</f>
        <v>1</v>
      </c>
    </row>
    <row r="1662" spans="1:17" x14ac:dyDescent="0.2">
      <c r="A1662" s="19" t="str">
        <f>_xlfn.IFNA(VLOOKUP($B1662,Keys!$A:$B,2,FALSE),_xlfn.IFNA(VLOOKUP($B1662,Keys!$D:$E,2,FALSE),VLOOKUP($B1662,Keys!$G:$H,2,FALSE)))</f>
        <v>0x0000001522C3BA74</v>
      </c>
      <c r="B1662" s="5" t="s">
        <v>2964</v>
      </c>
      <c r="C1662" s="5" t="s">
        <v>12</v>
      </c>
      <c r="D1662" s="5" t="s">
        <v>16862</v>
      </c>
      <c r="E1662" s="5"/>
      <c r="F1662" s="5" t="s">
        <v>9963</v>
      </c>
      <c r="G1662" s="5" t="s">
        <v>8971</v>
      </c>
      <c r="H1662" s="1"/>
      <c r="I1662" s="1"/>
      <c r="J1662" s="2"/>
      <c r="K1662" s="5" t="s">
        <v>9964</v>
      </c>
      <c r="M1662" s="20" t="s">
        <v>10987</v>
      </c>
      <c r="N1662" s="1"/>
      <c r="O1662" s="1"/>
      <c r="P1662" s="21" t="b">
        <f>IF(ISNUMBER(MATCH($C1662,StackableKinds,0)), TRUE, "")</f>
        <v>1</v>
      </c>
      <c r="Q1662" s="2"/>
    </row>
    <row r="1663" spans="1:17" x14ac:dyDescent="0.2">
      <c r="A1663" s="19" t="str">
        <f>_xlfn.IFNA(VLOOKUP($B1663,Keys!$A:$B,2,FALSE),_xlfn.IFNA(VLOOKUP($B1663,Keys!$D:$E,2,FALSE),VLOOKUP($B1663,Keys!$G:$H,2,FALSE)))</f>
        <v>0x0000001526EE1872</v>
      </c>
      <c r="B1663" s="5" t="s">
        <v>5009</v>
      </c>
      <c r="C1663" s="5" t="s">
        <v>12</v>
      </c>
      <c r="D1663" s="5" t="s">
        <v>16862</v>
      </c>
      <c r="E1663" s="5"/>
      <c r="F1663" s="1"/>
      <c r="G1663" s="1"/>
      <c r="H1663" s="1"/>
      <c r="I1663" s="1"/>
      <c r="J1663" s="2"/>
      <c r="K1663" s="5" t="s">
        <v>10334</v>
      </c>
      <c r="M1663" s="20" t="s">
        <v>11065</v>
      </c>
      <c r="N1663" s="1"/>
      <c r="O1663" s="1"/>
      <c r="P1663" s="21" t="b">
        <f>IF(ISNUMBER(MATCH($C1663,StackableKinds,0)), TRUE, "")</f>
        <v>1</v>
      </c>
      <c r="Q1663" s="2"/>
    </row>
    <row r="1664" spans="1:17" x14ac:dyDescent="0.2">
      <c r="A1664" s="19" t="str">
        <f>_xlfn.IFNA(VLOOKUP($B1664,Keys!$A:$B,2,FALSE),_xlfn.IFNA(VLOOKUP($B1664,Keys!$D:$E,2,FALSE),VLOOKUP($B1664,Keys!$G:$H,2,FALSE)))</f>
        <v>0x0000001ACB08341E</v>
      </c>
      <c r="B1664" s="5" t="s">
        <v>1770</v>
      </c>
      <c r="C1664" s="5" t="s">
        <v>12</v>
      </c>
      <c r="D1664" s="5" t="s">
        <v>16862</v>
      </c>
      <c r="E1664" s="5"/>
      <c r="F1664" s="1"/>
      <c r="G1664" s="5" t="s">
        <v>8971</v>
      </c>
      <c r="H1664" s="1"/>
      <c r="I1664" s="1"/>
      <c r="J1664" s="2"/>
      <c r="K1664" s="5" t="s">
        <v>9505</v>
      </c>
      <c r="M1664" s="20" t="s">
        <v>10913</v>
      </c>
      <c r="N1664" s="1"/>
      <c r="O1664" s="1"/>
      <c r="P1664" s="21" t="b">
        <f>IF(ISNUMBER(MATCH($C1664,StackableKinds,0)), TRUE, "")</f>
        <v>1</v>
      </c>
    </row>
    <row r="1665" spans="1:17" x14ac:dyDescent="0.2">
      <c r="A1665" s="19" t="str">
        <f>_xlfn.IFNA(VLOOKUP($B1665,Keys!$A:$B,2,FALSE),_xlfn.IFNA(VLOOKUP($B1665,Keys!$D:$E,2,FALSE),VLOOKUP($B1665,Keys!$G:$H,2,FALSE)))</f>
        <v>0x0000001AE354240D</v>
      </c>
      <c r="B1665" s="5" t="s">
        <v>5716</v>
      </c>
      <c r="C1665" s="5" t="s">
        <v>12</v>
      </c>
      <c r="D1665" s="5" t="s">
        <v>16862</v>
      </c>
      <c r="E1665" s="5"/>
      <c r="F1665" s="5" t="s">
        <v>10559</v>
      </c>
      <c r="G1665" s="1"/>
      <c r="H1665" s="1"/>
      <c r="I1665" s="1"/>
      <c r="J1665" s="2"/>
      <c r="K1665" s="5" t="s">
        <v>10564</v>
      </c>
      <c r="L1665" s="5"/>
      <c r="M1665" s="20" t="s">
        <v>10565</v>
      </c>
      <c r="N1665" s="1"/>
      <c r="O1665" s="1"/>
      <c r="P1665" s="21" t="b">
        <f>IF(ISNUMBER(MATCH($C1665,StackableKinds,0)), TRUE, "")</f>
        <v>1</v>
      </c>
      <c r="Q1665" s="2"/>
    </row>
    <row r="1666" spans="1:17" x14ac:dyDescent="0.2">
      <c r="A1666" s="19" t="str">
        <f>_xlfn.IFNA(VLOOKUP($B1666,Keys!$A:$B,2,FALSE),_xlfn.IFNA(VLOOKUP($B1666,Keys!$D:$E,2,FALSE),VLOOKUP($B1666,Keys!$G:$H,2,FALSE)))</f>
        <v>0x0000001A054AB3C2</v>
      </c>
      <c r="B1666" s="5" t="s">
        <v>1694</v>
      </c>
      <c r="C1666" s="5" t="s">
        <v>12</v>
      </c>
      <c r="D1666" s="5" t="s">
        <v>16862</v>
      </c>
      <c r="E1666" s="5"/>
      <c r="F1666" s="1"/>
      <c r="G1666" s="5" t="s">
        <v>8971</v>
      </c>
      <c r="H1666" s="1"/>
      <c r="I1666" s="1"/>
      <c r="J1666" s="2"/>
      <c r="K1666" s="5" t="s">
        <v>9476</v>
      </c>
      <c r="M1666" s="20" t="s">
        <v>10876</v>
      </c>
      <c r="N1666" s="1"/>
      <c r="O1666" s="1"/>
      <c r="P1666" s="21" t="b">
        <f>IF(ISNUMBER(MATCH($C1666,StackableKinds,0)), TRUE, "")</f>
        <v>1</v>
      </c>
    </row>
    <row r="1667" spans="1:17" x14ac:dyDescent="0.2">
      <c r="A1667" s="19" t="str">
        <f>_xlfn.IFNA(VLOOKUP($B1667,Keys!$A:$B,2,FALSE),_xlfn.IFNA(VLOOKUP($B1667,Keys!$D:$E,2,FALSE),VLOOKUP($B1667,Keys!$G:$H,2,FALSE)))</f>
        <v>0x00000016A3A07377</v>
      </c>
      <c r="B1667" s="5" t="s">
        <v>428</v>
      </c>
      <c r="C1667" s="5" t="s">
        <v>12</v>
      </c>
      <c r="D1667" s="5" t="s">
        <v>16862</v>
      </c>
      <c r="E1667" s="5"/>
      <c r="F1667" s="5" t="s">
        <v>8975</v>
      </c>
      <c r="G1667" s="5" t="s">
        <v>8971</v>
      </c>
      <c r="H1667" s="1"/>
      <c r="I1667" s="1"/>
      <c r="J1667" s="2"/>
      <c r="K1667" s="5" t="s">
        <v>8983</v>
      </c>
      <c r="M1667" s="20" t="s">
        <v>8984</v>
      </c>
      <c r="N1667" s="1"/>
      <c r="O1667" s="1"/>
      <c r="P1667" s="21" t="b">
        <f>IF(ISNUMBER(MATCH($C1667,StackableKinds,0)), TRUE, "")</f>
        <v>1</v>
      </c>
      <c r="Q1667" s="2"/>
    </row>
    <row r="1668" spans="1:17" x14ac:dyDescent="0.2">
      <c r="A1668" s="19" t="str">
        <f>_xlfn.IFNA(VLOOKUP($B1668,Keys!$A:$B,2,FALSE),_xlfn.IFNA(VLOOKUP($B1668,Keys!$D:$E,2,FALSE),VLOOKUP($B1668,Keys!$G:$H,2,FALSE)))</f>
        <v>0x00000016A21042C5</v>
      </c>
      <c r="B1668" s="5" t="s">
        <v>1756</v>
      </c>
      <c r="C1668" s="5" t="s">
        <v>12</v>
      </c>
      <c r="D1668" s="5" t="s">
        <v>16862</v>
      </c>
      <c r="E1668" s="5"/>
      <c r="F1668" s="1"/>
      <c r="G1668" s="5" t="s">
        <v>8971</v>
      </c>
      <c r="H1668" s="1"/>
      <c r="I1668" s="1"/>
      <c r="J1668" s="2"/>
      <c r="K1668" s="5" t="s">
        <v>9499</v>
      </c>
      <c r="M1668" s="20" t="s">
        <v>10906</v>
      </c>
      <c r="N1668" s="1"/>
      <c r="O1668" s="1"/>
      <c r="P1668" s="21" t="b">
        <f>IF(ISNUMBER(MATCH($C1668,StackableKinds,0)), TRUE, "")</f>
        <v>1</v>
      </c>
    </row>
    <row r="1669" spans="1:17" x14ac:dyDescent="0.2">
      <c r="A1669" s="19" t="str">
        <f>_xlfn.IFNA(VLOOKUP($B1669,Keys!$A:$B,2,FALSE),_xlfn.IFNA(VLOOKUP($B1669,Keys!$D:$E,2,FALSE),VLOOKUP($B1669,Keys!$G:$H,2,FALSE)))</f>
        <v>0x00000019A563FEE4</v>
      </c>
      <c r="B1669" s="5" t="s">
        <v>5720</v>
      </c>
      <c r="C1669" s="5" t="s">
        <v>12</v>
      </c>
      <c r="D1669" s="5" t="s">
        <v>16862</v>
      </c>
      <c r="E1669" s="5"/>
      <c r="F1669" s="5" t="s">
        <v>10559</v>
      </c>
      <c r="G1669" s="1"/>
      <c r="H1669" s="1"/>
      <c r="I1669" s="1"/>
      <c r="J1669" s="2"/>
      <c r="K1669" s="5" t="s">
        <v>10568</v>
      </c>
      <c r="L1669" s="5"/>
      <c r="M1669" s="20" t="s">
        <v>10569</v>
      </c>
      <c r="N1669" s="1"/>
      <c r="O1669" s="1"/>
      <c r="P1669" s="21" t="b">
        <f>IF(ISNUMBER(MATCH($C1669,StackableKinds,0)), TRUE, "")</f>
        <v>1</v>
      </c>
      <c r="Q1669" s="2"/>
    </row>
    <row r="1670" spans="1:17" x14ac:dyDescent="0.2">
      <c r="A1670" s="19" t="str">
        <f>_xlfn.IFNA(VLOOKUP($B1670,Keys!$A:$B,2,FALSE),_xlfn.IFNA(VLOOKUP($B1670,Keys!$D:$E,2,FALSE),VLOOKUP($B1670,Keys!$G:$H,2,FALSE)))</f>
        <v>0x000000170B71C8D7</v>
      </c>
      <c r="B1670" s="5" t="s">
        <v>1718</v>
      </c>
      <c r="C1670" s="5" t="s">
        <v>12</v>
      </c>
      <c r="D1670" s="5" t="s">
        <v>16862</v>
      </c>
      <c r="E1670" s="5"/>
      <c r="F1670" s="1"/>
      <c r="G1670" s="5" t="s">
        <v>8971</v>
      </c>
      <c r="H1670" s="1"/>
      <c r="I1670" s="1"/>
      <c r="J1670" s="2"/>
      <c r="K1670" s="5" t="s">
        <v>9486</v>
      </c>
      <c r="M1670" s="20" t="s">
        <v>10887</v>
      </c>
      <c r="N1670" s="1"/>
      <c r="O1670" s="1"/>
      <c r="P1670" s="21" t="b">
        <f>IF(ISNUMBER(MATCH($C1670,StackableKinds,0)), TRUE, "")</f>
        <v>1</v>
      </c>
    </row>
    <row r="1671" spans="1:17" x14ac:dyDescent="0.2">
      <c r="A1671" s="19" t="str">
        <f>_xlfn.IFNA(VLOOKUP($B1671,Keys!$A:$B,2,FALSE),_xlfn.IFNA(VLOOKUP($B1671,Keys!$D:$E,2,FALSE),VLOOKUP($B1671,Keys!$G:$H,2,FALSE)))</f>
        <v>0x0000001D836F278C</v>
      </c>
      <c r="B1671" s="5" t="s">
        <v>2910</v>
      </c>
      <c r="C1671" s="5" t="s">
        <v>12</v>
      </c>
      <c r="D1671" s="5" t="s">
        <v>16862</v>
      </c>
      <c r="E1671" s="5"/>
      <c r="F1671" s="1"/>
      <c r="G1671" s="5" t="s">
        <v>8971</v>
      </c>
      <c r="H1671" s="1"/>
      <c r="I1671" s="1"/>
      <c r="J1671" s="2"/>
      <c r="K1671" s="5" t="s">
        <v>9947</v>
      </c>
      <c r="M1671" s="20" t="s">
        <v>10973</v>
      </c>
      <c r="N1671" s="1"/>
      <c r="O1671" s="1"/>
      <c r="P1671" s="21" t="b">
        <f>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16862</v>
      </c>
      <c r="E1672" s="5"/>
      <c r="F1672" s="5" t="s">
        <v>10535</v>
      </c>
      <c r="G1672" s="1"/>
      <c r="H1672" s="1"/>
      <c r="I1672" s="1"/>
      <c r="J1672" s="2"/>
      <c r="K1672" s="5" t="s">
        <v>10541</v>
      </c>
      <c r="M1672" s="20" t="s">
        <v>11116</v>
      </c>
      <c r="N1672" s="1"/>
      <c r="O1672" s="1"/>
      <c r="P1672" s="21" t="b">
        <f>IF(ISNUMBER(MATCH($C1672,StackableKinds,0)), TRUE, "")</f>
        <v>1</v>
      </c>
      <c r="Q1672" s="2"/>
    </row>
    <row r="1673" spans="1:17" x14ac:dyDescent="0.2">
      <c r="A1673" s="19" t="str">
        <f>_xlfn.IFNA(VLOOKUP($B1673,Keys!$A:$B,2,FALSE),_xlfn.IFNA(VLOOKUP($B1673,Keys!$D:$E,2,FALSE),VLOOKUP($B1673,Keys!$G:$H,2,FALSE)))</f>
        <v>0x00000016DCA13E78</v>
      </c>
      <c r="B1673" s="5" t="s">
        <v>1762</v>
      </c>
      <c r="C1673" s="5" t="s">
        <v>12</v>
      </c>
      <c r="D1673" s="5" t="s">
        <v>16862</v>
      </c>
      <c r="E1673" s="5"/>
      <c r="F1673" s="1"/>
      <c r="G1673" s="5" t="s">
        <v>8971</v>
      </c>
      <c r="H1673" s="1"/>
      <c r="I1673" s="1"/>
      <c r="J1673" s="2"/>
      <c r="K1673" s="5" t="s">
        <v>9502</v>
      </c>
      <c r="M1673" s="20" t="s">
        <v>10909</v>
      </c>
      <c r="N1673" s="1"/>
      <c r="O1673" s="1"/>
      <c r="P1673" s="21" t="b">
        <f>IF(ISNUMBER(MATCH($C1673,StackableKinds,0)), TRUE, "")</f>
        <v>1</v>
      </c>
    </row>
    <row r="1674" spans="1:17" x14ac:dyDescent="0.2">
      <c r="A1674" s="19" t="str">
        <f>_xlfn.IFNA(VLOOKUP($B1674,Keys!$A:$B,2,FALSE),_xlfn.IFNA(VLOOKUP($B1674,Keys!$D:$E,2,FALSE),VLOOKUP($B1674,Keys!$G:$H,2,FALSE)))</f>
        <v>0x00000016ABA60EEE</v>
      </c>
      <c r="B1674" s="5" t="s">
        <v>1764</v>
      </c>
      <c r="C1674" s="5" t="s">
        <v>12</v>
      </c>
      <c r="D1674" s="5" t="s">
        <v>16862</v>
      </c>
      <c r="E1674" s="5"/>
      <c r="F1674" s="1"/>
      <c r="G1674" s="5" t="s">
        <v>8971</v>
      </c>
      <c r="H1674" s="1"/>
      <c r="I1674" s="1"/>
      <c r="J1674" s="2"/>
      <c r="K1674" s="5" t="s">
        <v>9502</v>
      </c>
      <c r="M1674" s="20" t="s">
        <v>10910</v>
      </c>
      <c r="N1674" s="1"/>
      <c r="O1674" s="1"/>
      <c r="P1674" s="21" t="b">
        <f>IF(ISNUMBER(MATCH($C1674,StackableKinds,0)), TRUE, "")</f>
        <v>1</v>
      </c>
    </row>
    <row r="1675" spans="1:17" x14ac:dyDescent="0.2">
      <c r="A1675" s="19" t="str">
        <f>_xlfn.IFNA(VLOOKUP($B1675,Keys!$A:$B,2,FALSE),_xlfn.IFNA(VLOOKUP($B1675,Keys!$D:$E,2,FALSE),VLOOKUP($B1675,Keys!$G:$H,2,FALSE)))</f>
        <v>0x000000195E020162</v>
      </c>
      <c r="B1675" s="5" t="s">
        <v>4999</v>
      </c>
      <c r="C1675" s="5" t="s">
        <v>12</v>
      </c>
      <c r="D1675" s="5" t="s">
        <v>16862</v>
      </c>
      <c r="E1675" s="5"/>
      <c r="F1675" s="5" t="s">
        <v>10327</v>
      </c>
      <c r="G1675" s="1"/>
      <c r="H1675" s="1"/>
      <c r="I1675" s="1"/>
      <c r="J1675" s="2"/>
      <c r="K1675" s="5" t="s">
        <v>10329</v>
      </c>
      <c r="M1675" s="20" t="s">
        <v>11061</v>
      </c>
      <c r="N1675" s="1"/>
      <c r="O1675" s="1"/>
      <c r="P1675" s="21" t="b">
        <f>IF(ISNUMBER(MATCH($C1675,StackableKinds,0)), TRUE, "")</f>
        <v>1</v>
      </c>
      <c r="Q1675" s="2"/>
    </row>
    <row r="1676" spans="1:17" x14ac:dyDescent="0.2">
      <c r="A1676" s="19" t="str">
        <f>_xlfn.IFNA(VLOOKUP($B1676,Keys!$A:$B,2,FALSE),_xlfn.IFNA(VLOOKUP($B1676,Keys!$D:$E,2,FALSE),VLOOKUP($B1676,Keys!$G:$H,2,FALSE)))</f>
        <v>0x000000219C7A2B46</v>
      </c>
      <c r="B1676" s="5" t="s">
        <v>1688</v>
      </c>
      <c r="C1676" s="5" t="s">
        <v>12</v>
      </c>
      <c r="D1676" s="5" t="s">
        <v>16862</v>
      </c>
      <c r="E1676" s="5"/>
      <c r="F1676" s="1"/>
      <c r="G1676" s="5" t="s">
        <v>8971</v>
      </c>
      <c r="H1676" s="1"/>
      <c r="I1676" s="1"/>
      <c r="J1676" s="2"/>
      <c r="K1676" s="5" t="s">
        <v>9473</v>
      </c>
      <c r="M1676" s="20" t="s">
        <v>10873</v>
      </c>
      <c r="N1676" s="1"/>
      <c r="O1676" s="1"/>
      <c r="P1676" s="21" t="b">
        <f>IF(ISNUMBER(MATCH($C1676,StackableKinds,0)), TRUE, "")</f>
        <v>1</v>
      </c>
    </row>
    <row r="1677" spans="1:17" x14ac:dyDescent="0.2">
      <c r="A1677" s="19" t="str">
        <f>_xlfn.IFNA(VLOOKUP($B1677,Keys!$A:$B,2,FALSE),_xlfn.IFNA(VLOOKUP($B1677,Keys!$D:$E,2,FALSE),VLOOKUP($B1677,Keys!$G:$H,2,FALSE)))</f>
        <v>0x00000017CE52FA38</v>
      </c>
      <c r="B1677" s="5" t="s">
        <v>1744</v>
      </c>
      <c r="C1677" s="5" t="s">
        <v>12</v>
      </c>
      <c r="D1677" s="5" t="s">
        <v>16862</v>
      </c>
      <c r="E1677" s="5"/>
      <c r="F1677" s="1"/>
      <c r="G1677" s="5" t="s">
        <v>8971</v>
      </c>
      <c r="H1677" s="1"/>
      <c r="I1677" s="1"/>
      <c r="J1677" s="2"/>
      <c r="K1677" s="5" t="s">
        <v>9495</v>
      </c>
      <c r="M1677" s="20" t="s">
        <v>10900</v>
      </c>
      <c r="N1677" s="1"/>
      <c r="O1677" s="1"/>
      <c r="P1677" s="21" t="b">
        <f>IF(ISNUMBER(MATCH($C1677,StackableKinds,0)), TRUE, "")</f>
        <v>1</v>
      </c>
    </row>
    <row r="1678" spans="1:17" x14ac:dyDescent="0.2">
      <c r="A1678" s="19" t="str">
        <f>_xlfn.IFNA(VLOOKUP($B1678,Keys!$A:$B,2,FALSE),_xlfn.IFNA(VLOOKUP($B1678,Keys!$D:$E,2,FALSE),VLOOKUP($B1678,Keys!$G:$H,2,FALSE)))</f>
        <v>0x00000016D4A743E1</v>
      </c>
      <c r="B1678" s="5" t="s">
        <v>430</v>
      </c>
      <c r="C1678" s="5" t="s">
        <v>12</v>
      </c>
      <c r="D1678" s="5" t="s">
        <v>16862</v>
      </c>
      <c r="E1678" s="5"/>
      <c r="F1678" s="5" t="s">
        <v>8975</v>
      </c>
      <c r="G1678" s="5" t="s">
        <v>8971</v>
      </c>
      <c r="H1678" s="1"/>
      <c r="I1678" s="1"/>
      <c r="J1678" s="2"/>
      <c r="K1678" s="5" t="s">
        <v>8985</v>
      </c>
      <c r="M1678" s="20" t="s">
        <v>10857</v>
      </c>
      <c r="N1678" s="1"/>
      <c r="O1678" s="1"/>
      <c r="P1678" s="21" t="b">
        <f>IF(ISNUMBER(MATCH($C1678,StackableKinds,0)), TRUE, "")</f>
        <v>1</v>
      </c>
      <c r="Q1678" s="2"/>
    </row>
    <row r="1679" spans="1:17" x14ac:dyDescent="0.2">
      <c r="A1679" s="19" t="str">
        <f>_xlfn.IFNA(VLOOKUP($B1679,Keys!$A:$B,2,FALSE),_xlfn.IFNA(VLOOKUP($B1679,Keys!$D:$E,2,FALSE),VLOOKUP($B1679,Keys!$G:$H,2,FALSE)))</f>
        <v>0x000000156458FFBA</v>
      </c>
      <c r="B1679" s="5" t="s">
        <v>870</v>
      </c>
      <c r="C1679" s="5" t="s">
        <v>12</v>
      </c>
      <c r="D1679" s="5" t="s">
        <v>16862</v>
      </c>
      <c r="E1679" s="5"/>
      <c r="F1679" s="1"/>
      <c r="G1679" s="5" t="s">
        <v>8971</v>
      </c>
      <c r="H1679" s="1"/>
      <c r="I1679" s="1"/>
      <c r="J1679" s="2"/>
      <c r="K1679" s="5" t="s">
        <v>9185</v>
      </c>
      <c r="M1679" s="20" t="s">
        <v>9186</v>
      </c>
      <c r="N1679" s="1"/>
      <c r="O1679" s="1"/>
      <c r="P1679" s="21" t="b">
        <f>IF(ISNUMBER(MATCH($C1679,StackableKinds,0)), TRUE, "")</f>
        <v>1</v>
      </c>
      <c r="Q1679" s="2"/>
    </row>
    <row r="1680" spans="1:17" x14ac:dyDescent="0.2">
      <c r="A1680" s="19" t="str">
        <f>_xlfn.IFNA(VLOOKUP($B1680,Keys!$A:$B,2,FALSE),_xlfn.IFNA(VLOOKUP($B1680,Keys!$D:$E,2,FALSE),VLOOKUP($B1680,Keys!$G:$H,2,FALSE)))</f>
        <v>0x0000001AEFAEF104</v>
      </c>
      <c r="B1680" s="5" t="s">
        <v>5537</v>
      </c>
      <c r="C1680" s="5" t="s">
        <v>12</v>
      </c>
      <c r="D1680" s="5" t="s">
        <v>16862</v>
      </c>
      <c r="E1680" s="5"/>
      <c r="F1680" s="5" t="s">
        <v>10535</v>
      </c>
      <c r="G1680" s="1"/>
      <c r="H1680" s="1"/>
      <c r="I1680" s="1"/>
      <c r="J1680" s="2"/>
      <c r="K1680" s="5" t="s">
        <v>10538</v>
      </c>
      <c r="M1680" s="20" t="s">
        <v>11113</v>
      </c>
      <c r="N1680" s="1"/>
      <c r="O1680" s="1"/>
      <c r="P1680" s="21" t="b">
        <f>IF(ISNUMBER(MATCH($C1680,StackableKinds,0)), TRUE, "")</f>
        <v>1</v>
      </c>
      <c r="Q1680" s="2"/>
    </row>
    <row r="1681" spans="1:17" x14ac:dyDescent="0.2">
      <c r="A1681" s="19" t="str">
        <f>_xlfn.IFNA(VLOOKUP($B1681,Keys!$A:$B,2,FALSE),_xlfn.IFNA(VLOOKUP($B1681,Keys!$D:$E,2,FALSE),VLOOKUP($B1681,Keys!$G:$H,2,FALSE)))</f>
        <v>0x00000017481AD388</v>
      </c>
      <c r="B1681" s="5" t="s">
        <v>422</v>
      </c>
      <c r="C1681" s="5" t="s">
        <v>12</v>
      </c>
      <c r="D1681" s="5" t="s">
        <v>16862</v>
      </c>
      <c r="E1681" s="5"/>
      <c r="F1681" s="5" t="s">
        <v>8975</v>
      </c>
      <c r="G1681" s="5" t="s">
        <v>8971</v>
      </c>
      <c r="H1681" s="1"/>
      <c r="I1681" s="1"/>
      <c r="J1681" s="2"/>
      <c r="K1681" s="5" t="s">
        <v>8978</v>
      </c>
      <c r="M1681" s="20" t="s">
        <v>10855</v>
      </c>
      <c r="N1681" s="1"/>
      <c r="O1681" s="1"/>
      <c r="P1681" s="21" t="b">
        <f>IF(ISNUMBER(MATCH($C1681,StackableKinds,0)), TRUE, "")</f>
        <v>1</v>
      </c>
      <c r="Q1681" s="2"/>
    </row>
    <row r="1682" spans="1:17" x14ac:dyDescent="0.2">
      <c r="A1682" s="19" t="str">
        <f>_xlfn.IFNA(VLOOKUP($B1682,Keys!$A:$B,2,FALSE),_xlfn.IFNA(VLOOKUP($B1682,Keys!$D:$E,2,FALSE),VLOOKUP($B1682,Keys!$G:$H,2,FALSE)))</f>
        <v>0x0000001D6A0C82B9</v>
      </c>
      <c r="B1682" s="5" t="s">
        <v>2906</v>
      </c>
      <c r="C1682" s="5" t="s">
        <v>12</v>
      </c>
      <c r="D1682" s="5" t="s">
        <v>16862</v>
      </c>
      <c r="E1682" s="5"/>
      <c r="F1682" s="1"/>
      <c r="G1682" s="5" t="s">
        <v>8971</v>
      </c>
      <c r="H1682" s="1"/>
      <c r="I1682" s="1"/>
      <c r="J1682" s="2"/>
      <c r="K1682" s="5" t="s">
        <v>9945</v>
      </c>
      <c r="M1682" s="20" t="s">
        <v>10971</v>
      </c>
      <c r="N1682" s="1"/>
      <c r="O1682" s="1"/>
      <c r="P1682" s="21" t="b">
        <f>IF(ISNUMBER(MATCH($C1682,StackableKinds,0)), TRUE, "")</f>
        <v>1</v>
      </c>
      <c r="Q1682" s="2"/>
    </row>
    <row r="1683" spans="1:17" x14ac:dyDescent="0.2">
      <c r="A1683" s="19" t="str">
        <f>_xlfn.IFNA(VLOOKUP($B1683,Keys!$A:$B,2,FALSE),_xlfn.IFNA(VLOOKUP($B1683,Keys!$D:$E,2,FALSE),VLOOKUP($B1683,Keys!$G:$H,2,FALSE)))</f>
        <v>0x0000001AEB44D2EE</v>
      </c>
      <c r="B1683" s="5" t="s">
        <v>1698</v>
      </c>
      <c r="C1683" s="5" t="s">
        <v>12</v>
      </c>
      <c r="D1683" s="5" t="s">
        <v>16862</v>
      </c>
      <c r="E1683" s="5"/>
      <c r="F1683" s="1"/>
      <c r="G1683" s="5" t="s">
        <v>8971</v>
      </c>
      <c r="H1683" s="1"/>
      <c r="I1683" s="1"/>
      <c r="J1683" s="2"/>
      <c r="K1683" s="5" t="s">
        <v>9478</v>
      </c>
      <c r="M1683" s="20" t="s">
        <v>10878</v>
      </c>
      <c r="N1683" s="1"/>
      <c r="O1683" s="1"/>
      <c r="P1683" s="21" t="b">
        <f>IF(ISNUMBER(MATCH($C1683,StackableKinds,0)), TRUE, "")</f>
        <v>1</v>
      </c>
    </row>
    <row r="1684" spans="1:17" x14ac:dyDescent="0.2">
      <c r="A1684" s="19" t="str">
        <f>_xlfn.IFNA(VLOOKUP($B1684,Keys!$A:$B,2,FALSE),_xlfn.IFNA(VLOOKUP($B1684,Keys!$D:$E,2,FALSE),VLOOKUP($B1684,Keys!$G:$H,2,FALSE)))</f>
        <v>0x000000177C76F841</v>
      </c>
      <c r="B1684" s="5" t="s">
        <v>1716</v>
      </c>
      <c r="C1684" s="5" t="s">
        <v>12</v>
      </c>
      <c r="D1684" s="5" t="s">
        <v>16862</v>
      </c>
      <c r="E1684" s="5"/>
      <c r="F1684" s="1"/>
      <c r="G1684" s="5" t="s">
        <v>8971</v>
      </c>
      <c r="H1684" s="1"/>
      <c r="I1684" s="1"/>
      <c r="J1684" s="2"/>
      <c r="K1684" s="5" t="s">
        <v>9485</v>
      </c>
      <c r="M1684" s="20" t="s">
        <v>10886</v>
      </c>
      <c r="N1684" s="1"/>
      <c r="O1684" s="1"/>
      <c r="P1684" s="21" t="b">
        <f>IF(ISNUMBER(MATCH($C1684,StackableKinds,0)), TRUE, "")</f>
        <v>1</v>
      </c>
    </row>
    <row r="1685" spans="1:17" x14ac:dyDescent="0.2">
      <c r="A1685" s="19" t="str">
        <f>_xlfn.IFNA(VLOOKUP($B1685,Keys!$A:$B,2,FALSE),_xlfn.IFNA(VLOOKUP($B1685,Keys!$D:$E,2,FALSE),VLOOKUP($B1685,Keys!$G:$H,2,FALSE)))</f>
        <v>0x00000019C1951D1A</v>
      </c>
      <c r="B1685" s="5" t="s">
        <v>5982</v>
      </c>
      <c r="C1685" s="5" t="s">
        <v>12</v>
      </c>
      <c r="D1685" s="5" t="s">
        <v>16862</v>
      </c>
      <c r="E1685" s="5"/>
      <c r="F1685" s="5" t="s">
        <v>10699</v>
      </c>
      <c r="G1685" s="1"/>
      <c r="H1685" s="1"/>
      <c r="I1685" s="1"/>
      <c r="J1685" s="2"/>
      <c r="K1685" s="5" t="s">
        <v>10702</v>
      </c>
      <c r="L1685" s="5"/>
      <c r="M1685" s="20" t="s">
        <v>11361</v>
      </c>
      <c r="N1685" s="1"/>
      <c r="O1685" s="1"/>
      <c r="P1685" s="21" t="b">
        <f>IF(ISNUMBER(MATCH($C1685,StackableKinds,0)), TRUE, "")</f>
        <v>1</v>
      </c>
      <c r="Q1685" s="2"/>
    </row>
    <row r="1686" spans="1:17" x14ac:dyDescent="0.2">
      <c r="A1686" s="19" t="str">
        <f>_xlfn.IFNA(VLOOKUP($B1686,Keys!$A:$B,2,FALSE),_xlfn.IFNA(VLOOKUP($B1686,Keys!$D:$E,2,FALSE),VLOOKUP($B1686,Keys!$G:$H,2,FALSE)))</f>
        <v>0x00000015B88A8DD1</v>
      </c>
      <c r="B1686" s="5" t="s">
        <v>5019</v>
      </c>
      <c r="C1686" s="5" t="s">
        <v>12</v>
      </c>
      <c r="D1686" s="5" t="s">
        <v>16862</v>
      </c>
      <c r="E1686" s="5"/>
      <c r="F1686" s="1"/>
      <c r="G1686" s="1"/>
      <c r="H1686" s="1"/>
      <c r="I1686" s="1"/>
      <c r="J1686" s="2"/>
      <c r="K1686" s="5" t="s">
        <v>10339</v>
      </c>
      <c r="M1686" s="20" t="s">
        <v>11070</v>
      </c>
      <c r="N1686" s="1"/>
      <c r="O1686" s="1"/>
      <c r="P1686" s="21" t="b">
        <f>IF(ISNUMBER(MATCH($C1686,StackableKinds,0)), TRUE, "")</f>
        <v>1</v>
      </c>
      <c r="Q1686" s="2"/>
    </row>
    <row r="1687" spans="1:17" x14ac:dyDescent="0.2">
      <c r="A1687" s="19" t="str">
        <f>_xlfn.IFNA(VLOOKUP($B1687,Keys!$A:$B,2,FALSE),_xlfn.IFNA(VLOOKUP($B1687,Keys!$D:$E,2,FALSE),VLOOKUP($B1687,Keys!$G:$H,2,FALSE)))</f>
        <v>0x0000001775C0B46A</v>
      </c>
      <c r="B1687" s="5" t="s">
        <v>1724</v>
      </c>
      <c r="C1687" s="5" t="s">
        <v>12</v>
      </c>
      <c r="D1687" s="5" t="s">
        <v>16862</v>
      </c>
      <c r="E1687" s="5"/>
      <c r="F1687" s="1"/>
      <c r="G1687" s="5" t="s">
        <v>8971</v>
      </c>
      <c r="H1687" s="1"/>
      <c r="I1687" s="1"/>
      <c r="J1687" s="2"/>
      <c r="K1687" s="5" t="s">
        <v>9488</v>
      </c>
      <c r="M1687" s="20" t="s">
        <v>10890</v>
      </c>
      <c r="N1687" s="1"/>
      <c r="O1687" s="1"/>
      <c r="P1687" s="21" t="b">
        <f>IF(ISNUMBER(MATCH($C1687,StackableKinds,0)), TRUE, "")</f>
        <v>1</v>
      </c>
    </row>
    <row r="1688" spans="1:17" x14ac:dyDescent="0.2">
      <c r="A1688" s="19" t="str">
        <f>_xlfn.IFNA(VLOOKUP($B1688,Keys!$A:$B,2,FALSE),_xlfn.IFNA(VLOOKUP($B1688,Keys!$D:$E,2,FALSE),VLOOKUP($B1688,Keys!$G:$H,2,FALSE)))</f>
        <v>0x00000016D5177253</v>
      </c>
      <c r="B1688" s="5" t="s">
        <v>1754</v>
      </c>
      <c r="C1688" s="5" t="s">
        <v>12</v>
      </c>
      <c r="D1688" s="5" t="s">
        <v>16862</v>
      </c>
      <c r="E1688" s="5"/>
      <c r="F1688" s="1"/>
      <c r="G1688" s="5" t="s">
        <v>8971</v>
      </c>
      <c r="H1688" s="1"/>
      <c r="I1688" s="1"/>
      <c r="J1688" s="2"/>
      <c r="K1688" s="5" t="s">
        <v>9498</v>
      </c>
      <c r="M1688" s="20" t="s">
        <v>10905</v>
      </c>
      <c r="N1688" s="1"/>
      <c r="O1688" s="1"/>
      <c r="P1688" s="21" t="b">
        <f>IF(ISNUMBER(MATCH($C1688,StackableKinds,0)), TRUE, "")</f>
        <v>1</v>
      </c>
    </row>
    <row r="1689" spans="1:17" x14ac:dyDescent="0.2">
      <c r="A1689" s="19" t="str">
        <f>_xlfn.IFNA(VLOOKUP($B1689,Keys!$A:$B,2,FALSE),_xlfn.IFNA(VLOOKUP($B1689,Keys!$D:$E,2,FALSE),VLOOKUP($B1689,Keys!$G:$H,2,FALSE)))</f>
        <v>0x00000015B31A0DD6</v>
      </c>
      <c r="B1689" s="5" t="s">
        <v>3032</v>
      </c>
      <c r="C1689" s="5" t="s">
        <v>12</v>
      </c>
      <c r="D1689" s="5" t="s">
        <v>16862</v>
      </c>
      <c r="E1689" s="5"/>
      <c r="F1689" s="5" t="s">
        <v>9981</v>
      </c>
      <c r="G1689" s="5" t="s">
        <v>8971</v>
      </c>
      <c r="H1689" s="1"/>
      <c r="I1689" s="1"/>
      <c r="J1689" s="2"/>
      <c r="K1689" s="5" t="s">
        <v>9984</v>
      </c>
      <c r="M1689" s="20" t="s">
        <v>10995</v>
      </c>
      <c r="N1689" s="1"/>
      <c r="O1689" s="1"/>
      <c r="P1689" s="21" t="b">
        <f>IF(ISNUMBER(MATCH($C1689,StackableKinds,0)), TRUE, "")</f>
        <v>1</v>
      </c>
      <c r="Q1689" s="2"/>
    </row>
    <row r="1690" spans="1:17" x14ac:dyDescent="0.2">
      <c r="A1690" s="19" t="str">
        <f>_xlfn.IFNA(VLOOKUP($B1690,Keys!$A:$B,2,FALSE),_xlfn.IFNA(VLOOKUP($B1690,Keys!$D:$E,2,FALSE),VLOOKUP($B1690,Keys!$G:$H,2,FALSE)))</f>
        <v>0x0000001A59252663</v>
      </c>
      <c r="B1690" s="5" t="s">
        <v>5187</v>
      </c>
      <c r="C1690" s="5" t="s">
        <v>12</v>
      </c>
      <c r="D1690" s="5" t="s">
        <v>16862</v>
      </c>
      <c r="E1690" s="5"/>
      <c r="F1690" s="5" t="s">
        <v>8971</v>
      </c>
      <c r="G1690" s="1"/>
      <c r="H1690" s="1"/>
      <c r="I1690" s="1"/>
      <c r="J1690" s="2"/>
      <c r="K1690" s="5" t="s">
        <v>10411</v>
      </c>
      <c r="M1690" s="20" t="s">
        <v>11088</v>
      </c>
      <c r="N1690" s="1"/>
      <c r="O1690" s="1"/>
      <c r="P1690" s="21" t="b">
        <f>IF(ISNUMBER(MATCH($C1690,StackableKinds,0)), TRUE, "")</f>
        <v>1</v>
      </c>
      <c r="Q1690" s="2"/>
    </row>
    <row r="1691" spans="1:17" x14ac:dyDescent="0.2">
      <c r="A1691" s="19" t="str">
        <f>_xlfn.IFNA(VLOOKUP($B1691,Keys!$A:$B,2,FALSE),_xlfn.IFNA(VLOOKUP($B1691,Keys!$D:$E,2,FALSE),VLOOKUP($B1691,Keys!$G:$H,2,FALSE)))</f>
        <v>0x000000170D239621</v>
      </c>
      <c r="B1691" s="5" t="s">
        <v>2954</v>
      </c>
      <c r="C1691" s="5" t="s">
        <v>12</v>
      </c>
      <c r="D1691" s="5" t="s">
        <v>16862</v>
      </c>
      <c r="E1691" s="5"/>
      <c r="F1691" s="5" t="s">
        <v>9956</v>
      </c>
      <c r="G1691" s="5" t="s">
        <v>8971</v>
      </c>
      <c r="H1691" s="1"/>
      <c r="I1691" s="1"/>
      <c r="J1691" s="2"/>
      <c r="K1691" s="5" t="s">
        <v>9958</v>
      </c>
      <c r="M1691" s="20" t="s">
        <v>10984</v>
      </c>
      <c r="N1691" s="1"/>
      <c r="O1691" s="1"/>
      <c r="P1691" s="21" t="b">
        <f>IF(ISNUMBER(MATCH($C1691,StackableKinds,0)), TRUE, "")</f>
        <v>1</v>
      </c>
      <c r="Q1691" s="2"/>
    </row>
    <row r="1692" spans="1:17" x14ac:dyDescent="0.2">
      <c r="A1692" s="19" t="str">
        <f>_xlfn.IFNA(VLOOKUP($B1692,Keys!$A:$B,2,FALSE),_xlfn.IFNA(VLOOKUP($B1692,Keys!$D:$E,2,FALSE),VLOOKUP($B1692,Keys!$G:$H,2,FALSE)))</f>
        <v>0x0000000A2ACA572E</v>
      </c>
      <c r="B1692" s="5" t="s">
        <v>2402</v>
      </c>
      <c r="C1692" s="5" t="s">
        <v>12</v>
      </c>
      <c r="D1692" s="5" t="s">
        <v>16862</v>
      </c>
      <c r="E1692" s="5"/>
      <c r="F1692" s="1"/>
      <c r="G1692" s="5" t="s">
        <v>8971</v>
      </c>
      <c r="H1692" s="1"/>
      <c r="I1692" s="1"/>
      <c r="J1692" s="2"/>
      <c r="K1692" s="5" t="s">
        <v>9787</v>
      </c>
      <c r="M1692" s="20" t="s">
        <v>10943</v>
      </c>
      <c r="N1692" s="1"/>
      <c r="O1692" s="1"/>
      <c r="P1692" s="21" t="b">
        <f>IF(ISNUMBER(MATCH($C1692,StackableKinds,0)), TRUE, "")</f>
        <v>1</v>
      </c>
      <c r="Q1692" s="2"/>
    </row>
    <row r="1693" spans="1:17" x14ac:dyDescent="0.2">
      <c r="A1693" s="19" t="str">
        <f>_xlfn.IFNA(VLOOKUP($B1693,Keys!$A:$B,2,FALSE),_xlfn.IFNA(VLOOKUP($B1693,Keys!$D:$E,2,FALSE),VLOOKUP($B1693,Keys!$G:$H,2,FALSE)))</f>
        <v>0x0000001350065376</v>
      </c>
      <c r="B1693" s="5" t="s">
        <v>2404</v>
      </c>
      <c r="C1693" s="5" t="s">
        <v>12</v>
      </c>
      <c r="D1693" s="5" t="s">
        <v>16862</v>
      </c>
      <c r="E1693" s="5"/>
      <c r="F1693" s="1"/>
      <c r="G1693" s="5" t="s">
        <v>8971</v>
      </c>
      <c r="H1693" s="1"/>
      <c r="I1693" s="1"/>
      <c r="J1693" s="2"/>
      <c r="K1693" s="5" t="s">
        <v>9787</v>
      </c>
      <c r="M1693" s="20" t="s">
        <v>10943</v>
      </c>
      <c r="N1693" s="1"/>
      <c r="O1693" s="1"/>
      <c r="P1693" s="21" t="b">
        <f>IF(ISNUMBER(MATCH($C1693,StackableKinds,0)), TRUE, "")</f>
        <v>1</v>
      </c>
      <c r="Q1693" s="2"/>
    </row>
    <row r="1694" spans="1:17" x14ac:dyDescent="0.2">
      <c r="A1694" s="19" t="str">
        <f>_xlfn.IFNA(VLOOKUP($B1694,Keys!$A:$B,2,FALSE),_xlfn.IFNA(VLOOKUP($B1694,Keys!$D:$E,2,FALSE),VLOOKUP($B1694,Keys!$G:$H,2,FALSE)))</f>
        <v>0x000000145F42DECD</v>
      </c>
      <c r="B1694" s="5" t="s">
        <v>2406</v>
      </c>
      <c r="C1694" s="5" t="s">
        <v>12</v>
      </c>
      <c r="D1694" s="5" t="s">
        <v>16862</v>
      </c>
      <c r="E1694" s="5"/>
      <c r="F1694" s="1"/>
      <c r="G1694" s="5" t="s">
        <v>8971</v>
      </c>
      <c r="H1694" s="1"/>
      <c r="I1694" s="1"/>
      <c r="J1694" s="2"/>
      <c r="K1694" s="5" t="s">
        <v>9787</v>
      </c>
      <c r="M1694" s="20" t="s">
        <v>10943</v>
      </c>
      <c r="N1694" s="1"/>
      <c r="O1694" s="1"/>
      <c r="P1694" s="21" t="b">
        <f>IF(ISNUMBER(MATCH($C1694,StackableKinds,0)), TRUE, "")</f>
        <v>1</v>
      </c>
      <c r="Q1694" s="2"/>
    </row>
    <row r="1695" spans="1:17" x14ac:dyDescent="0.2">
      <c r="A1695" s="19" t="str">
        <f>_xlfn.IFNA(VLOOKUP($B1695,Keys!$A:$B,2,FALSE),_xlfn.IFNA(VLOOKUP($B1695,Keys!$D:$E,2,FALSE),VLOOKUP($B1695,Keys!$G:$H,2,FALSE)))</f>
        <v>0x000000134531DF78</v>
      </c>
      <c r="B1695" s="5" t="s">
        <v>2408</v>
      </c>
      <c r="C1695" s="5" t="s">
        <v>12</v>
      </c>
      <c r="D1695" s="5" t="s">
        <v>16862</v>
      </c>
      <c r="E1695" s="5"/>
      <c r="F1695" s="1"/>
      <c r="G1695" s="5" t="s">
        <v>8971</v>
      </c>
      <c r="H1695" s="1"/>
      <c r="I1695" s="1"/>
      <c r="J1695" s="2"/>
      <c r="K1695" s="5" t="s">
        <v>9787</v>
      </c>
      <c r="M1695" s="20" t="s">
        <v>10943</v>
      </c>
      <c r="N1695" s="1"/>
      <c r="O1695" s="1"/>
      <c r="P1695" s="21" t="b">
        <f>IF(ISNUMBER(MATCH($C1695,StackableKinds,0)), TRUE, "")</f>
        <v>1</v>
      </c>
      <c r="Q1695" s="2"/>
    </row>
    <row r="1696" spans="1:17" x14ac:dyDescent="0.2">
      <c r="A1696" s="19" t="str">
        <f>_xlfn.IFNA(VLOOKUP($B1696,Keys!$A:$B,2,FALSE),_xlfn.IFNA(VLOOKUP($B1696,Keys!$D:$E,2,FALSE),VLOOKUP($B1696,Keys!$G:$H,2,FALSE)))</f>
        <v>0x000000190FA534D4</v>
      </c>
      <c r="B1696" s="5" t="s">
        <v>882</v>
      </c>
      <c r="C1696" s="5" t="s">
        <v>12</v>
      </c>
      <c r="D1696" s="5" t="s">
        <v>16862</v>
      </c>
      <c r="E1696" s="5"/>
      <c r="F1696" s="1"/>
      <c r="G1696" s="5" t="s">
        <v>8971</v>
      </c>
      <c r="H1696" s="1"/>
      <c r="I1696" s="1"/>
      <c r="J1696" s="2"/>
      <c r="K1696" s="5" t="s">
        <v>9196</v>
      </c>
      <c r="M1696" s="20" t="s">
        <v>9197</v>
      </c>
      <c r="N1696" s="1"/>
      <c r="O1696" s="1"/>
      <c r="P1696" s="21" t="b">
        <f>IF(ISNUMBER(MATCH($C1696,StackableKinds,0)), TRUE, "")</f>
        <v>1</v>
      </c>
      <c r="Q1696" s="2"/>
    </row>
    <row r="1697" spans="1:17" x14ac:dyDescent="0.2">
      <c r="A1697" s="19" t="str">
        <f>_xlfn.IFNA(VLOOKUP($B1697,Keys!$A:$B,2,FALSE),_xlfn.IFNA(VLOOKUP($B1697,Keys!$D:$E,2,FALSE),VLOOKUP($B1697,Keys!$G:$H,2,FALSE)))</f>
        <v>0x00000021021EBEE5</v>
      </c>
      <c r="B1697" s="5" t="s">
        <v>1690</v>
      </c>
      <c r="C1697" s="5" t="s">
        <v>12</v>
      </c>
      <c r="D1697" s="5" t="s">
        <v>16862</v>
      </c>
      <c r="E1697" s="5"/>
      <c r="F1697" s="1"/>
      <c r="G1697" s="5" t="s">
        <v>8971</v>
      </c>
      <c r="H1697" s="1"/>
      <c r="I1697" s="1"/>
      <c r="J1697" s="2"/>
      <c r="K1697" s="5" t="s">
        <v>9474</v>
      </c>
      <c r="M1697" s="20" t="s">
        <v>10874</v>
      </c>
      <c r="N1697" s="1"/>
      <c r="O1697" s="1"/>
      <c r="P1697" s="21" t="b">
        <f>IF(ISNUMBER(MATCH($C1697,StackableKinds,0)), TRUE, "")</f>
        <v>1</v>
      </c>
    </row>
    <row r="1698" spans="1:17" x14ac:dyDescent="0.2">
      <c r="A1698" s="19" t="str">
        <f>_xlfn.IFNA(VLOOKUP($B1698,Keys!$A:$B,2,FALSE),_xlfn.IFNA(VLOOKUP($B1698,Keys!$D:$E,2,FALSE),VLOOKUP($B1698,Keys!$G:$H,2,FALSE)))</f>
        <v>0x00000015C41D3D40</v>
      </c>
      <c r="B1698" s="5" t="s">
        <v>3030</v>
      </c>
      <c r="C1698" s="5" t="s">
        <v>12</v>
      </c>
      <c r="D1698" s="5" t="s">
        <v>16862</v>
      </c>
      <c r="E1698" s="5"/>
      <c r="F1698" s="5" t="s">
        <v>9981</v>
      </c>
      <c r="G1698" s="5" t="s">
        <v>8971</v>
      </c>
      <c r="H1698" s="1"/>
      <c r="I1698" s="1"/>
      <c r="J1698" s="2"/>
      <c r="K1698" s="5" t="s">
        <v>9983</v>
      </c>
      <c r="M1698" s="20" t="s">
        <v>10994</v>
      </c>
      <c r="N1698" s="1"/>
      <c r="O1698" s="1"/>
      <c r="P1698" s="21" t="b">
        <f>IF(ISNUMBER(MATCH($C1698,StackableKinds,0)), TRUE, "")</f>
        <v>1</v>
      </c>
      <c r="Q1698" s="2"/>
    </row>
    <row r="1699" spans="1:17" x14ac:dyDescent="0.2">
      <c r="A1699" s="19" t="str">
        <f>_xlfn.IFNA(VLOOKUP($B1699,Keys!$A:$B,2,FALSE),_xlfn.IFNA(VLOOKUP($B1699,Keys!$D:$E,2,FALSE),VLOOKUP($B1699,Keys!$G:$H,2,FALSE)))</f>
        <v>0x0000001AB72B474F</v>
      </c>
      <c r="B1699" s="5" t="s">
        <v>5183</v>
      </c>
      <c r="C1699" s="5" t="s">
        <v>12</v>
      </c>
      <c r="D1699" s="5" t="s">
        <v>16862</v>
      </c>
      <c r="E1699" s="5"/>
      <c r="F1699" s="5" t="s">
        <v>8971</v>
      </c>
      <c r="G1699" s="1"/>
      <c r="H1699" s="1"/>
      <c r="I1699" s="1"/>
      <c r="J1699" s="2"/>
      <c r="K1699" s="5" t="s">
        <v>10409</v>
      </c>
      <c r="M1699" s="20" t="s">
        <v>11086</v>
      </c>
      <c r="N1699" s="1"/>
      <c r="O1699" s="1"/>
      <c r="P1699" s="21" t="b">
        <f>IF(ISNUMBER(MATCH($C1699,StackableKinds,0)), TRUE, "")</f>
        <v>1</v>
      </c>
      <c r="Q1699" s="2"/>
    </row>
    <row r="1700" spans="1:17" x14ac:dyDescent="0.2">
      <c r="A1700" s="19" t="str">
        <f>_xlfn.IFNA(VLOOKUP($B1700,Keys!$A:$B,2,FALSE),_xlfn.IFNA(VLOOKUP($B1700,Keys!$D:$E,2,FALSE),VLOOKUP($B1700,Keys!$G:$H,2,FALSE)))</f>
        <v>0x0000001AF498D71A</v>
      </c>
      <c r="B1700" s="5" t="s">
        <v>2736</v>
      </c>
      <c r="C1700" s="5" t="s">
        <v>12</v>
      </c>
      <c r="D1700" s="5" t="s">
        <v>16862</v>
      </c>
      <c r="E1700" s="5"/>
      <c r="F1700" s="1"/>
      <c r="G1700" s="5" t="s">
        <v>8971</v>
      </c>
      <c r="H1700" s="1"/>
      <c r="I1700" s="1"/>
      <c r="J1700" s="2"/>
      <c r="K1700" s="5" t="s">
        <v>9874</v>
      </c>
      <c r="M1700" s="20" t="s">
        <v>10962</v>
      </c>
      <c r="N1700" s="1"/>
      <c r="O1700" s="1"/>
      <c r="P1700" s="21" t="b">
        <f>IF(ISNUMBER(MATCH($C1700,StackableKinds,0)), TRUE, "")</f>
        <v>1</v>
      </c>
    </row>
    <row r="1701" spans="1:17" x14ac:dyDescent="0.2">
      <c r="A1701" s="19" t="str">
        <f>_xlfn.IFNA(VLOOKUP($B1701,Keys!$A:$B,2,FALSE),_xlfn.IFNA(VLOOKUP($B1701,Keys!$D:$E,2,FALSE),VLOOKUP($B1701,Keys!$G:$H,2,FALSE)))</f>
        <v>0x0000001ABC0F0488</v>
      </c>
      <c r="B1701" s="5" t="s">
        <v>1768</v>
      </c>
      <c r="C1701" s="5" t="s">
        <v>12</v>
      </c>
      <c r="D1701" s="5" t="s">
        <v>16862</v>
      </c>
      <c r="E1701" s="5"/>
      <c r="F1701" s="1"/>
      <c r="G1701" s="5" t="s">
        <v>8971</v>
      </c>
      <c r="H1701" s="1"/>
      <c r="I1701" s="1"/>
      <c r="J1701" s="2"/>
      <c r="K1701" s="5" t="s">
        <v>9504</v>
      </c>
      <c r="M1701" s="20" t="s">
        <v>10912</v>
      </c>
      <c r="N1701" s="1"/>
      <c r="O1701" s="1"/>
      <c r="P1701" s="21" t="b">
        <f>IF(ISNUMBER(MATCH($C1701,StackableKinds,0)), TRUE, "")</f>
        <v>1</v>
      </c>
    </row>
    <row r="1702" spans="1:17" x14ac:dyDescent="0.2">
      <c r="A1702" s="19" t="str">
        <f>_xlfn.IFNA(VLOOKUP($B1702,Keys!$A:$B,2,FALSE),_xlfn.IFNA(VLOOKUP($B1702,Keys!$D:$E,2,FALSE),VLOOKUP($B1702,Keys!$G:$H,2,FALSE)))</f>
        <v>0x00000019E9ADCF28</v>
      </c>
      <c r="B1702" s="5" t="s">
        <v>5539</v>
      </c>
      <c r="C1702" s="5" t="s">
        <v>12</v>
      </c>
      <c r="D1702" s="5" t="s">
        <v>16862</v>
      </c>
      <c r="E1702" s="5"/>
      <c r="F1702" s="5" t="s">
        <v>10535</v>
      </c>
      <c r="G1702" s="1"/>
      <c r="H1702" s="1"/>
      <c r="I1702" s="1"/>
      <c r="J1702" s="2"/>
      <c r="K1702" s="5" t="s">
        <v>10539</v>
      </c>
      <c r="M1702" s="20" t="s">
        <v>11114</v>
      </c>
      <c r="N1702" s="1"/>
      <c r="O1702" s="1"/>
      <c r="P1702" s="21" t="b">
        <f>IF(ISNUMBER(MATCH($C1702,StackableKinds,0)), TRUE, "")</f>
        <v>1</v>
      </c>
      <c r="Q1702" s="2"/>
    </row>
    <row r="1703" spans="1:17" x14ac:dyDescent="0.2">
      <c r="A1703" s="19" t="str">
        <f>_xlfn.IFNA(VLOOKUP($B1703,Keys!$A:$B,2,FALSE),_xlfn.IFNA(VLOOKUP($B1703,Keys!$D:$E,2,FALSE),VLOOKUP($B1703,Keys!$G:$H,2,FALSE)))</f>
        <v>0x0000001750366F9B</v>
      </c>
      <c r="B1703" s="5" t="s">
        <v>1730</v>
      </c>
      <c r="C1703" s="5" t="s">
        <v>12</v>
      </c>
      <c r="D1703" s="5" t="s">
        <v>16862</v>
      </c>
      <c r="E1703" s="5"/>
      <c r="F1703" s="1"/>
      <c r="G1703" s="5" t="s">
        <v>8971</v>
      </c>
      <c r="H1703" s="1"/>
      <c r="I1703" s="1"/>
      <c r="J1703" s="2"/>
      <c r="K1703" s="5" t="s">
        <v>9490</v>
      </c>
      <c r="M1703" s="20" t="s">
        <v>10893</v>
      </c>
      <c r="N1703" s="1"/>
      <c r="O1703" s="1"/>
      <c r="P1703" s="21" t="b">
        <f>IF(ISNUMBER(MATCH($C1703,StackableKinds,0)), TRUE, "")</f>
        <v>1</v>
      </c>
    </row>
    <row r="1704" spans="1:17" x14ac:dyDescent="0.2">
      <c r="A1704" s="19" t="str">
        <f>_xlfn.IFNA(VLOOKUP($B1704,Keys!$A:$B,2,FALSE),_xlfn.IFNA(VLOOKUP($B1704,Keys!$D:$E,2,FALSE),VLOOKUP($B1704,Keys!$G:$H,2,FALSE)))</f>
        <v>0x0000001727315F0D</v>
      </c>
      <c r="B1704" s="5" t="s">
        <v>1732</v>
      </c>
      <c r="C1704" s="5" t="s">
        <v>12</v>
      </c>
      <c r="D1704" s="5" t="s">
        <v>16862</v>
      </c>
      <c r="E1704" s="5"/>
      <c r="F1704" s="1"/>
      <c r="G1704" s="5" t="s">
        <v>8971</v>
      </c>
      <c r="H1704" s="1"/>
      <c r="I1704" s="1"/>
      <c r="J1704" s="2"/>
      <c r="K1704" s="5" t="s">
        <v>9490</v>
      </c>
      <c r="M1704" s="20" t="s">
        <v>10894</v>
      </c>
      <c r="N1704" s="1"/>
      <c r="O1704" s="1"/>
      <c r="P1704" s="21" t="b">
        <f>IF(ISNUMBER(MATCH($C1704,StackableKinds,0)), TRUE, "")</f>
        <v>1</v>
      </c>
    </row>
    <row r="1705" spans="1:17" x14ac:dyDescent="0.2">
      <c r="A1705" s="19" t="str">
        <f>_xlfn.IFNA(VLOOKUP($B1705,Keys!$A:$B,2,FALSE),_xlfn.IFNA(VLOOKUP($B1705,Keys!$D:$E,2,FALSE),VLOOKUP($B1705,Keys!$G:$H,2,FALSE)))</f>
        <v>0x00000017C93F3E21</v>
      </c>
      <c r="B1705" s="5" t="s">
        <v>1736</v>
      </c>
      <c r="C1705" s="5" t="s">
        <v>12</v>
      </c>
      <c r="D1705" s="5" t="s">
        <v>16862</v>
      </c>
      <c r="E1705" s="5"/>
      <c r="F1705" s="1"/>
      <c r="G1705" s="5" t="s">
        <v>8971</v>
      </c>
      <c r="H1705" s="1"/>
      <c r="I1705" s="1"/>
      <c r="J1705" s="2"/>
      <c r="K1705" s="5" t="s">
        <v>9492</v>
      </c>
      <c r="M1705" s="20" t="s">
        <v>10896</v>
      </c>
      <c r="N1705" s="1"/>
      <c r="O1705" s="1"/>
      <c r="P1705" s="21" t="b">
        <f>IF(ISNUMBER(MATCH($C1705,StackableKinds,0)), TRUE, "")</f>
        <v>1</v>
      </c>
    </row>
    <row r="1706" spans="1:17" x14ac:dyDescent="0.2">
      <c r="A1706" s="19" t="str">
        <f>_xlfn.IFNA(VLOOKUP($B1706,Keys!$A:$B,2,FALSE),_xlfn.IFNA(VLOOKUP($B1706,Keys!$D:$E,2,FALSE),VLOOKUP($B1706,Keys!$G:$H,2,FALSE)))</f>
        <v>0x00000017575BAB82</v>
      </c>
      <c r="B1706" s="5" t="s">
        <v>1738</v>
      </c>
      <c r="C1706" s="5" t="s">
        <v>12</v>
      </c>
      <c r="D1706" s="5" t="s">
        <v>16862</v>
      </c>
      <c r="E1706" s="5"/>
      <c r="F1706" s="1"/>
      <c r="G1706" s="5" t="s">
        <v>8971</v>
      </c>
      <c r="H1706" s="1"/>
      <c r="I1706" s="1"/>
      <c r="J1706" s="2"/>
      <c r="K1706" s="5" t="s">
        <v>9492</v>
      </c>
      <c r="M1706" s="20" t="s">
        <v>10897</v>
      </c>
      <c r="N1706" s="1"/>
      <c r="O1706" s="1"/>
      <c r="P1706" s="21" t="b">
        <f>IF(ISNUMBER(MATCH($C1706,StackableKinds,0)), TRUE, "")</f>
        <v>1</v>
      </c>
    </row>
    <row r="1707" spans="1:17" x14ac:dyDescent="0.2">
      <c r="A1707" s="19" t="str">
        <f>_xlfn.IFNA(VLOOKUP($B1707,Keys!$A:$B,2,FALSE),_xlfn.IFNA(VLOOKUP($B1707,Keys!$D:$E,2,FALSE),VLOOKUP($B1707,Keys!$G:$H,2,FALSE)))</f>
        <v>0x0000001A839FE78C</v>
      </c>
      <c r="B1707" s="5" t="s">
        <v>2738</v>
      </c>
      <c r="C1707" s="5" t="s">
        <v>12</v>
      </c>
      <c r="D1707" s="5" t="s">
        <v>16862</v>
      </c>
      <c r="E1707" s="5"/>
      <c r="F1707" s="1"/>
      <c r="G1707" s="5" t="s">
        <v>8971</v>
      </c>
      <c r="H1707" s="1"/>
      <c r="I1707" s="1"/>
      <c r="J1707" s="2"/>
      <c r="K1707" s="5" t="s">
        <v>9875</v>
      </c>
      <c r="M1707" s="20" t="s">
        <v>10963</v>
      </c>
      <c r="N1707" s="1"/>
      <c r="O1707" s="1"/>
      <c r="P1707" s="21" t="b">
        <f>IF(ISNUMBER(MATCH($C1707,StackableKinds,0)), TRUE, "")</f>
        <v>1</v>
      </c>
    </row>
    <row r="1708" spans="1:17" x14ac:dyDescent="0.2">
      <c r="A1708" s="19" t="str">
        <f>_xlfn.IFNA(VLOOKUP($B1708,Keys!$A:$B,2,FALSE),_xlfn.IFNA(VLOOKUP($B1708,Keys!$D:$E,2,FALSE),VLOOKUP($B1708,Keys!$G:$H,2,FALSE)))</f>
        <v>0x000000179278996D</v>
      </c>
      <c r="B1708" s="5" t="s">
        <v>1720</v>
      </c>
      <c r="C1708" s="5" t="s">
        <v>12</v>
      </c>
      <c r="D1708" s="5" t="s">
        <v>16862</v>
      </c>
      <c r="E1708" s="5"/>
      <c r="F1708" s="1"/>
      <c r="G1708" s="5" t="s">
        <v>8971</v>
      </c>
      <c r="H1708" s="1"/>
      <c r="I1708" s="1"/>
      <c r="J1708" s="2"/>
      <c r="K1708" s="5" t="s">
        <v>9487</v>
      </c>
      <c r="M1708" s="20" t="s">
        <v>10888</v>
      </c>
      <c r="N1708" s="1"/>
      <c r="O1708" s="1"/>
      <c r="P1708" s="21" t="b">
        <f>IF(ISNUMBER(MATCH($C1708,StackableKinds,0)), TRUE, "")</f>
        <v>1</v>
      </c>
    </row>
    <row r="1709" spans="1:17" x14ac:dyDescent="0.2">
      <c r="A1709" s="19" t="str">
        <f>_xlfn.IFNA(VLOOKUP($B1709,Keys!$A:$B,2,FALSE),_xlfn.IFNA(VLOOKUP($B1709,Keys!$D:$E,2,FALSE),VLOOKUP($B1709,Keys!$G:$H,2,FALSE)))</f>
        <v>0x00000017E57FA9FB</v>
      </c>
      <c r="B1709" s="5" t="s">
        <v>1722</v>
      </c>
      <c r="C1709" s="5" t="s">
        <v>12</v>
      </c>
      <c r="D1709" s="5" t="s">
        <v>16862</v>
      </c>
      <c r="E1709" s="5"/>
      <c r="F1709" s="1"/>
      <c r="G1709" s="5" t="s">
        <v>8971</v>
      </c>
      <c r="H1709" s="1"/>
      <c r="I1709" s="1"/>
      <c r="J1709" s="2"/>
      <c r="K1709" s="5" t="s">
        <v>9487</v>
      </c>
      <c r="M1709" s="20" t="s">
        <v>10889</v>
      </c>
      <c r="N1709" s="1"/>
      <c r="O1709" s="1"/>
      <c r="P1709" s="21" t="b">
        <f>IF(ISNUMBER(MATCH($C1709,StackableKinds,0)), TRUE, "")</f>
        <v>1</v>
      </c>
    </row>
    <row r="1710" spans="1:17" x14ac:dyDescent="0.2">
      <c r="A1710" s="19" t="str">
        <f>_xlfn.IFNA(VLOOKUP($B1710,Keys!$A:$B,2,FALSE),_xlfn.IFNA(VLOOKUP($B1710,Keys!$D:$E,2,FALSE),VLOOKUP($B1710,Keys!$G:$H,2,FALSE)))</f>
        <v>0x00000015C8E0795E</v>
      </c>
      <c r="B1710" s="5" t="s">
        <v>5013</v>
      </c>
      <c r="C1710" s="5" t="s">
        <v>12</v>
      </c>
      <c r="D1710" s="5" t="s">
        <v>16862</v>
      </c>
      <c r="E1710" s="5"/>
      <c r="F1710" s="1"/>
      <c r="G1710" s="1"/>
      <c r="H1710" s="1"/>
      <c r="I1710" s="1"/>
      <c r="J1710" s="2"/>
      <c r="K1710" s="5" t="s">
        <v>10336</v>
      </c>
      <c r="M1710" s="20" t="s">
        <v>11067</v>
      </c>
      <c r="N1710" s="1"/>
      <c r="O1710" s="1"/>
      <c r="P1710" s="21" t="b">
        <f>IF(ISNUMBER(MATCH($C1710,StackableKinds,0)), TRUE, "")</f>
        <v>1</v>
      </c>
      <c r="Q1710" s="2"/>
    </row>
    <row r="1711" spans="1:17" x14ac:dyDescent="0.2">
      <c r="A1711" s="19" t="str">
        <f>_xlfn.IFNA(VLOOKUP($B1711,Keys!$A:$B,2,FALSE),_xlfn.IFNA(VLOOKUP($B1711,Keys!$D:$E,2,FALSE),VLOOKUP($B1711,Keys!$G:$H,2,FALSE)))</f>
        <v>0x00000017BE380EB7</v>
      </c>
      <c r="B1711" s="5" t="s">
        <v>1734</v>
      </c>
      <c r="C1711" s="5" t="s">
        <v>12</v>
      </c>
      <c r="D1711" s="5" t="s">
        <v>16862</v>
      </c>
      <c r="E1711" s="5"/>
      <c r="F1711" s="1"/>
      <c r="G1711" s="5" t="s">
        <v>8971</v>
      </c>
      <c r="H1711" s="1"/>
      <c r="I1711" s="1"/>
      <c r="J1711" s="2"/>
      <c r="K1711" s="5" t="s">
        <v>9491</v>
      </c>
      <c r="M1711" s="20" t="s">
        <v>10895</v>
      </c>
      <c r="N1711" s="1"/>
      <c r="O1711" s="1"/>
      <c r="P1711" s="21" t="b">
        <f>IF(ISNUMBER(MATCH($C1711,StackableKinds,0)), TRUE, "")</f>
        <v>1</v>
      </c>
    </row>
    <row r="1712" spans="1:17" x14ac:dyDescent="0.2">
      <c r="A1712" s="19" t="str">
        <f>_xlfn.IFNA(VLOOKUP($B1712,Keys!$A:$B,2,FALSE),_xlfn.IFNA(VLOOKUP($B1712,Keys!$D:$E,2,FALSE),VLOOKUP($B1712,Keys!$G:$H,2,FALSE)))</f>
        <v>0x0000001A6AFC42B9</v>
      </c>
      <c r="B1712" s="5" t="s">
        <v>2734</v>
      </c>
      <c r="C1712" s="5" t="s">
        <v>12</v>
      </c>
      <c r="D1712" s="5" t="s">
        <v>16862</v>
      </c>
      <c r="E1712" s="5"/>
      <c r="F1712" s="1"/>
      <c r="G1712" s="5" t="s">
        <v>8971</v>
      </c>
      <c r="H1712" s="1"/>
      <c r="I1712" s="1"/>
      <c r="J1712" s="2"/>
      <c r="K1712" s="5" t="s">
        <v>9873</v>
      </c>
      <c r="M1712" s="20" t="s">
        <v>10961</v>
      </c>
      <c r="N1712" s="1"/>
      <c r="O1712" s="1"/>
      <c r="P1712" s="21" t="b">
        <f>IF(ISNUMBER(MATCH($C1712,StackableKinds,0)), TRUE, "")</f>
        <v>1</v>
      </c>
    </row>
    <row r="1713" spans="1:17" x14ac:dyDescent="0.2">
      <c r="A1713" s="19" t="str">
        <f>_xlfn.IFNA(VLOOKUP($B1713,Keys!$A:$B,2,FALSE),_xlfn.IFNA(VLOOKUP($B1713,Keys!$D:$E,2,FALSE),VLOOKUP($B1713,Keys!$G:$H,2,FALSE)))</f>
        <v>0x0000001759D85DDA</v>
      </c>
      <c r="B1713" s="5" t="s">
        <v>5209</v>
      </c>
      <c r="C1713" s="5" t="s">
        <v>12</v>
      </c>
      <c r="D1713" s="5" t="s">
        <v>16862</v>
      </c>
      <c r="E1713" s="5"/>
      <c r="F1713" s="5" t="s">
        <v>8971</v>
      </c>
      <c r="G1713" s="1"/>
      <c r="H1713" s="1"/>
      <c r="I1713" s="1"/>
      <c r="J1713" s="2"/>
      <c r="K1713" s="5" t="s">
        <v>10414</v>
      </c>
      <c r="M1713" s="20" t="s">
        <v>11090</v>
      </c>
      <c r="N1713" s="1"/>
      <c r="O1713" s="1"/>
      <c r="P1713" s="21" t="b">
        <f>IF(ISNUMBER(MATCH($C1713,StackableKinds,0)), TRUE, "")</f>
        <v>1</v>
      </c>
      <c r="Q1713" s="2"/>
    </row>
    <row r="1714" spans="1:17" x14ac:dyDescent="0.2">
      <c r="A1714" s="19" t="str">
        <f>_xlfn.IFNA(VLOOKUP($B1714,Keys!$A:$B,2,FALSE),_xlfn.IFNA(VLOOKUP($B1714,Keys!$D:$E,2,FALSE),VLOOKUP($B1714,Keys!$G:$H,2,FALSE)))</f>
        <v>0x000000152183DC6B</v>
      </c>
      <c r="B1714" s="5" t="s">
        <v>5017</v>
      </c>
      <c r="C1714" s="5" t="s">
        <v>12</v>
      </c>
      <c r="D1714" s="5" t="s">
        <v>16862</v>
      </c>
      <c r="E1714" s="5"/>
      <c r="F1714" s="1"/>
      <c r="G1714" s="1"/>
      <c r="H1714" s="1"/>
      <c r="I1714" s="1"/>
      <c r="J1714" s="2"/>
      <c r="K1714" s="5" t="s">
        <v>10338</v>
      </c>
      <c r="M1714" s="20" t="s">
        <v>11069</v>
      </c>
      <c r="N1714" s="1"/>
      <c r="O1714" s="1"/>
      <c r="P1714" s="21" t="b">
        <f>IF(ISNUMBER(MATCH($C1714,StackableKinds,0)), TRUE, "")</f>
        <v>1</v>
      </c>
      <c r="Q1714" s="2"/>
    </row>
    <row r="1715" spans="1:17" x14ac:dyDescent="0.2">
      <c r="A1715" s="19" t="str">
        <f>_xlfn.IFNA(VLOOKUP($B1715,Keys!$A:$B,2,FALSE),_xlfn.IFNA(VLOOKUP($B1715,Keys!$D:$E,2,FALSE),VLOOKUP($B1715,Keys!$G:$H,2,FALSE)))</f>
        <v>0x0000001B3C1B82CA</v>
      </c>
      <c r="B1715" s="5" t="s">
        <v>2086</v>
      </c>
      <c r="C1715" s="5" t="s">
        <v>12</v>
      </c>
      <c r="D1715" s="5" t="s">
        <v>16862</v>
      </c>
      <c r="E1715" s="5"/>
      <c r="F1715" s="1"/>
      <c r="G1715" s="5" t="s">
        <v>8971</v>
      </c>
      <c r="H1715" s="1"/>
      <c r="I1715" s="1"/>
      <c r="J1715" s="2"/>
      <c r="K1715" s="5" t="s">
        <v>9640</v>
      </c>
      <c r="M1715" s="20" t="s">
        <v>10935</v>
      </c>
      <c r="N1715" s="1"/>
      <c r="O1715" s="1"/>
      <c r="P1715" s="21" t="b">
        <f>IF(ISNUMBER(MATCH($C1715,StackableKinds,0)), TRUE, "")</f>
        <v>1</v>
      </c>
      <c r="Q1715" s="2"/>
    </row>
    <row r="1716" spans="1:17" x14ac:dyDescent="0.2">
      <c r="A1716" s="19" t="str">
        <f>_xlfn.IFNA(VLOOKUP($B1716,Keys!$A:$B,2,FALSE),_xlfn.IFNA(VLOOKUP($B1716,Keys!$D:$E,2,FALSE),VLOOKUP($B1716,Keys!$G:$H,2,FALSE)))</f>
        <v>0x000000163B19137F</v>
      </c>
      <c r="B1716" s="5" t="s">
        <v>1758</v>
      </c>
      <c r="C1716" s="5" t="s">
        <v>12</v>
      </c>
      <c r="D1716" s="5" t="s">
        <v>16862</v>
      </c>
      <c r="E1716" s="5"/>
      <c r="F1716" s="1"/>
      <c r="G1716" s="5" t="s">
        <v>8971</v>
      </c>
      <c r="H1716" s="1"/>
      <c r="I1716" s="1"/>
      <c r="J1716" s="2"/>
      <c r="K1716" s="5" t="s">
        <v>9500</v>
      </c>
      <c r="M1716" s="20" t="s">
        <v>10907</v>
      </c>
      <c r="N1716" s="1"/>
      <c r="O1716" s="1"/>
      <c r="P1716" s="21" t="b">
        <f>IF(ISNUMBER(MATCH($C1716,StackableKinds,0)), TRUE, "")</f>
        <v>1</v>
      </c>
    </row>
    <row r="1717" spans="1:17" x14ac:dyDescent="0.2">
      <c r="A1717" s="19" t="str">
        <f>_xlfn.IFNA(VLOOKUP($B1717,Keys!$A:$B,2,FALSE),_xlfn.IFNA(VLOOKUP($B1717,Keys!$D:$E,2,FALSE),VLOOKUP($B1717,Keys!$G:$H,2,FALSE)))</f>
        <v>0x000000177B1B3C58</v>
      </c>
      <c r="B1717" s="5" t="s">
        <v>1708</v>
      </c>
      <c r="C1717" s="5" t="s">
        <v>12</v>
      </c>
      <c r="D1717" s="5" t="s">
        <v>16862</v>
      </c>
      <c r="E1717" s="5"/>
      <c r="F1717" s="1"/>
      <c r="G1717" s="5" t="s">
        <v>8971</v>
      </c>
      <c r="H1717" s="1"/>
      <c r="I1717" s="1"/>
      <c r="J1717" s="2"/>
      <c r="K1717" s="5" t="s">
        <v>9482</v>
      </c>
      <c r="M1717" s="20" t="s">
        <v>10882</v>
      </c>
      <c r="N1717" s="1"/>
      <c r="O1717" s="1"/>
      <c r="P1717" s="21" t="b">
        <f>IF(ISNUMBER(MATCH($C1717,StackableKinds,0)), TRUE, "")</f>
        <v>1</v>
      </c>
    </row>
    <row r="1718" spans="1:17" x14ac:dyDescent="0.2">
      <c r="A1718" s="19" t="str">
        <f>_xlfn.IFNA(VLOOKUP($B1718,Keys!$A:$B,2,FALSE),_xlfn.IFNA(VLOOKUP($B1718,Keys!$D:$E,2,FALSE),VLOOKUP($B1718,Keys!$G:$H,2,FALSE)))</f>
        <v>0x0000001A933ED082</v>
      </c>
      <c r="B1718" s="5" t="s">
        <v>5711</v>
      </c>
      <c r="C1718" s="5" t="s">
        <v>12</v>
      </c>
      <c r="D1718" s="5" t="s">
        <v>16862</v>
      </c>
      <c r="E1718" s="5"/>
      <c r="F1718" s="5" t="s">
        <v>10559</v>
      </c>
      <c r="G1718" s="1"/>
      <c r="H1718" s="1"/>
      <c r="I1718" s="1"/>
      <c r="J1718" s="2"/>
      <c r="K1718" s="5" t="s">
        <v>10560</v>
      </c>
      <c r="L1718" s="5"/>
      <c r="M1718" s="20" t="s">
        <v>10561</v>
      </c>
      <c r="N1718" s="1"/>
      <c r="O1718" s="1"/>
      <c r="P1718" s="21" t="b">
        <f>IF(ISNUMBER(MATCH($C1718,StackableKinds,0)), TRUE, "")</f>
        <v>1</v>
      </c>
      <c r="Q1718" s="2"/>
    </row>
    <row r="1719" spans="1:17" x14ac:dyDescent="0.2">
      <c r="A1719" s="19" t="str">
        <f>_xlfn.IFNA(VLOOKUP($B1719,Keys!$A:$B,2,FALSE),_xlfn.IFNA(VLOOKUP($B1719,Keys!$D:$E,2,FALSE),VLOOKUP($B1719,Keys!$G:$H,2,FALSE)))</f>
        <v>0x00000019589C4CA0</v>
      </c>
      <c r="B1719" s="5" t="s">
        <v>5980</v>
      </c>
      <c r="C1719" s="5" t="s">
        <v>12</v>
      </c>
      <c r="D1719" s="5" t="s">
        <v>16862</v>
      </c>
      <c r="E1719" s="5"/>
      <c r="F1719" s="5" t="s">
        <v>10699</v>
      </c>
      <c r="G1719" s="1"/>
      <c r="H1719" s="1"/>
      <c r="I1719" s="1"/>
      <c r="J1719" s="2"/>
      <c r="K1719" s="5" t="s">
        <v>10700</v>
      </c>
      <c r="L1719" s="5"/>
      <c r="M1719" s="20" t="s">
        <v>10701</v>
      </c>
      <c r="N1719" s="1"/>
      <c r="O1719" s="1"/>
      <c r="P1719" s="21" t="b">
        <f>IF(ISNUMBER(MATCH($C1719,StackableKinds,0)), TRUE, "")</f>
        <v>1</v>
      </c>
      <c r="Q1719" s="2"/>
    </row>
    <row r="1720" spans="1:17" x14ac:dyDescent="0.2">
      <c r="A1720" s="19" t="str">
        <f>_xlfn.IFNA(VLOOKUP($B1720,Keys!$A:$B,2,FALSE),_xlfn.IFNA(VLOOKUP($B1720,Keys!$D:$E,2,FALSE),VLOOKUP($B1720,Keys!$G:$H,2,FALSE)))</f>
        <v>0x00000017B7D63CF6</v>
      </c>
      <c r="B1720" s="5" t="s">
        <v>5213</v>
      </c>
      <c r="C1720" s="5" t="s">
        <v>12</v>
      </c>
      <c r="D1720" s="5" t="s">
        <v>16862</v>
      </c>
      <c r="E1720" s="5"/>
      <c r="F1720" s="5" t="s">
        <v>8971</v>
      </c>
      <c r="G1720" s="1"/>
      <c r="H1720" s="1"/>
      <c r="I1720" s="1"/>
      <c r="J1720" s="2"/>
      <c r="K1720" s="5" t="s">
        <v>10416</v>
      </c>
      <c r="M1720" s="20" t="s">
        <v>11092</v>
      </c>
      <c r="N1720" s="1"/>
      <c r="O1720" s="1"/>
      <c r="P1720" s="21" t="b">
        <f>IF(ISNUMBER(MATCH($C1720,StackableKinds,0)), TRUE, "")</f>
        <v>1</v>
      </c>
      <c r="Q1720" s="2"/>
    </row>
    <row r="1721" spans="1:17" x14ac:dyDescent="0.2">
      <c r="A1721" s="19" t="str">
        <f>_xlfn.IFNA(VLOOKUP($B1721,Keys!$A:$B,2,FALSE),_xlfn.IFNA(VLOOKUP($B1721,Keys!$D:$E,2,FALSE),VLOOKUP($B1721,Keys!$G:$H,2,FALSE)))</f>
        <v>0x0000001BD57827FF</v>
      </c>
      <c r="B1721" s="5" t="s">
        <v>2090</v>
      </c>
      <c r="C1721" s="5" t="s">
        <v>12</v>
      </c>
      <c r="D1721" s="5" t="s">
        <v>16862</v>
      </c>
      <c r="E1721" s="5"/>
      <c r="F1721" s="1"/>
      <c r="G1721" s="5" t="s">
        <v>8971</v>
      </c>
      <c r="H1721" s="1"/>
      <c r="I1721" s="1"/>
      <c r="J1721" s="2"/>
      <c r="K1721" s="5" t="s">
        <v>9642</v>
      </c>
      <c r="M1721" s="20" t="s">
        <v>10937</v>
      </c>
      <c r="N1721" s="1"/>
      <c r="O1721" s="1"/>
      <c r="P1721" s="21" t="b">
        <f>IF(ISNUMBER(MATCH($C1721,StackableKinds,0)), TRUE, "")</f>
        <v>1</v>
      </c>
      <c r="Q1721" s="2"/>
    </row>
    <row r="1722" spans="1:17" x14ac:dyDescent="0.2">
      <c r="A1722" s="19" t="str">
        <f>_xlfn.IFNA(VLOOKUP($B1722,Keys!$A:$B,2,FALSE),_xlfn.IFNA(VLOOKUP($B1722,Keys!$D:$E,2,FALSE),VLOOKUP($B1722,Keys!$G:$H,2,FALSE)))</f>
        <v>0x0000001A2E2216F5</v>
      </c>
      <c r="B1722" s="5" t="s">
        <v>5185</v>
      </c>
      <c r="C1722" s="5" t="s">
        <v>12</v>
      </c>
      <c r="D1722" s="5" t="s">
        <v>16862</v>
      </c>
      <c r="E1722" s="5"/>
      <c r="F1722" s="5" t="s">
        <v>8971</v>
      </c>
      <c r="G1722" s="1"/>
      <c r="H1722" s="1"/>
      <c r="I1722" s="1"/>
      <c r="J1722" s="2"/>
      <c r="K1722" s="5" t="s">
        <v>10410</v>
      </c>
      <c r="M1722" s="20" t="s">
        <v>11087</v>
      </c>
      <c r="N1722" s="1"/>
      <c r="O1722" s="1"/>
      <c r="P1722" s="21" t="b">
        <f>IF(ISNUMBER(MATCH($C1722,StackableKinds,0)), TRUE, "")</f>
        <v>1</v>
      </c>
      <c r="Q1722" s="2"/>
    </row>
    <row r="1723" spans="1:17" x14ac:dyDescent="0.2">
      <c r="A1723" s="19" t="str">
        <f>_xlfn.IFNA(VLOOKUP($B1723,Keys!$A:$B,2,FALSE),_xlfn.IFNA(VLOOKUP($B1723,Keys!$D:$E,2,FALSE),VLOOKUP($B1723,Keys!$G:$H,2,FALSE)))</f>
        <v>0x0000001A9453149B</v>
      </c>
      <c r="B1723" s="5" t="s">
        <v>5718</v>
      </c>
      <c r="C1723" s="5" t="s">
        <v>12</v>
      </c>
      <c r="D1723" s="5" t="s">
        <v>16862</v>
      </c>
      <c r="E1723" s="5"/>
      <c r="F1723" s="5" t="s">
        <v>10559</v>
      </c>
      <c r="G1723" s="1"/>
      <c r="H1723" s="1"/>
      <c r="I1723" s="1"/>
      <c r="J1723" s="2"/>
      <c r="K1723" s="5" t="s">
        <v>10566</v>
      </c>
      <c r="L1723" s="5"/>
      <c r="M1723" s="20" t="s">
        <v>10567</v>
      </c>
      <c r="N1723" s="1"/>
      <c r="O1723" s="1"/>
      <c r="P1723" s="21" t="b">
        <f>IF(ISNUMBER(MATCH($C1723,StackableKinds,0)), TRUE, "")</f>
        <v>1</v>
      </c>
      <c r="Q1723" s="2"/>
    </row>
    <row r="1724" spans="1:17" x14ac:dyDescent="0.2">
      <c r="A1724" s="19" t="str">
        <f>_xlfn.IFNA(VLOOKUP($B1724,Keys!$A:$B,2,FALSE),_xlfn.IFNA(VLOOKUP($B1724,Keys!$D:$E,2,FALSE),VLOOKUP($B1724,Keys!$G:$H,2,FALSE)))</f>
        <v>0x0000001BA512D370</v>
      </c>
      <c r="B1724" s="5" t="s">
        <v>2084</v>
      </c>
      <c r="C1724" s="5" t="s">
        <v>12</v>
      </c>
      <c r="D1724" s="5" t="s">
        <v>16862</v>
      </c>
      <c r="E1724" s="5"/>
      <c r="F1724" s="1"/>
      <c r="G1724" s="5" t="s">
        <v>8971</v>
      </c>
      <c r="H1724" s="1"/>
      <c r="I1724" s="1"/>
      <c r="J1724" s="2"/>
      <c r="K1724" s="5" t="s">
        <v>9639</v>
      </c>
      <c r="M1724" s="20" t="s">
        <v>10934</v>
      </c>
      <c r="N1724" s="1"/>
      <c r="O1724" s="1"/>
      <c r="P1724" s="21" t="b">
        <f>IF(ISNUMBER(MATCH($C1724,StackableKinds,0)), TRUE, "")</f>
        <v>1</v>
      </c>
      <c r="Q1724" s="2"/>
    </row>
    <row r="1725" spans="1:17" x14ac:dyDescent="0.2">
      <c r="A1725" s="19" t="str">
        <f>_xlfn.IFNA(VLOOKUP($B1725,Keys!$A:$B,2,FALSE),_xlfn.IFNA(VLOOKUP($B1725,Keys!$D:$E,2,FALSE),VLOOKUP($B1725,Keys!$G:$H,2,FALSE)))</f>
        <v>0x0000001A01A09028</v>
      </c>
      <c r="B1725" s="5" t="s">
        <v>5533</v>
      </c>
      <c r="C1725" s="5" t="s">
        <v>12</v>
      </c>
      <c r="D1725" s="5" t="s">
        <v>16862</v>
      </c>
      <c r="E1725" s="5"/>
      <c r="F1725" s="5" t="s">
        <v>10535</v>
      </c>
      <c r="G1725" s="1"/>
      <c r="H1725" s="1"/>
      <c r="I1725" s="1"/>
      <c r="J1725" s="2"/>
      <c r="K1725" s="5" t="s">
        <v>10536</v>
      </c>
      <c r="M1725" s="20" t="s">
        <v>11111</v>
      </c>
      <c r="N1725" s="1"/>
      <c r="O1725" s="1"/>
      <c r="P1725" s="21" t="b">
        <f>IF(ISNUMBER(MATCH($C1725,StackableKinds,0)), TRUE, "")</f>
        <v>1</v>
      </c>
      <c r="Q1725" s="2"/>
    </row>
    <row r="1726" spans="1:17" x14ac:dyDescent="0.2">
      <c r="A1726" s="19" t="str">
        <f>_xlfn.IFNA(VLOOKUP($B1726,Keys!$A:$B,2,FALSE),_xlfn.IFNA(VLOOKUP($B1726,Keys!$D:$E,2,FALSE),VLOOKUP($B1726,Keys!$G:$H,2,FALSE)))</f>
        <v>0x0000001A7D30B1AE</v>
      </c>
      <c r="B1726" s="5" t="s">
        <v>5714</v>
      </c>
      <c r="C1726" s="5" t="s">
        <v>12</v>
      </c>
      <c r="D1726" s="5" t="s">
        <v>16862</v>
      </c>
      <c r="E1726" s="5"/>
      <c r="F1726" s="5" t="s">
        <v>10559</v>
      </c>
      <c r="G1726" s="1"/>
      <c r="H1726" s="1"/>
      <c r="I1726" s="1"/>
      <c r="J1726" s="2"/>
      <c r="K1726" s="5" t="s">
        <v>10562</v>
      </c>
      <c r="L1726" s="5"/>
      <c r="M1726" s="20" t="s">
        <v>10563</v>
      </c>
      <c r="N1726" s="1"/>
      <c r="O1726" s="1"/>
      <c r="P1726" s="21" t="b">
        <f>IF(ISNUMBER(MATCH($C1726,StackableKinds,0)), TRUE, "")</f>
        <v>1</v>
      </c>
      <c r="Q1726" s="2"/>
    </row>
    <row r="1727" spans="1:17" x14ac:dyDescent="0.2">
      <c r="A1727" s="19" t="str">
        <f>_xlfn.IFNA(VLOOKUP($B1727,Keys!$A:$B,2,FALSE),_xlfn.IFNA(VLOOKUP($B1727,Keys!$D:$E,2,FALSE),VLOOKUP($B1727,Keys!$G:$H,2,FALSE)))</f>
        <v>0x000000180B27FE22</v>
      </c>
      <c r="B1727" s="5" t="s">
        <v>2748</v>
      </c>
      <c r="C1727" s="5" t="s">
        <v>12</v>
      </c>
      <c r="D1727" s="5" t="s">
        <v>16862</v>
      </c>
      <c r="E1727" s="5"/>
      <c r="F1727" s="5" t="s">
        <v>9880</v>
      </c>
      <c r="G1727" s="5" t="s">
        <v>8971</v>
      </c>
      <c r="H1727" s="1"/>
      <c r="I1727" s="1"/>
      <c r="J1727" s="2"/>
      <c r="K1727" s="5" t="s">
        <v>9882</v>
      </c>
      <c r="M1727" s="20" t="s">
        <v>10966</v>
      </c>
      <c r="N1727" s="1"/>
      <c r="O1727" s="1"/>
      <c r="P1727" s="21" t="b">
        <f>IF(ISNUMBER(MATCH($C1727,StackableKinds,0)), TRUE, "")</f>
        <v>1</v>
      </c>
      <c r="Q1727" s="2"/>
    </row>
    <row r="1728" spans="1:17" x14ac:dyDescent="0.2">
      <c r="A1728" s="19" t="str">
        <f>_xlfn.IFNA(VLOOKUP($B1728,Keys!$A:$B,2,FALSE),_xlfn.IFNA(VLOOKUP($B1728,Keys!$D:$E,2,FALSE),VLOOKUP($B1728,Keys!$G:$H,2,FALSE)))</f>
        <v>0x0000001729B2A955</v>
      </c>
      <c r="B1728" s="5" t="s">
        <v>5215</v>
      </c>
      <c r="C1728" s="5" t="s">
        <v>12</v>
      </c>
      <c r="D1728" s="5" t="s">
        <v>16862</v>
      </c>
      <c r="E1728" s="5"/>
      <c r="F1728" s="5" t="s">
        <v>8971</v>
      </c>
      <c r="G1728" s="1"/>
      <c r="H1728" s="1"/>
      <c r="I1728" s="1"/>
      <c r="J1728" s="2"/>
      <c r="K1728" s="5" t="s">
        <v>10417</v>
      </c>
      <c r="M1728" s="20" t="s">
        <v>11360</v>
      </c>
      <c r="N1728" s="1"/>
      <c r="O1728" s="1"/>
      <c r="P1728" s="21" t="b">
        <f>IF(ISNUMBER(MATCH($C1728,StackableKinds,0)), TRUE, "")</f>
        <v>1</v>
      </c>
      <c r="Q1728" s="2"/>
    </row>
    <row r="1729" spans="1:17" x14ac:dyDescent="0.2">
      <c r="A1729" s="19" t="str">
        <f>_xlfn.IFNA(VLOOKUP($B1729,Keys!$A:$B,2,FALSE),_xlfn.IFNA(VLOOKUP($B1729,Keys!$D:$E,2,FALSE),VLOOKUP($B1729,Keys!$G:$H,2,FALSE)))</f>
        <v>0x00000017C0D10C60</v>
      </c>
      <c r="B1729" s="5" t="s">
        <v>5211</v>
      </c>
      <c r="C1729" s="5" t="s">
        <v>12</v>
      </c>
      <c r="D1729" s="5" t="s">
        <v>16862</v>
      </c>
      <c r="E1729" s="5"/>
      <c r="F1729" s="5" t="s">
        <v>8971</v>
      </c>
      <c r="G1729" s="1"/>
      <c r="H1729" s="1"/>
      <c r="I1729" s="1"/>
      <c r="J1729" s="2"/>
      <c r="K1729" s="5" t="s">
        <v>10415</v>
      </c>
      <c r="M1729" s="20" t="s">
        <v>11091</v>
      </c>
      <c r="N1729" s="1"/>
      <c r="O1729" s="1"/>
      <c r="P1729" s="21" t="b">
        <f>IF(ISNUMBER(MATCH($C1729,StackableKinds,0)), TRUE, "")</f>
        <v>1</v>
      </c>
      <c r="Q1729" s="2"/>
    </row>
    <row r="1730" spans="1:17" x14ac:dyDescent="0.2">
      <c r="A1730" s="19" t="str">
        <f>_xlfn.IFNA(VLOOKUP($B1730,Keys!$A:$B,2,FALSE),_xlfn.IFNA(VLOOKUP($B1730,Keys!$D:$E,2,FALSE),VLOOKUP($B1730,Keys!$G:$H,2,FALSE)))</f>
        <v>0x0000001795155D74</v>
      </c>
      <c r="B1730" s="5" t="s">
        <v>1712</v>
      </c>
      <c r="C1730" s="5" t="s">
        <v>12</v>
      </c>
      <c r="D1730" s="5" t="s">
        <v>16862</v>
      </c>
      <c r="E1730" s="5"/>
      <c r="F1730" s="1"/>
      <c r="G1730" s="5" t="s">
        <v>8971</v>
      </c>
      <c r="H1730" s="1"/>
      <c r="I1730" s="1"/>
      <c r="J1730" s="2"/>
      <c r="K1730" s="5" t="s">
        <v>9484</v>
      </c>
      <c r="M1730" s="20" t="s">
        <v>10884</v>
      </c>
      <c r="N1730" s="1"/>
      <c r="O1730" s="1"/>
      <c r="P1730" s="21" t="b">
        <f>IF(ISNUMBER(MATCH($C1730,StackableKinds,0)), TRUE, "")</f>
        <v>1</v>
      </c>
    </row>
    <row r="1731" spans="1:17" x14ac:dyDescent="0.2">
      <c r="A1731" s="19" t="str">
        <f>_xlfn.IFNA(VLOOKUP($B1731,Keys!$A:$B,2,FALSE),_xlfn.IFNA(VLOOKUP($B1731,Keys!$D:$E,2,FALSE),VLOOKUP($B1731,Keys!$G:$H,2,FALSE)))</f>
        <v>0x00000017E2126DE2</v>
      </c>
      <c r="B1731" s="5" t="s">
        <v>1714</v>
      </c>
      <c r="C1731" s="5" t="s">
        <v>12</v>
      </c>
      <c r="D1731" s="5" t="s">
        <v>16862</v>
      </c>
      <c r="E1731" s="5"/>
      <c r="F1731" s="1"/>
      <c r="G1731" s="5" t="s">
        <v>8971</v>
      </c>
      <c r="H1731" s="1"/>
      <c r="I1731" s="1"/>
      <c r="J1731" s="2"/>
      <c r="K1731" s="5" t="s">
        <v>9484</v>
      </c>
      <c r="M1731" s="20" t="s">
        <v>10885</v>
      </c>
      <c r="N1731" s="1"/>
      <c r="O1731" s="1"/>
      <c r="P1731" s="21" t="b">
        <f>IF(ISNUMBER(MATCH($C1731,StackableKinds,0)), TRUE, "")</f>
        <v>1</v>
      </c>
    </row>
    <row r="1732" spans="1:17" x14ac:dyDescent="0.2">
      <c r="A1732" s="19" t="str">
        <f>_xlfn.IFNA(VLOOKUP($B1732,Keys!$A:$B,2,FALSE),_xlfn.IFNA(VLOOKUP($B1732,Keys!$D:$E,2,FALSE),VLOOKUP($B1732,Keys!$G:$H,2,FALSE)))</f>
        <v>0x0000001A226B912B</v>
      </c>
      <c r="B1732" s="5" t="s">
        <v>1774</v>
      </c>
      <c r="C1732" s="5" t="s">
        <v>12</v>
      </c>
      <c r="D1732" s="5" t="s">
        <v>16862</v>
      </c>
      <c r="E1732" s="5"/>
      <c r="F1732" s="1"/>
      <c r="G1732" s="5" t="s">
        <v>8971</v>
      </c>
      <c r="H1732" s="1"/>
      <c r="I1732" s="1"/>
      <c r="J1732" s="2"/>
      <c r="K1732" s="5" t="s">
        <v>9484</v>
      </c>
      <c r="M1732" s="20" t="s">
        <v>10915</v>
      </c>
      <c r="N1732" s="1"/>
      <c r="O1732" s="1"/>
      <c r="P1732" s="21" t="b">
        <f>IF(ISNUMBER(MATCH($C1732,StackableKinds,0)), TRUE, "")</f>
        <v>1</v>
      </c>
    </row>
    <row r="1733" spans="1:17" x14ac:dyDescent="0.2">
      <c r="A1733" s="19" t="str">
        <f>_xlfn.IFNA(VLOOKUP($B1733,Keys!$A:$B,2,FALSE),_xlfn.IFNA(VLOOKUP($B1733,Keys!$D:$E,2,FALSE),VLOOKUP($B1733,Keys!$G:$H,2,FALSE)))</f>
        <v>0x00000021EB7D1BD0</v>
      </c>
      <c r="B1733" s="5" t="s">
        <v>1686</v>
      </c>
      <c r="C1733" s="5" t="s">
        <v>12</v>
      </c>
      <c r="D1733" s="5" t="s">
        <v>16862</v>
      </c>
      <c r="E1733" s="5"/>
      <c r="F1733" s="1"/>
      <c r="G1733" s="5" t="s">
        <v>8971</v>
      </c>
      <c r="H1733" s="1"/>
      <c r="I1733" s="1"/>
      <c r="J1733" s="2"/>
      <c r="K1733" s="5" t="s">
        <v>9472</v>
      </c>
      <c r="M1733" s="20" t="s">
        <v>10872</v>
      </c>
      <c r="N1733" s="1"/>
      <c r="O1733" s="1"/>
      <c r="P1733" s="21" t="b">
        <f>IF(ISNUMBER(MATCH($C1733,StackableKinds,0)), TRUE, "")</f>
        <v>1</v>
      </c>
    </row>
    <row r="1734" spans="1:17" x14ac:dyDescent="0.2">
      <c r="A1734" s="19" t="str">
        <f>_xlfn.IFNA(VLOOKUP($B1734,Keys!$A:$B,2,FALSE),_xlfn.IFNA(VLOOKUP($B1734,Keys!$D:$E,2,FALSE),VLOOKUP($B1734,Keys!$G:$H,2,FALSE)))</f>
        <v>0x0000002172744A6A</v>
      </c>
      <c r="B1734" s="5" t="s">
        <v>1684</v>
      </c>
      <c r="C1734" s="5" t="s">
        <v>12</v>
      </c>
      <c r="D1734" s="5" t="s">
        <v>16862</v>
      </c>
      <c r="E1734" s="5"/>
      <c r="F1734" s="1"/>
      <c r="G1734" s="5" t="s">
        <v>8971</v>
      </c>
      <c r="H1734" s="1"/>
      <c r="I1734" s="1"/>
      <c r="J1734" s="2"/>
      <c r="K1734" s="5" t="s">
        <v>9471</v>
      </c>
      <c r="M1734" s="20" t="s">
        <v>10871</v>
      </c>
      <c r="N1734" s="1"/>
      <c r="O1734" s="1"/>
      <c r="P1734" s="21" t="b">
        <f>IF(ISNUMBER(MATCH($C1734,StackableKinds,0)), TRUE, "")</f>
        <v>1</v>
      </c>
    </row>
    <row r="1735" spans="1:17" x14ac:dyDescent="0.2">
      <c r="A1735" s="19" t="str">
        <f>_xlfn.IFNA(VLOOKUP($B1735,Keys!$A:$B,2,FALSE),_xlfn.IFNA(VLOOKUP($B1735,Keys!$D:$E,2,FALSE),VLOOKUP($B1735,Keys!$G:$H,2,FALSE)))</f>
        <v>0x000000173F1DE31E</v>
      </c>
      <c r="B1735" s="5" t="s">
        <v>424</v>
      </c>
      <c r="C1735" s="5" t="s">
        <v>12</v>
      </c>
      <c r="D1735" s="5" t="s">
        <v>16862</v>
      </c>
      <c r="E1735" s="5"/>
      <c r="F1735" s="5" t="s">
        <v>8975</v>
      </c>
      <c r="G1735" s="5" t="s">
        <v>8971</v>
      </c>
      <c r="H1735" s="1"/>
      <c r="I1735" s="1"/>
      <c r="J1735" s="2"/>
      <c r="K1735" s="5" t="s">
        <v>8979</v>
      </c>
      <c r="M1735" s="20" t="s">
        <v>8980</v>
      </c>
      <c r="N1735" s="1"/>
      <c r="O1735" s="1"/>
      <c r="P1735" s="21" t="b">
        <f>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16862</v>
      </c>
      <c r="E1736" s="5"/>
      <c r="F1736" s="1"/>
      <c r="G1736" s="1"/>
      <c r="H1736" s="1"/>
      <c r="I1736" s="1"/>
      <c r="J1736" s="2"/>
      <c r="K1736" s="5" t="s">
        <v>10335</v>
      </c>
      <c r="M1736" s="20" t="s">
        <v>11066</v>
      </c>
      <c r="N1736" s="1"/>
      <c r="O1736" s="1"/>
      <c r="P1736" s="21" t="b">
        <f>IF(ISNUMBER(MATCH($C1736,StackableKinds,0)), TRUE, "")</f>
        <v>1</v>
      </c>
      <c r="Q1736" s="2"/>
    </row>
    <row r="1737" spans="1:17" x14ac:dyDescent="0.2">
      <c r="A1737" s="19" t="str">
        <f>_xlfn.IFNA(VLOOKUP($B1737,Keys!$A:$B,2,FALSE),_xlfn.IFNA(VLOOKUP($B1737,Keys!$D:$E,2,FALSE),VLOOKUP($B1737,Keys!$G:$H,2,FALSE)))</f>
        <v>0x00000018922EAF98</v>
      </c>
      <c r="B1737" s="5" t="s">
        <v>2746</v>
      </c>
      <c r="C1737" s="5" t="s">
        <v>12</v>
      </c>
      <c r="D1737" s="5" t="s">
        <v>16862</v>
      </c>
      <c r="E1737" s="5"/>
      <c r="F1737" s="5" t="s">
        <v>9880</v>
      </c>
      <c r="G1737" s="5" t="s">
        <v>8971</v>
      </c>
      <c r="H1737" s="1"/>
      <c r="I1737" s="1"/>
      <c r="J1737" s="2"/>
      <c r="K1737" s="5" t="s">
        <v>9881</v>
      </c>
      <c r="M1737" s="20" t="s">
        <v>10965</v>
      </c>
      <c r="N1737" s="1"/>
      <c r="O1737" s="1"/>
      <c r="P1737" s="21" t="b">
        <f>IF(ISNUMBER(MATCH($C1737,StackableKinds,0)), TRUE, "")</f>
        <v>1</v>
      </c>
      <c r="Q1737" s="2"/>
    </row>
    <row r="1738" spans="1:17" x14ac:dyDescent="0.2">
      <c r="A1738" s="19" t="str">
        <f>_xlfn.IFNA(VLOOKUP($B1738,Keys!$A:$B,2,FALSE),_xlfn.IFNA(VLOOKUP($B1738,Keys!$D:$E,2,FALSE),VLOOKUP($B1738,Keys!$G:$H,2,FALSE)))</f>
        <v>0x0000001702C784FC</v>
      </c>
      <c r="B1738" s="5" t="s">
        <v>1726</v>
      </c>
      <c r="C1738" s="5" t="s">
        <v>12</v>
      </c>
      <c r="D1738" s="5" t="s">
        <v>16862</v>
      </c>
      <c r="E1738" s="5"/>
      <c r="F1738" s="1"/>
      <c r="G1738" s="5" t="s">
        <v>8971</v>
      </c>
      <c r="H1738" s="1"/>
      <c r="I1738" s="1"/>
      <c r="J1738" s="2"/>
      <c r="K1738" s="5" t="s">
        <v>9489</v>
      </c>
      <c r="M1738" s="20" t="s">
        <v>10891</v>
      </c>
      <c r="N1738" s="1"/>
      <c r="O1738" s="1"/>
      <c r="P1738" s="21" t="b">
        <f>IF(ISNUMBER(MATCH($C1738,StackableKinds,0)), TRUE, "")</f>
        <v>1</v>
      </c>
    </row>
    <row r="1739" spans="1:17" x14ac:dyDescent="0.2">
      <c r="A1739" s="19" t="str">
        <f>_xlfn.IFNA(VLOOKUP($B1739,Keys!$A:$B,2,FALSE),_xlfn.IFNA(VLOOKUP($B1739,Keys!$D:$E,2,FALSE),VLOOKUP($B1739,Keys!$G:$H,2,FALSE)))</f>
        <v>0x00000017D1138232</v>
      </c>
      <c r="B1739" s="5" t="s">
        <v>420</v>
      </c>
      <c r="C1739" s="5" t="s">
        <v>12</v>
      </c>
      <c r="D1739" s="5" t="s">
        <v>16862</v>
      </c>
      <c r="E1739" s="5"/>
      <c r="F1739" s="5" t="s">
        <v>8975</v>
      </c>
      <c r="G1739" s="5" t="s">
        <v>8971</v>
      </c>
      <c r="H1739" s="1"/>
      <c r="I1739" s="1"/>
      <c r="J1739" s="2"/>
      <c r="K1739" s="5" t="s">
        <v>8976</v>
      </c>
      <c r="M1739" s="20" t="s">
        <v>8977</v>
      </c>
      <c r="N1739" s="1"/>
      <c r="O1739" s="1"/>
      <c r="P1739" s="21" t="b">
        <f>IF(ISNUMBER(MATCH($C1739,StackableKinds,0)), TRUE, "")</f>
        <v>1</v>
      </c>
      <c r="Q1739" s="2"/>
    </row>
    <row r="1740" spans="1:17" x14ac:dyDescent="0.2">
      <c r="A1740" s="19" t="str">
        <f>_xlfn.IFNA(VLOOKUP($B1740,Keys!$A:$B,2,FALSE),_xlfn.IFNA(VLOOKUP($B1740,Keys!$D:$E,2,FALSE),VLOOKUP($B1740,Keys!$G:$H,2,FALSE)))</f>
        <v>0x0000001A9C43E278</v>
      </c>
      <c r="B1740" s="5" t="s">
        <v>1696</v>
      </c>
      <c r="C1740" s="5" t="s">
        <v>12</v>
      </c>
      <c r="D1740" s="5" t="s">
        <v>16862</v>
      </c>
      <c r="E1740" s="5"/>
      <c r="F1740" s="1"/>
      <c r="G1740" s="5" t="s">
        <v>8971</v>
      </c>
      <c r="H1740" s="1"/>
      <c r="I1740" s="1"/>
      <c r="J1740" s="2"/>
      <c r="K1740" s="5" t="s">
        <v>9477</v>
      </c>
      <c r="M1740" s="20" t="s">
        <v>10877</v>
      </c>
      <c r="N1740" s="1"/>
      <c r="O1740" s="1"/>
      <c r="P1740" s="21" t="b">
        <f>IF(ISNUMBER(MATCH($C1740,StackableKinds,0)), TRUE, "")</f>
        <v>1</v>
      </c>
    </row>
    <row r="1741" spans="1:17" x14ac:dyDescent="0.2">
      <c r="A1741" s="19" t="str">
        <f>_xlfn.IFNA(VLOOKUP($B1741,Keys!$A:$B,2,FALSE),_xlfn.IFNA(VLOOKUP($B1741,Keys!$D:$E,2,FALSE),VLOOKUP($B1741,Keys!$G:$H,2,FALSE)))</f>
        <v>0x00000017942AC79B</v>
      </c>
      <c r="B1741" s="5" t="s">
        <v>2952</v>
      </c>
      <c r="C1741" s="5" t="s">
        <v>12</v>
      </c>
      <c r="D1741" s="5" t="s">
        <v>16862</v>
      </c>
      <c r="E1741" s="5"/>
      <c r="F1741" s="5" t="s">
        <v>9956</v>
      </c>
      <c r="G1741" s="5" t="s">
        <v>8971</v>
      </c>
      <c r="H1741" s="1"/>
      <c r="I1741" s="1"/>
      <c r="J1741" s="2"/>
      <c r="K1741" s="5" t="s">
        <v>9957</v>
      </c>
      <c r="M1741" s="20" t="s">
        <v>10983</v>
      </c>
      <c r="N1741" s="1"/>
      <c r="O1741" s="1"/>
      <c r="P1741" s="21" t="b">
        <f>IF(ISNUMBER(MATCH($C1741,StackableKinds,0)), TRUE, "")</f>
        <v>1</v>
      </c>
      <c r="Q1741" s="2"/>
    </row>
    <row r="1742" spans="1:17" x14ac:dyDescent="0.2">
      <c r="A1742" s="19" t="str">
        <f>_xlfn.IFNA(VLOOKUP($B1742,Keys!$A:$B,2,FALSE),_xlfn.IFNA(VLOOKUP($B1742,Keys!$D:$E,2,FALSE),VLOOKUP($B1742,Keys!$G:$H,2,FALSE)))</f>
        <v>0x00000016590ADED2</v>
      </c>
      <c r="B1742" s="5" t="s">
        <v>6006</v>
      </c>
      <c r="C1742" s="5" t="s">
        <v>12</v>
      </c>
      <c r="D1742" s="5" t="s">
        <v>16862</v>
      </c>
      <c r="E1742" s="5"/>
      <c r="F1742" s="5" t="s">
        <v>10727</v>
      </c>
      <c r="G1742" s="1"/>
      <c r="H1742" s="1"/>
      <c r="I1742" s="1"/>
      <c r="J1742" s="2"/>
      <c r="K1742" s="5" t="s">
        <v>10728</v>
      </c>
      <c r="M1742" s="20" t="s">
        <v>10729</v>
      </c>
      <c r="N1742" s="1"/>
      <c r="O1742" s="1"/>
      <c r="P1742" s="21" t="b">
        <f>IF(ISNUMBER(MATCH($C1742,StackableKinds,0)), TRUE, "")</f>
        <v>1</v>
      </c>
      <c r="Q1742" s="2"/>
    </row>
    <row r="1743" spans="1:17" x14ac:dyDescent="0.2">
      <c r="A1743" s="19" t="str">
        <f>_xlfn.IFNA(VLOOKUP($B1743,Keys!$A:$B,2,FALSE),_xlfn.IFNA(VLOOKUP($B1743,Keys!$D:$E,2,FALSE),VLOOKUP($B1743,Keys!$G:$H,2,FALSE)))</f>
        <v>0x0000001BA27F1769</v>
      </c>
      <c r="B1743" s="5" t="s">
        <v>2092</v>
      </c>
      <c r="C1743" s="5" t="s">
        <v>12</v>
      </c>
      <c r="D1743" s="5" t="s">
        <v>16862</v>
      </c>
      <c r="E1743" s="5"/>
      <c r="F1743" s="1"/>
      <c r="G1743" s="5" t="s">
        <v>8971</v>
      </c>
      <c r="H1743" s="1"/>
      <c r="I1743" s="1"/>
      <c r="J1743" s="2"/>
      <c r="K1743" s="5" t="s">
        <v>9643</v>
      </c>
      <c r="M1743" s="20" t="s">
        <v>10938</v>
      </c>
      <c r="N1743" s="1"/>
      <c r="O1743" s="1"/>
      <c r="P1743" s="21" t="b">
        <f>IF(ISNUMBER(MATCH($C1743,StackableKinds,0)), TRUE, "")</f>
        <v>1</v>
      </c>
      <c r="Q1743" s="2"/>
    </row>
    <row r="1744" spans="1:17" x14ac:dyDescent="0.2">
      <c r="A1744" s="19" t="str">
        <f>_xlfn.IFNA(VLOOKUP($B1744,Keys!$A:$B,2,FALSE),_xlfn.IFNA(VLOOKUP($B1744,Keys!$D:$E,2,FALSE),VLOOKUP($B1744,Keys!$G:$H,2,FALSE)))</f>
        <v>0x00000015BBCAEBCE</v>
      </c>
      <c r="B1744" s="5" t="s">
        <v>2966</v>
      </c>
      <c r="C1744" s="5" t="s">
        <v>12</v>
      </c>
      <c r="D1744" s="5" t="s">
        <v>16862</v>
      </c>
      <c r="E1744" s="5"/>
      <c r="F1744" s="5" t="s">
        <v>9963</v>
      </c>
      <c r="G1744" s="5" t="s">
        <v>8971</v>
      </c>
      <c r="H1744" s="1"/>
      <c r="I1744" s="1"/>
      <c r="J1744" s="2"/>
      <c r="K1744" s="5" t="s">
        <v>9965</v>
      </c>
      <c r="M1744" s="20" t="s">
        <v>10988</v>
      </c>
      <c r="N1744" s="1"/>
      <c r="O1744" s="1"/>
      <c r="P1744" s="21" t="b">
        <f>IF(ISNUMBER(MATCH($C1744,StackableKinds,0)), TRUE, "")</f>
        <v>1</v>
      </c>
      <c r="Q1744" s="2"/>
    </row>
    <row r="1745" spans="1:17" x14ac:dyDescent="0.2">
      <c r="A1745" s="19" t="str">
        <f>_xlfn.IFNA(VLOOKUP($B1745,Keys!$A:$B,2,FALSE),_xlfn.IFNA(VLOOKUP($B1745,Keys!$D:$E,2,FALSE),VLOOKUP($B1745,Keys!$G:$H,2,FALSE)))</f>
        <v>0x000000155684ECFD</v>
      </c>
      <c r="B1745" s="5" t="s">
        <v>5015</v>
      </c>
      <c r="C1745" s="5" t="s">
        <v>12</v>
      </c>
      <c r="D1745" s="5" t="s">
        <v>16862</v>
      </c>
      <c r="E1745" s="5"/>
      <c r="F1745" s="1"/>
      <c r="G1745" s="1"/>
      <c r="H1745" s="1"/>
      <c r="I1745" s="1"/>
      <c r="J1745" s="2"/>
      <c r="K1745" s="5" t="s">
        <v>10337</v>
      </c>
      <c r="M1745" s="20" t="s">
        <v>11068</v>
      </c>
      <c r="N1745" s="1"/>
      <c r="O1745" s="1"/>
      <c r="P1745" s="21" t="b">
        <f>IF(ISNUMBER(MATCH($C1745,StackableKinds,0)), TRUE, "")</f>
        <v>1</v>
      </c>
      <c r="Q1745" s="2"/>
    </row>
    <row r="1746" spans="1:17" x14ac:dyDescent="0.2">
      <c r="A1746" s="19" t="str">
        <f>_xlfn.IFNA(VLOOKUP($B1746,Keys!$A:$B,2,FALSE),_xlfn.IFNA(VLOOKUP($B1746,Keys!$D:$E,2,FALSE),VLOOKUP($B1746,Keys!$G:$H,2,FALSE)))</f>
        <v>0x00000016B704BFFE</v>
      </c>
      <c r="B1746" s="5" t="s">
        <v>6010</v>
      </c>
      <c r="C1746" s="5" t="s">
        <v>12</v>
      </c>
      <c r="D1746" s="5" t="s">
        <v>16862</v>
      </c>
      <c r="E1746" s="5"/>
      <c r="F1746" s="5" t="s">
        <v>10727</v>
      </c>
      <c r="G1746" s="1"/>
      <c r="H1746" s="1"/>
      <c r="I1746" s="1"/>
      <c r="J1746" s="2"/>
      <c r="K1746" s="5" t="s">
        <v>10732</v>
      </c>
      <c r="M1746" s="20" t="s">
        <v>10733</v>
      </c>
      <c r="N1746" s="1"/>
      <c r="O1746" s="1"/>
      <c r="P1746" s="21" t="b">
        <f>IF(ISNUMBER(MATCH($C1746,StackableKinds,0)), TRUE, "")</f>
        <v>1</v>
      </c>
      <c r="Q1746" s="2"/>
    </row>
    <row r="1747" spans="1:17" x14ac:dyDescent="0.2">
      <c r="A1747" s="19" t="str">
        <f>_xlfn.IFNA(VLOOKUP($B1747,Keys!$A:$B,2,FALSE),_xlfn.IFNA(VLOOKUP($B1747,Keys!$D:$E,2,FALSE),VLOOKUP($B1747,Keys!$G:$H,2,FALSE)))</f>
        <v>0x00000019290531F4</v>
      </c>
      <c r="B1747" s="5" t="s">
        <v>5001</v>
      </c>
      <c r="C1747" s="5" t="s">
        <v>12</v>
      </c>
      <c r="D1747" s="5" t="s">
        <v>16862</v>
      </c>
      <c r="E1747" s="5"/>
      <c r="F1747" s="5" t="s">
        <v>10327</v>
      </c>
      <c r="G1747" s="1"/>
      <c r="H1747" s="1"/>
      <c r="I1747" s="1"/>
      <c r="J1747" s="2"/>
      <c r="K1747" s="5" t="s">
        <v>10330</v>
      </c>
      <c r="M1747" s="20" t="s">
        <v>11062</v>
      </c>
      <c r="N1747" s="1"/>
      <c r="O1747" s="1"/>
      <c r="P1747" s="21" t="b">
        <f>IF(ISNUMBER(MATCH($C1747,StackableKinds,0)), TRUE, "")</f>
        <v>1</v>
      </c>
      <c r="Q1747" s="2"/>
    </row>
    <row r="1748" spans="1:17" x14ac:dyDescent="0.2">
      <c r="A1748" s="19" t="str">
        <f>_xlfn.IFNA(VLOOKUP($B1748,Keys!$A:$B,2,FALSE),_xlfn.IFNA(VLOOKUP($B1748,Keys!$D:$E,2,FALSE),VLOOKUP($B1748,Keys!$G:$H,2,FALSE)))</f>
        <v>0x0000001DF468171A</v>
      </c>
      <c r="B1748" s="5" t="s">
        <v>2908</v>
      </c>
      <c r="C1748" s="5" t="s">
        <v>12</v>
      </c>
      <c r="D1748" s="5" t="s">
        <v>16862</v>
      </c>
      <c r="E1748" s="5"/>
      <c r="F1748" s="1"/>
      <c r="G1748" s="5" t="s">
        <v>8971</v>
      </c>
      <c r="H1748" s="1"/>
      <c r="I1748" s="1"/>
      <c r="J1748" s="2"/>
      <c r="K1748" s="5" t="s">
        <v>9946</v>
      </c>
      <c r="M1748" s="20" t="s">
        <v>10972</v>
      </c>
      <c r="N1748" s="1"/>
      <c r="O1748" s="1"/>
      <c r="P1748" s="21" t="b">
        <f>IF(ISNUMBER(MATCH($C1748,StackableKinds,0)), TRUE, "")</f>
        <v>1</v>
      </c>
      <c r="Q1748" s="2"/>
    </row>
    <row r="1749" spans="1:17" x14ac:dyDescent="0.2">
      <c r="A1749" s="19" t="str">
        <f>_xlfn.IFNA(VLOOKUP($B1749,Keys!$A:$B,2,FALSE),_xlfn.IFNA(VLOOKUP($B1749,Keys!$D:$E,2,FALSE),VLOOKUP($B1749,Keys!$G:$H,2,FALSE)))</f>
        <v>0x00000016A57D86DC</v>
      </c>
      <c r="B1749" s="5" t="s">
        <v>1706</v>
      </c>
      <c r="C1749" s="5" t="s">
        <v>12</v>
      </c>
      <c r="D1749" s="5" t="s">
        <v>16862</v>
      </c>
      <c r="E1749" s="5"/>
      <c r="F1749" s="1"/>
      <c r="G1749" s="5" t="s">
        <v>8971</v>
      </c>
      <c r="H1749" s="1"/>
      <c r="I1749" s="1"/>
      <c r="J1749" s="2"/>
      <c r="K1749" s="5" t="s">
        <v>9481</v>
      </c>
      <c r="M1749" s="20" t="s">
        <v>10881</v>
      </c>
      <c r="N1749" s="1"/>
      <c r="O1749" s="1"/>
      <c r="P1749" s="21" t="b">
        <f>IF(ISNUMBER(MATCH($C1749,StackableKinds,0)), TRUE, "")</f>
        <v>1</v>
      </c>
    </row>
    <row r="1750" spans="1:17" x14ac:dyDescent="0.2">
      <c r="A1750" s="19" t="str">
        <f>_xlfn.IFNA(VLOOKUP($B1750,Keys!$A:$B,2,FALSE),_xlfn.IFNA(VLOOKUP($B1750,Keys!$D:$E,2,FALSE),VLOOKUP($B1750,Keys!$G:$H,2,FALSE)))</f>
        <v>0x000000163C74D766</v>
      </c>
      <c r="B1750" s="5" t="s">
        <v>1728</v>
      </c>
      <c r="C1750" s="5" t="s">
        <v>12</v>
      </c>
      <c r="D1750" s="5" t="s">
        <v>16862</v>
      </c>
      <c r="E1750" s="5"/>
      <c r="F1750" s="1"/>
      <c r="G1750" s="5" t="s">
        <v>8971</v>
      </c>
      <c r="H1750" s="1"/>
      <c r="I1750" s="1"/>
      <c r="J1750" s="2"/>
      <c r="K1750" s="5" t="s">
        <v>9481</v>
      </c>
      <c r="M1750" s="20" t="s">
        <v>10892</v>
      </c>
      <c r="N1750" s="1"/>
      <c r="O1750" s="1"/>
      <c r="P1750" s="21" t="b">
        <f>IF(ISNUMBER(MATCH($C1750,StackableKinds,0)), TRUE, "")</f>
        <v>1</v>
      </c>
    </row>
    <row r="1751" spans="1:17" x14ac:dyDescent="0.2">
      <c r="A1751" s="19" t="str">
        <f>_xlfn.IFNA(VLOOKUP($B1751,Keys!$A:$B,2,FALSE),_xlfn.IFNA(VLOOKUP($B1751,Keys!$D:$E,2,FALSE),VLOOKUP($B1751,Keys!$G:$H,2,FALSE)))</f>
        <v>0x000000164B73E7F0</v>
      </c>
      <c r="B1751" s="5" t="s">
        <v>1750</v>
      </c>
      <c r="C1751" s="5" t="s">
        <v>12</v>
      </c>
      <c r="D1751" s="5" t="s">
        <v>16862</v>
      </c>
      <c r="E1751" s="5"/>
      <c r="F1751" s="1"/>
      <c r="G1751" s="5" t="s">
        <v>8971</v>
      </c>
      <c r="H1751" s="1"/>
      <c r="I1751" s="1"/>
      <c r="J1751" s="2"/>
      <c r="K1751" s="5" t="s">
        <v>9481</v>
      </c>
      <c r="M1751" s="20" t="s">
        <v>10903</v>
      </c>
      <c r="N1751" s="1"/>
      <c r="O1751" s="1"/>
      <c r="P1751" s="21" t="b">
        <f>IF(ISNUMBER(MATCH($C1751,StackableKinds,0)), TRUE, "")</f>
        <v>1</v>
      </c>
    </row>
    <row r="1752" spans="1:17" x14ac:dyDescent="0.2">
      <c r="A1752" s="19" t="str">
        <f>_xlfn.IFNA(VLOOKUP($B1752,Keys!$A:$B,2,FALSE),_xlfn.IFNA(VLOOKUP($B1752,Keys!$D:$E,2,FALSE),VLOOKUP($B1752,Keys!$G:$H,2,FALSE)))</f>
        <v>0x000000170C1C0CCE</v>
      </c>
      <c r="B1752" s="5" t="s">
        <v>1710</v>
      </c>
      <c r="C1752" s="5" t="s">
        <v>12</v>
      </c>
      <c r="D1752" s="5" t="s">
        <v>16862</v>
      </c>
      <c r="E1752" s="5"/>
      <c r="F1752" s="1"/>
      <c r="G1752" s="5" t="s">
        <v>8971</v>
      </c>
      <c r="H1752" s="1"/>
      <c r="I1752" s="1"/>
      <c r="J1752" s="2"/>
      <c r="K1752" s="5" t="s">
        <v>9483</v>
      </c>
      <c r="M1752" s="20" t="s">
        <v>10883</v>
      </c>
      <c r="N1752" s="1"/>
      <c r="O1752" s="1"/>
      <c r="P1752" s="21" t="b">
        <f>IF(ISNUMBER(MATCH($C1752,StackableKinds,0)), TRUE, "")</f>
        <v>1</v>
      </c>
    </row>
    <row r="1753" spans="1:17" x14ac:dyDescent="0.2">
      <c r="A1753" s="19" t="str">
        <f>_xlfn.IFNA(VLOOKUP($B1753,Keys!$A:$B,2,FALSE),_xlfn.IFNA(VLOOKUP($B1753,Keys!$D:$E,2,FALSE),VLOOKUP($B1753,Keys!$G:$H,2,FALSE)))</f>
        <v>0x0000001B4B1CB25C</v>
      </c>
      <c r="B1753" s="5" t="s">
        <v>2088</v>
      </c>
      <c r="C1753" s="5" t="s">
        <v>12</v>
      </c>
      <c r="D1753" s="5" t="s">
        <v>16862</v>
      </c>
      <c r="E1753" s="5"/>
      <c r="F1753" s="1"/>
      <c r="G1753" s="5" t="s">
        <v>8971</v>
      </c>
      <c r="H1753" s="1"/>
      <c r="I1753" s="1"/>
      <c r="J1753" s="2"/>
      <c r="K1753" s="5" t="s">
        <v>9641</v>
      </c>
      <c r="M1753" s="20" t="s">
        <v>10936</v>
      </c>
      <c r="N1753" s="1"/>
      <c r="O1753" s="1"/>
      <c r="P1753" s="21" t="b">
        <f>IF(ISNUMBER(MATCH($C1753,StackableKinds,0)), TRUE, "")</f>
        <v>1</v>
      </c>
      <c r="Q1753" s="2"/>
    </row>
    <row r="1754" spans="1:17" x14ac:dyDescent="0.2">
      <c r="A1754" s="19" t="str">
        <f>_xlfn.IFNA(VLOOKUP($B1754,Keys!$A:$B,2,FALSE),_xlfn.IFNA(VLOOKUP($B1754,Keys!$D:$E,2,FALSE),VLOOKUP($B1754,Keys!$G:$H,2,FALSE)))</f>
        <v>0x0000001A98A9C192</v>
      </c>
      <c r="B1754" s="5" t="s">
        <v>5535</v>
      </c>
      <c r="C1754" s="5" t="s">
        <v>12</v>
      </c>
      <c r="D1754" s="5" t="s">
        <v>16862</v>
      </c>
      <c r="E1754" s="5"/>
      <c r="F1754" s="5" t="s">
        <v>10535</v>
      </c>
      <c r="G1754" s="1"/>
      <c r="H1754" s="1"/>
      <c r="I1754" s="1"/>
      <c r="J1754" s="2"/>
      <c r="K1754" s="5" t="s">
        <v>10537</v>
      </c>
      <c r="M1754" s="20" t="s">
        <v>11112</v>
      </c>
      <c r="N1754" s="1"/>
      <c r="O1754" s="1"/>
      <c r="P1754" s="21" t="b">
        <f>IF(ISNUMBER(MATCH($C1754,StackableKinds,0)), TRUE, "")</f>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IF(ISNUMBER(MATCH($C1755,StackableKinds,0)), TRUE, "")</f>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IF(ISNUMBER(MATCH($C1756,StackableKinds,0)), TRUE, "")</f>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IF(ISNUMBER(MATCH($C1757,StackableKinds,0)), TRUE, "")</f>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IF(ISNUMBER(MATCH($C1758,StackableKinds,0)), TRUE, "")</f>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IF(ISNUMBER(MATCH($C1759,StackableKinds,0)), TRUE, "")</f>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IF(ISNUMBER(MATCH($C1760,StackableKinds,0)), TRUE, "")</f>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IF(ISNUMBER(MATCH($C1761,StackableKinds,0)), TRUE, "")</f>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IF(ISNUMBER(MATCH($C1762,StackableKinds,0)), TRUE, "")</f>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IF(ISNUMBER(MATCH($C1763,StackableKinds,0)), TRUE, "")</f>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IF(ISNUMBER(MATCH($C1764,StackableKinds,0)), TRUE, "")</f>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IF(ISNUMBER(MATCH($C1765,StackableKinds,0)), TRUE, "")</f>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IF(ISNUMBER(MATCH($C1766,StackableKinds,0)), TRUE, "")</f>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IF(ISNUMBER(MATCH($C1767,StackableKinds,0)), TRUE, "")</f>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IF(ISNUMBER(MATCH($C1768,StackableKinds,0)), TRUE, "")</f>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IF(ISNUMBER(MATCH($C1769,StackableKinds,0)), TRUE, "")</f>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IF(ISNUMBER(MATCH($C1770,StackableKinds,0)), TRUE, "")</f>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IF(ISNUMBER(MATCH($C1771,StackableKinds,0)), TRUE, "")</f>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IF(ISNUMBER(MATCH($C1772,StackableKinds,0)), TRUE, "")</f>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IF(ISNUMBER(MATCH($C1773,StackableKinds,0)), TRUE, "")</f>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IF(ISNUMBER(MATCH($C1774,StackableKinds,0)), TRUE, "")</f>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IF(ISNUMBER(MATCH($C1775,StackableKinds,0)), TRUE, "")</f>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IF(ISNUMBER(MATCH($C1776,StackableKinds,0)), TRUE, "")</f>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IF(ISNUMBER(MATCH($C1777,StackableKinds,0)), TRUE, "")</f>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IF(ISNUMBER(MATCH($C1778,StackableKinds,0)), TRUE, "")</f>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IF(ISNUMBER(MATCH($C1779,StackableKinds,0)), TRUE, "")</f>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IF(ISNUMBER(MATCH($C1780,StackableKinds,0)), TRUE, "")</f>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IF(ISNUMBER(MATCH($C1781,StackableKinds,0)), TRUE, "")</f>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IF(ISNUMBER(MATCH($C1782,StackableKinds,0)), TRUE, "")</f>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IF(ISNUMBER(MATCH($C1783,StackableKinds,0)), TRUE, "")</f>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IF(ISNUMBER(MATCH($C1784,StackableKinds,0)), TRUE, "")</f>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IF(ISNUMBER(MATCH($C1785,StackableKinds,0)), TRUE, "")</f>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IF(ISNUMBER(MATCH($C1786,StackableKinds,0)), TRUE, "")</f>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IF(ISNUMBER(MATCH($C1787,StackableKinds,0)), TRUE, "")</f>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IF(ISNUMBER(MATCH($C1788,StackableKinds,0)), TRUE, "")</f>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IF(ISNUMBER(MATCH($C1789,StackableKinds,0)), TRUE, "")</f>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IF(ISNUMBER(MATCH($C1790,StackableKinds,0)), TRUE, "")</f>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IF(ISNUMBER(MATCH($C1791,StackableKinds,0)), TRUE, "")</f>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IF(ISNUMBER(MATCH($C1792,StackableKinds,0)), TRUE, "")</f>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IF(ISNUMBER(MATCH($C1793,StackableKinds,0)), TRUE, "")</f>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IF(ISNUMBER(MATCH($C1794,StackableKinds,0)), TRUE, "")</f>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IF(ISNUMBER(MATCH($C1795,StackableKinds,0)), TRUE, "")</f>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IF(ISNUMBER(MATCH($C1796,StackableKinds,0)), TRUE, "")</f>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IF(ISNUMBER(MATCH($C1797,StackableKinds,0)), TRUE, "")</f>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IF(ISNUMBER(MATCH($C1798,StackableKinds,0)), TRUE, "")</f>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IF(ISNUMBER(MATCH($C1800,StackableKinds,0)), TRUE, "")</f>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IF(ISNUMBER(MATCH($C1801,StackableKinds,0)), TRUE, "")</f>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IF(ISNUMBER(MATCH($C1802,StackableKinds,0)), TRUE, "")</f>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IF(ISNUMBER(MATCH($C1803,StackableKinds,0)), TRUE, "")</f>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IF(ISNUMBER(MATCH($C1804,StackableKinds,0)), TRUE, "")</f>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IF(ISNUMBER(MATCH($C1805,StackableKinds,0)), TRUE, "")</f>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IF(ISNUMBER(MATCH($C1806,StackableKinds,0)), TRUE, "")</f>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IF(ISNUMBER(MATCH($C1807,StackableKinds,0)), TRUE, "")</f>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IF(ISNUMBER(MATCH($C1808,StackableKinds,0)), TRUE, "")</f>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IF(ISNUMBER(MATCH($C1809,StackableKinds,0)), TRUE, "")</f>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IF(ISNUMBER(MATCH($C1810,StackableKinds,0)), TRUE, "")</f>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IF(ISNUMBER(MATCH($C1811,StackableKinds,0)), TRUE, "")</f>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IF(ISNUMBER(MATCH($C1812,StackableKinds,0)), TRUE, "")</f>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IF(ISNUMBER(MATCH($C1813,StackableKinds,0)), TRUE, "")</f>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IF(ISNUMBER(MATCH($C1814,StackableKinds,0)), TRUE, "")</f>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IF(ISNUMBER(MATCH($C1815,StackableKinds,0)), TRUE, "")</f>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IF(ISNUMBER(MATCH($C1816,StackableKinds,0)), TRUE, "")</f>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IF(ISNUMBER(MATCH($C1817,StackableKinds,0)), TRUE, "")</f>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IF(ISNUMBER(MATCH($C1818,StackableKinds,0)), TRUE, "")</f>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IF(ISNUMBER(MATCH($C1819,StackableKinds,0)), TRUE, "")</f>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IF(ISNUMBER(MATCH($C1820,StackableKinds,0)), TRUE, "")</f>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IF(ISNUMBER(MATCH($C1821,StackableKinds,0)), TRUE, "")</f>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IF(ISNUMBER(MATCH($C1822,StackableKinds,0)), TRUE, "")</f>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IF(ISNUMBER(MATCH($C1823,StackableKinds,0)), TRUE, "")</f>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IF(ISNUMBER(MATCH($C1824,StackableKinds,0)), TRUE, "")</f>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IF(ISNUMBER(MATCH($C1825,StackableKinds,0)), TRUE, "")</f>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IF(ISNUMBER(MATCH($C1826,StackableKinds,0)), TRUE, "")</f>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IF(ISNUMBER(MATCH($C1827,StackableKinds,0)), TRUE, "")</f>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IF(ISNUMBER(MATCH($C1828,StackableKinds,0)), TRUE, "")</f>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IF(ISNUMBER(MATCH($C1829,StackableKinds,0)), TRUE, "")</f>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IF(ISNUMBER(MATCH($C1830,StackableKinds,0)), TRUE, "")</f>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IF(ISNUMBER(MATCH($C1831,StackableKinds,0)), TRUE, "")</f>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IF(ISNUMBER(MATCH($C1832,StackableKinds,0)), TRUE, "")</f>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IF(ISNUMBER(MATCH($C1833,StackableKinds,0)), TRUE, "")</f>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IF(ISNUMBER(MATCH($C1834,StackableKinds,0)), TRUE, "")</f>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IF(ISNUMBER(MATCH($C1835,StackableKinds,0)), TRUE, "")</f>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IF(ISNUMBER(MATCH($C1836,StackableKinds,0)), TRUE, "")</f>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IF(ISNUMBER(MATCH($C1837,StackableKinds,0)), TRUE, "")</f>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IF(ISNUMBER(MATCH($C1838,StackableKinds,0)), TRUE, "")</f>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IF(ISNUMBER(MATCH($C1839,StackableKinds,0)), TRUE, "")</f>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IF(ISNUMBER(MATCH($C1840,StackableKinds,0)), TRUE, "")</f>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IF(ISNUMBER(MATCH($C1841,StackableKinds,0)), TRUE, "")</f>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IF(ISNUMBER(MATCH($C1842,StackableKinds,0)), TRUE, "")</f>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IF(ISNUMBER(MATCH($C1843,StackableKinds,0)), TRUE, "")</f>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IF(ISNUMBER(MATCH($C1844,StackableKinds,0)), TRUE, "")</f>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IF(ISNUMBER(MATCH($C1845,StackableKinds,0)), TRUE, "")</f>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IF(ISNUMBER(MATCH($C1846,StackableKinds,0)), TRUE, "")</f>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IF(ISNUMBER(MATCH($C1847,StackableKinds,0)), TRUE, "")</f>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IF(ISNUMBER(MATCH($C1848,StackableKinds,0)), TRUE, "")</f>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IF(ISNUMBER(MATCH($C1849,StackableKinds,0)), TRUE, "")</f>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IF(ISNUMBER(MATCH($C1850,StackableKinds,0)), TRUE, "")</f>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IF(ISNUMBER(MATCH($C1851,StackableKinds,0)), TRUE, "")</f>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IF(ISNUMBER(MATCH($C1852,StackableKinds,0)), TRUE, "")</f>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IF(ISNUMBER(MATCH($C1853,StackableKinds,0)), TRUE, "")</f>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IF(ISNUMBER(MATCH($C1854,StackableKinds,0)), TRUE, "")</f>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IF(ISNUMBER(MATCH($C1855,StackableKinds,0)), TRUE, "")</f>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IF(ISNUMBER(MATCH($C1856,StackableKinds,0)), TRUE, "")</f>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IF(ISNUMBER(MATCH($C1857,StackableKinds,0)), TRUE, "")</f>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IF(ISNUMBER(MATCH($C1858,StackableKinds,0)), TRUE, "")</f>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IF(ISNUMBER(MATCH($C1859,StackableKinds,0)), TRUE, "")</f>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IF(ISNUMBER(MATCH($C1860,StackableKinds,0)), TRUE, "")</f>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IF(ISNUMBER(MATCH($C1861,StackableKinds,0)), TRUE, "")</f>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IF(ISNUMBER(MATCH($C1862,StackableKinds,0)), TRUE, "")</f>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IF(ISNUMBER(MATCH($C1864,StackableKinds,0)), TRUE, "")</f>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IF(ISNUMBER(MATCH($C1865,StackableKinds,0)), TRUE, "")</f>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IF(ISNUMBER(MATCH($C1866,StackableKinds,0)), TRUE, "")</f>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IF(ISNUMBER(MATCH($C1867,StackableKinds,0)), TRUE, "")</f>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IF(ISNUMBER(MATCH($C1868,StackableKinds,0)), TRUE, "")</f>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IF(ISNUMBER(MATCH($C1869,StackableKinds,0)), TRUE, "")</f>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IF(ISNUMBER(MATCH($C1870,StackableKinds,0)), TRUE, "")</f>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IF(ISNUMBER(MATCH($C1871,StackableKinds,0)), TRUE, "")</f>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IF(ISNUMBER(MATCH($C1872,StackableKinds,0)), TRUE, "")</f>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IF(ISNUMBER(MATCH($C1873,StackableKinds,0)), TRUE, "")</f>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IF(ISNUMBER(MATCH($C1874,StackableKinds,0)), TRUE, "")</f>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IF(ISNUMBER(MATCH($C1875,StackableKinds,0)), TRUE, "")</f>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IF(ISNUMBER(MATCH($C1876,StackableKinds,0)), TRUE, "")</f>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IF(ISNUMBER(MATCH($C1877,StackableKinds,0)), TRUE, "")</f>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IF(ISNUMBER(MATCH($C1878,StackableKinds,0)), TRUE, "")</f>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IF(ISNUMBER(MATCH($C1879,StackableKinds,0)), TRUE, "")</f>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IF(ISNUMBER(MATCH($C1880,StackableKinds,0)), TRUE, "")</f>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IF(ISNUMBER(MATCH($C1881,StackableKinds,0)), TRUE, "")</f>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IF(ISNUMBER(MATCH($C1882,StackableKinds,0)), TRUE, "")</f>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IF(ISNUMBER(MATCH($C1883,StackableKinds,0)), TRUE, "")</f>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IF(ISNUMBER(MATCH($C1884,StackableKinds,0)), TRUE, "")</f>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IF(ISNUMBER(MATCH($C1885,StackableKinds,0)), TRUE, "")</f>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IF(ISNUMBER(MATCH($C1886,StackableKinds,0)), TRUE, "")</f>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IF(ISNUMBER(MATCH($C1887,StackableKinds,0)), TRUE, "")</f>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IF(ISNUMBER(MATCH($C1888,StackableKinds,0)), TRUE, "")</f>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IF(ISNUMBER(MATCH($C1889,StackableKinds,0)), TRUE, "")</f>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IF(ISNUMBER(MATCH($C1890,StackableKinds,0)), TRUE, "")</f>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IF(ISNUMBER(MATCH($C1891,StackableKinds,0)), TRUE, "")</f>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IF(ISNUMBER(MATCH($C1892,StackableKinds,0)), TRUE, "")</f>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IF(ISNUMBER(MATCH($C1893,StackableKinds,0)), TRUE, "")</f>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IF(ISNUMBER(MATCH($C1894,StackableKinds,0)), TRUE, "")</f>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IF(ISNUMBER(MATCH($C1895,StackableKinds,0)), TRUE, "")</f>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IF(ISNUMBER(MATCH($C1896,StackableKinds,0)), TRUE, "")</f>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IF(ISNUMBER(MATCH($C1897,StackableKinds,0)), TRUE, "")</f>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IF(ISNUMBER(MATCH($C1898,StackableKinds,0)), TRUE, "")</f>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IF(ISNUMBER(MATCH($C1899,StackableKinds,0)), TRUE, "")</f>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IF(ISNUMBER(MATCH($C1900,StackableKinds,0)), TRUE, "")</f>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IF(ISNUMBER(MATCH($C1901,StackableKinds,0)), TRUE, "")</f>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IF(ISNUMBER(MATCH($C1902,StackableKinds,0)), TRUE, "")</f>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IF(ISNUMBER(MATCH($C1903,StackableKinds,0)), TRUE, "")</f>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IF(ISNUMBER(MATCH($C1904,StackableKinds,0)), TRUE, "")</f>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IF(ISNUMBER(MATCH($C1905,StackableKinds,0)), TRUE, "")</f>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IF(ISNUMBER(MATCH($C1906,StackableKinds,0)), TRUE, "")</f>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IF(ISNUMBER(MATCH($C1907,StackableKinds,0)), TRUE, "")</f>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IF(ISNUMBER(MATCH($C1908,StackableKinds,0)), TRUE, "")</f>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IF(ISNUMBER(MATCH($C1909,StackableKinds,0)), TRUE, "")</f>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IF(ISNUMBER(MATCH($C1910,StackableKinds,0)), TRUE, "")</f>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IF(ISNUMBER(MATCH($C1911,StackableKinds,0)), TRUE, "")</f>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IF(ISNUMBER(MATCH($C1912,StackableKinds,0)), TRUE, "")</f>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IF(ISNUMBER(MATCH($C1913,StackableKinds,0)), TRUE, "")</f>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IF(ISNUMBER(MATCH($C1914,StackableKinds,0)), TRUE, "")</f>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IF(ISNUMBER(MATCH($C1915,StackableKinds,0)), TRUE, "")</f>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IF(ISNUMBER(MATCH($C1916,StackableKinds,0)), TRUE, "")</f>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IF(ISNUMBER(MATCH($C1917,StackableKinds,0)), TRUE, "")</f>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IF(ISNUMBER(MATCH($C1918,StackableKinds,0)), TRUE, "")</f>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IF(ISNUMBER(MATCH($C1919,StackableKinds,0)), TRUE, "")</f>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IF(ISNUMBER(MATCH($C1920,StackableKinds,0)), TRUE, "")</f>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IF(ISNUMBER(MATCH($C1921,StackableKinds,0)), TRUE, "")</f>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IF(ISNUMBER(MATCH($C1922,StackableKinds,0)), TRUE, "")</f>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IF(ISNUMBER(MATCH($C1923,StackableKinds,0)), TRUE, "")</f>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IF(ISNUMBER(MATCH($C1924,StackableKinds,0)), TRUE, "")</f>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IF(ISNUMBER(MATCH($C1925,StackableKinds,0)), TRUE, "")</f>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IF(ISNUMBER(MATCH($C1926,StackableKinds,0)), TRUE, "")</f>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IF(ISNUMBER(MATCH($C1928,StackableKinds,0)), TRUE, "")</f>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IF(ISNUMBER(MATCH($C1929,StackableKinds,0)), TRUE, "")</f>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IF(ISNUMBER(MATCH($C1930,StackableKinds,0)), TRUE, "")</f>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IF(ISNUMBER(MATCH($C1931,StackableKinds,0)), TRUE, "")</f>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IF(ISNUMBER(MATCH($C1932,StackableKinds,0)), TRUE, "")</f>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IF(ISNUMBER(MATCH($C1933,StackableKinds,0)), TRUE, "")</f>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IF(ISNUMBER(MATCH($C1934,StackableKinds,0)), TRUE, "")</f>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IF(ISNUMBER(MATCH($C1935,StackableKinds,0)), TRUE, "")</f>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IF(ISNUMBER(MATCH($C1936,StackableKinds,0)), TRUE, "")</f>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IF(ISNUMBER(MATCH($C1937,StackableKinds,0)), TRUE, "")</f>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IF(ISNUMBER(MATCH($C1938,StackableKinds,0)), TRUE, "")</f>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IF(ISNUMBER(MATCH($C1939,StackableKinds,0)), TRUE, "")</f>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IF(ISNUMBER(MATCH($C1940,StackableKinds,0)), TRUE, "")</f>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IF(ISNUMBER(MATCH($C1941,StackableKinds,0)), TRUE, "")</f>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IF(ISNUMBER(MATCH($C1942,StackableKinds,0)), TRUE, "")</f>
        <v>1</v>
      </c>
      <c r="Q1942" s="2"/>
    </row>
    <row r="1943" spans="1:18" x14ac:dyDescent="0.2">
      <c r="A1943" s="19" t="str">
        <f>_xlfn.IFNA(VLOOKUP($B1943,Keys!$A:$B,2,FALSE),_xlfn.IFNA(VLOOKUP($B1943,Keys!$D:$E,2,FALSE),VLOOKUP($B1943,Keys!$G:$H,2,FALSE)))</f>
        <v>0x0000000E0B06058F</v>
      </c>
      <c r="B1943" s="5" t="s">
        <v>2110</v>
      </c>
      <c r="C1943" s="5" t="s">
        <v>9296</v>
      </c>
      <c r="D1943" s="1" t="s">
        <v>16862</v>
      </c>
      <c r="E1943" s="1"/>
      <c r="F1943" s="1"/>
      <c r="G1943" s="1"/>
      <c r="H1943" s="1"/>
      <c r="I1943" s="1"/>
      <c r="J1943" s="2"/>
      <c r="K1943" s="5" t="s">
        <v>9648</v>
      </c>
      <c r="M1943" s="20" t="s">
        <v>10942</v>
      </c>
      <c r="N1943" s="1"/>
      <c r="O1943" s="1"/>
      <c r="P1943" s="21" t="b">
        <f>IF(ISNUMBER(MATCH($C1943,StackableKinds,0)), TRUE, "")</f>
        <v>1</v>
      </c>
      <c r="Q1943" s="2"/>
    </row>
    <row r="1944" spans="1:18" x14ac:dyDescent="0.2">
      <c r="A1944" s="19" t="str">
        <f>_xlfn.IFNA(VLOOKUP($B1944,Keys!$A:$B,2,FALSE),_xlfn.IFNA(VLOOKUP($B1944,Keys!$D:$E,2,FALSE),VLOOKUP($B1944,Keys!$G:$H,2,FALSE)))</f>
        <v>0x0000001AAD5649BD</v>
      </c>
      <c r="B1944" s="5" t="s">
        <v>4254</v>
      </c>
      <c r="C1944" s="5" t="s">
        <v>9296</v>
      </c>
      <c r="D1944" s="1" t="s">
        <v>16858</v>
      </c>
      <c r="E1944" s="1"/>
      <c r="F1944" s="1"/>
      <c r="G1944" s="5" t="s">
        <v>8971</v>
      </c>
      <c r="H1944" s="1"/>
      <c r="I1944" s="1"/>
      <c r="J1944" s="2" t="b">
        <v>1</v>
      </c>
      <c r="K1944" s="5" t="s">
        <v>10267</v>
      </c>
      <c r="M1944" s="20" t="s">
        <v>11362</v>
      </c>
      <c r="N1944" s="1"/>
      <c r="O1944" s="1"/>
      <c r="P1944" s="21" t="b">
        <f>IF(ISNUMBER(MATCH($C1944,StackableKinds,0)), TRUE, "")</f>
        <v>1</v>
      </c>
    </row>
    <row r="1945" spans="1:18" x14ac:dyDescent="0.2">
      <c r="A1945" s="19" t="str">
        <f>_xlfn.IFNA(VLOOKUP($B1945,Keys!$A:$B,2,FALSE),_xlfn.IFNA(VLOOKUP($B1945,Keys!$D:$E,2,FALSE),VLOOKUP($B1945,Keys!$G:$H,2,FALSE)))</f>
        <v>0x00000014EFF7A22E</v>
      </c>
      <c r="B1945" s="5" t="s">
        <v>7616</v>
      </c>
      <c r="C1945" s="5" t="s">
        <v>9296</v>
      </c>
      <c r="D1945" s="1" t="s">
        <v>16859</v>
      </c>
      <c r="E1945" s="1"/>
      <c r="F1945" s="1"/>
      <c r="G1945" s="1"/>
      <c r="H1945" s="1" t="s">
        <v>10854</v>
      </c>
      <c r="I1945" s="1"/>
      <c r="J1945" s="2"/>
      <c r="K1945" s="5" t="s">
        <v>10853</v>
      </c>
      <c r="M1945" s="18"/>
      <c r="N1945" s="1"/>
      <c r="O1945" s="1"/>
      <c r="P1945" s="21" t="b">
        <f>IF(ISNUMBER(MATCH($C1945,StackableKinds,0)), TRUE, "")</f>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IF(ISNUMBER(MATCH($C1946,StackableKinds,0)), TRUE, "")</f>
        <v/>
      </c>
      <c r="Q1946" s="7" t="b">
        <v>1</v>
      </c>
    </row>
    <row r="1947" spans="1:18" x14ac:dyDescent="0.2">
      <c r="A1947" s="19" t="str">
        <f>_xlfn.IFNA(VLOOKUP($B1947,Keys!$A:$B,2,FALSE),_xlfn.IFNA(VLOOKUP($B1947,Keys!$D:$E,2,FALSE),VLOOKUP($B1947,Keys!$G:$H,2,FALSE)))</f>
        <v>0x00000020492466C9</v>
      </c>
      <c r="B1947" s="5" t="s">
        <v>434</v>
      </c>
      <c r="C1947" s="5" t="s">
        <v>7</v>
      </c>
      <c r="D1947" s="5" t="s">
        <v>16858</v>
      </c>
      <c r="E1947" s="5"/>
      <c r="F1947" s="5" t="s">
        <v>410</v>
      </c>
      <c r="G1947" s="5" t="s">
        <v>8972</v>
      </c>
      <c r="H1947" s="1"/>
      <c r="I1947" s="1"/>
      <c r="J1947" s="2"/>
      <c r="K1947" s="5" t="s">
        <v>8973</v>
      </c>
      <c r="L1947" s="5" t="s">
        <v>8974</v>
      </c>
      <c r="M1947" s="20"/>
      <c r="N1947" s="1"/>
      <c r="O1947" s="1"/>
      <c r="P1947" s="21" t="str">
        <f>IF(ISNUMBER(MATCH($C1947,StackableKinds,0)), TRUE, "")</f>
        <v/>
      </c>
      <c r="Q1947" s="2"/>
    </row>
    <row r="1948" spans="1:18" x14ac:dyDescent="0.2">
      <c r="A1948" s="19" t="str">
        <f>_xlfn.IFNA(VLOOKUP($B1948,Keys!$A:$B,2,FALSE),_xlfn.IFNA(VLOOKUP($B1948,Keys!$D:$E,2,FALSE),VLOOKUP($B1948,Keys!$G:$H,2,FALSE)))</f>
        <v>0x0000001E595879A8</v>
      </c>
      <c r="B1948" s="5" t="s">
        <v>3348</v>
      </c>
      <c r="C1948" s="5" t="s">
        <v>7</v>
      </c>
      <c r="D1948" s="5" t="s">
        <v>16859</v>
      </c>
      <c r="E1948" s="5"/>
      <c r="F1948" s="5" t="s">
        <v>4</v>
      </c>
      <c r="G1948" s="1"/>
      <c r="H1948" s="1"/>
      <c r="I1948" s="1"/>
      <c r="J1948" s="2"/>
      <c r="K1948" s="5" t="s">
        <v>10113</v>
      </c>
      <c r="L1948" s="19" t="s">
        <v>11317</v>
      </c>
      <c r="M1948" s="20"/>
      <c r="N1948" s="1"/>
      <c r="O1948" s="1"/>
      <c r="P1948" s="21" t="str">
        <f>IF(ISNUMBER(MATCH($C1948,StackableKinds,0)), TRUE, "")</f>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IF(ISNUMBER(MATCH($C1949,StackableKinds,0)), TRUE, "")</f>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IF(ISNUMBER(MATCH($C1950,StackableKinds,0)), TRUE, "")</f>
        <v/>
      </c>
      <c r="Q1950" s="2"/>
    </row>
    <row r="1951" spans="1:18" x14ac:dyDescent="0.2">
      <c r="A1951" s="19" t="str">
        <f>_xlfn.IFNA(VLOOKUP($B1951,Keys!$A:$B,2,FALSE),_xlfn.IFNA(VLOOKUP($B1951,Keys!$D:$E,2,FALSE),VLOOKUP($B1951,Keys!$G:$H,2,FALSE)))</f>
        <v>0x0000001775C76BA2</v>
      </c>
      <c r="B1951" s="5" t="s">
        <v>5179</v>
      </c>
      <c r="C1951" s="5" t="s">
        <v>7</v>
      </c>
      <c r="D1951" s="5" t="s">
        <v>16860</v>
      </c>
      <c r="E1951" s="5"/>
      <c r="F1951" s="5" t="s">
        <v>10270</v>
      </c>
      <c r="G1951" s="1"/>
      <c r="H1951" s="1"/>
      <c r="I1951" s="1"/>
      <c r="J1951" s="2"/>
      <c r="K1951" s="5" t="s">
        <v>10407</v>
      </c>
      <c r="L1951" s="19" t="s">
        <v>11331</v>
      </c>
      <c r="M1951" s="20"/>
      <c r="N1951" s="1"/>
      <c r="O1951" s="1"/>
      <c r="P1951" s="21" t="str">
        <f>IF(ISNUMBER(MATCH($C1951,StackableKinds,0)), TRUE, "")</f>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IF(ISNUMBER(MATCH($C1952,StackableKinds,0)), TRUE, "")</f>
        <v/>
      </c>
      <c r="R1952" s="22" t="b">
        <v>1</v>
      </c>
    </row>
    <row r="1953" spans="1:18" x14ac:dyDescent="0.2">
      <c r="A1953" s="19" t="str">
        <f>_xlfn.IFNA(VLOOKUP($B1953,Keys!$A:$B,2,FALSE),_xlfn.IFNA(VLOOKUP($B1953,Keys!$D:$E,2,FALSE),VLOOKUP($B1953,Keys!$G:$H,2,FALSE)))</f>
        <v>0x00000018B9860B3F</v>
      </c>
      <c r="B1953" s="5" t="s">
        <v>2078</v>
      </c>
      <c r="C1953" s="5" t="s">
        <v>7</v>
      </c>
      <c r="D1953" s="5" t="s">
        <v>16859</v>
      </c>
      <c r="E1953" s="5"/>
      <c r="F1953" s="5" t="s">
        <v>410</v>
      </c>
      <c r="G1953" s="5" t="s">
        <v>8989</v>
      </c>
      <c r="H1953" s="1"/>
      <c r="I1953" s="1"/>
      <c r="J1953" s="2"/>
      <c r="K1953" s="5" t="s">
        <v>8990</v>
      </c>
      <c r="L1953" s="5" t="s">
        <v>11307</v>
      </c>
      <c r="M1953" s="20"/>
      <c r="N1953" s="1"/>
      <c r="O1953" s="1"/>
      <c r="P1953" s="21" t="str">
        <f>IF(ISNUMBER(MATCH($C1953,StackableKinds,0)), TRUE, "")</f>
        <v/>
      </c>
      <c r="Q1953" s="2"/>
    </row>
    <row r="1954" spans="1:18" x14ac:dyDescent="0.2">
      <c r="A1954" s="19" t="str">
        <f>_xlfn.IFNA(VLOOKUP($B1954,Keys!$A:$B,2,FALSE),_xlfn.IFNA(VLOOKUP($B1954,Keys!$D:$E,2,FALSE),VLOOKUP($B1954,Keys!$G:$H,2,FALSE)))</f>
        <v>0x00000017DE232D54</v>
      </c>
      <c r="B1954" s="5" t="s">
        <v>2622</v>
      </c>
      <c r="C1954" s="5" t="s">
        <v>7</v>
      </c>
      <c r="D1954" s="5" t="s">
        <v>16860</v>
      </c>
      <c r="E1954" s="5"/>
      <c r="F1954" s="5" t="s">
        <v>410</v>
      </c>
      <c r="G1954" s="5" t="s">
        <v>8989</v>
      </c>
      <c r="H1954" s="1"/>
      <c r="I1954" s="1"/>
      <c r="J1954" s="2"/>
      <c r="K1954" s="5" t="s">
        <v>9004</v>
      </c>
      <c r="L1954" s="5" t="s">
        <v>11311</v>
      </c>
      <c r="M1954" s="20"/>
      <c r="N1954" s="1"/>
      <c r="O1954" s="1"/>
      <c r="P1954" s="21" t="str">
        <f>IF(ISNUMBER(MATCH($C1954,StackableKinds,0)), TRUE, "")</f>
        <v/>
      </c>
      <c r="Q1954" s="2"/>
    </row>
    <row r="1955" spans="1:18" x14ac:dyDescent="0.2">
      <c r="A1955" s="19" t="str">
        <f>_xlfn.IFNA(VLOOKUP($B1955,Keys!$A:$B,2,FALSE),_xlfn.IFNA(VLOOKUP($B1955,Keys!$D:$E,2,FALSE),VLOOKUP($B1955,Keys!$G:$H,2,FALSE)))</f>
        <v>0x0000001AF7F22462</v>
      </c>
      <c r="B1955" s="5" t="s">
        <v>2808</v>
      </c>
      <c r="C1955" s="5" t="s">
        <v>7</v>
      </c>
      <c r="D1955" s="5" t="s">
        <v>16859</v>
      </c>
      <c r="E1955" s="5"/>
      <c r="F1955" s="5" t="s">
        <v>410</v>
      </c>
      <c r="G1955" s="5" t="s">
        <v>8989</v>
      </c>
      <c r="H1955" s="1"/>
      <c r="I1955" s="1"/>
      <c r="J1955" s="2"/>
      <c r="K1955" s="5" t="s">
        <v>9005</v>
      </c>
      <c r="L1955" s="5" t="s">
        <v>11313</v>
      </c>
      <c r="M1955" s="20"/>
      <c r="N1955" s="1"/>
      <c r="O1955" s="1"/>
      <c r="P1955" s="21" t="str">
        <f>IF(ISNUMBER(MATCH($C1955,StackableKinds,0)), TRUE, "")</f>
        <v/>
      </c>
      <c r="Q1955" s="2"/>
    </row>
    <row r="1956" spans="1:18" x14ac:dyDescent="0.2">
      <c r="A1956" s="19" t="str">
        <f>_xlfn.IFNA(VLOOKUP($B1956,Keys!$A:$B,2,FALSE),_xlfn.IFNA(VLOOKUP($B1956,Keys!$D:$E,2,FALSE),VLOOKUP($B1956,Keys!$G:$H,2,FALSE)))</f>
        <v>0x0000001D4C0E9BB9</v>
      </c>
      <c r="B1956" s="5" t="s">
        <v>416</v>
      </c>
      <c r="C1956" s="5" t="s">
        <v>7</v>
      </c>
      <c r="D1956" s="5" t="s">
        <v>16858</v>
      </c>
      <c r="E1956" s="5"/>
      <c r="F1956" s="5" t="s">
        <v>410</v>
      </c>
      <c r="G1956" s="5" t="s">
        <v>8972</v>
      </c>
      <c r="H1956" s="1"/>
      <c r="I1956" s="1"/>
      <c r="J1956" s="2"/>
      <c r="K1956" s="5" t="s">
        <v>9006</v>
      </c>
      <c r="L1956" s="5" t="s">
        <v>11290</v>
      </c>
      <c r="M1956" s="20"/>
      <c r="N1956" s="1"/>
      <c r="O1956" s="1"/>
      <c r="P1956" s="21" t="str">
        <f>IF(ISNUMBER(MATCH($C1956,StackableKinds,0)), TRUE, "")</f>
        <v/>
      </c>
      <c r="Q1956" s="2"/>
    </row>
    <row r="1957" spans="1:18" x14ac:dyDescent="0.2">
      <c r="A1957" s="19" t="str">
        <f>_xlfn.IFNA(VLOOKUP($B1957,Keys!$A:$B,2,FALSE),_xlfn.IFNA(VLOOKUP($B1957,Keys!$D:$E,2,FALSE),VLOOKUP($B1957,Keys!$G:$H,2,FALSE)))</f>
        <v>0x0000001F3A1283AC</v>
      </c>
      <c r="B1957" s="5" t="s">
        <v>432</v>
      </c>
      <c r="C1957" s="5" t="s">
        <v>7</v>
      </c>
      <c r="D1957" s="5" t="s">
        <v>16858</v>
      </c>
      <c r="E1957" s="5"/>
      <c r="F1957" s="5" t="s">
        <v>410</v>
      </c>
      <c r="G1957" s="5" t="s">
        <v>8972</v>
      </c>
      <c r="H1957" s="1"/>
      <c r="I1957" s="1"/>
      <c r="J1957" s="2"/>
      <c r="K1957" s="5" t="s">
        <v>9007</v>
      </c>
      <c r="L1957" s="5" t="s">
        <v>11291</v>
      </c>
      <c r="M1957" s="20"/>
      <c r="N1957" s="1"/>
      <c r="O1957" s="1"/>
      <c r="P1957" s="21" t="str">
        <f>IF(ISNUMBER(MATCH($C1957,StackableKinds,0)), TRUE, "")</f>
        <v/>
      </c>
      <c r="Q1957" s="2"/>
    </row>
    <row r="1958" spans="1:18" x14ac:dyDescent="0.2">
      <c r="A1958" s="19" t="str">
        <f>_xlfn.IFNA(VLOOKUP($B1958,Keys!$A:$B,2,FALSE),_xlfn.IFNA(VLOOKUP($B1958,Keys!$D:$E,2,FALSE),VLOOKUP($B1958,Keys!$G:$H,2,FALSE)))</f>
        <v>0x000000188A6E19A5</v>
      </c>
      <c r="B1958" s="5" t="s">
        <v>986</v>
      </c>
      <c r="C1958" s="19" t="s">
        <v>7</v>
      </c>
      <c r="D1958" s="5" t="s">
        <v>16860</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16860</v>
      </c>
      <c r="E1959" s="5"/>
      <c r="F1959" s="5" t="s">
        <v>410</v>
      </c>
      <c r="G1959" s="5" t="s">
        <v>9008</v>
      </c>
      <c r="H1959" s="1"/>
      <c r="I1959" s="1"/>
      <c r="J1959" s="2"/>
      <c r="K1959" s="5" t="s">
        <v>9041</v>
      </c>
      <c r="L1959" s="5" t="s">
        <v>11304</v>
      </c>
      <c r="M1959" s="20"/>
      <c r="N1959" s="1"/>
      <c r="O1959" s="1"/>
      <c r="P1959" s="21" t="str">
        <f>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16860</v>
      </c>
      <c r="E1960" s="5"/>
      <c r="F1960" s="5" t="s">
        <v>410</v>
      </c>
      <c r="G1960" s="5" t="s">
        <v>9008</v>
      </c>
      <c r="H1960" s="1"/>
      <c r="I1960" s="1"/>
      <c r="J1960" s="2"/>
      <c r="K1960" s="5" t="s">
        <v>9042</v>
      </c>
      <c r="L1960" s="5" t="s">
        <v>9043</v>
      </c>
      <c r="M1960" s="20"/>
      <c r="N1960" s="1"/>
      <c r="O1960" s="1"/>
      <c r="P1960" s="21" t="str">
        <f>IF(ISNUMBER(MATCH($C1960,StackableKinds,0)), TRUE, "")</f>
        <v/>
      </c>
      <c r="Q1960" s="2"/>
    </row>
    <row r="1961" spans="1:18" x14ac:dyDescent="0.2">
      <c r="A1961" s="19" t="str">
        <f>_xlfn.IFNA(VLOOKUP($B1961,Keys!$A:$B,2,FALSE),_xlfn.IFNA(VLOOKUP($B1961,Keys!$D:$E,2,FALSE),VLOOKUP($B1961,Keys!$G:$H,2,FALSE)))</f>
        <v>0x0000001710AD1772</v>
      </c>
      <c r="B1961" s="5" t="s">
        <v>5483</v>
      </c>
      <c r="C1961" s="5" t="s">
        <v>7</v>
      </c>
      <c r="D1961" s="5" t="s">
        <v>16860</v>
      </c>
      <c r="E1961" s="5"/>
      <c r="F1961" s="5" t="s">
        <v>410</v>
      </c>
      <c r="G1961" s="5" t="s">
        <v>9008</v>
      </c>
      <c r="H1961" s="1"/>
      <c r="I1961" s="1"/>
      <c r="J1961" s="2"/>
      <c r="K1961" s="5" t="s">
        <v>9044</v>
      </c>
      <c r="L1961" s="5" t="s">
        <v>9045</v>
      </c>
      <c r="M1961" s="20"/>
      <c r="N1961" s="1"/>
      <c r="O1961" s="1"/>
      <c r="P1961" s="21" t="str">
        <f>IF(ISNUMBER(MATCH($C1961,StackableKinds,0)), TRUE, "")</f>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IF(ISNUMBER(MATCH($C1962,StackableKinds,0)), TRUE, "")</f>
        <v/>
      </c>
    </row>
    <row r="1963" spans="1:18" x14ac:dyDescent="0.2">
      <c r="A1963" s="19" t="str">
        <f>_xlfn.IFNA(VLOOKUP($B1963,Keys!$A:$B,2,FALSE),_xlfn.IFNA(VLOOKUP($B1963,Keys!$D:$E,2,FALSE),VLOOKUP($B1963,Keys!$G:$H,2,FALSE)))</f>
        <v>0x0000001637A1C953</v>
      </c>
      <c r="B1963" s="5" t="s">
        <v>556</v>
      </c>
      <c r="C1963" s="5" t="s">
        <v>7</v>
      </c>
      <c r="D1963" s="5" t="s">
        <v>16861</v>
      </c>
      <c r="E1963" s="5"/>
      <c r="F1963" s="5" t="s">
        <v>410</v>
      </c>
      <c r="G1963" s="5" t="s">
        <v>8972</v>
      </c>
      <c r="H1963" s="1"/>
      <c r="I1963" s="1"/>
      <c r="J1963" s="2"/>
      <c r="K1963" s="5" t="s">
        <v>9046</v>
      </c>
      <c r="L1963" s="5" t="s">
        <v>11297</v>
      </c>
      <c r="M1963" s="20"/>
      <c r="N1963" s="1"/>
      <c r="O1963" s="1"/>
      <c r="P1963" s="21" t="str">
        <f>IF(ISNUMBER(MATCH($C1963,StackableKinds,0)), TRUE, "")</f>
        <v/>
      </c>
      <c r="Q1963" s="2"/>
    </row>
    <row r="1964" spans="1:18" x14ac:dyDescent="0.2">
      <c r="A1964" s="19" t="str">
        <f>_xlfn.IFNA(VLOOKUP($B1964,Keys!$A:$B,2,FALSE),_xlfn.IFNA(VLOOKUP($B1964,Keys!$D:$E,2,FALSE),VLOOKUP($B1964,Keys!$G:$H,2,FALSE)))</f>
        <v>0x0000001CF70BA285</v>
      </c>
      <c r="B1964" s="5" t="s">
        <v>5133</v>
      </c>
      <c r="C1964" s="5" t="s">
        <v>7</v>
      </c>
      <c r="D1964" s="5" t="s">
        <v>16858</v>
      </c>
      <c r="E1964" s="5"/>
      <c r="F1964" s="5" t="s">
        <v>4</v>
      </c>
      <c r="G1964" s="1"/>
      <c r="H1964" s="1"/>
      <c r="I1964" s="1"/>
      <c r="J1964" s="2"/>
      <c r="K1964" s="5" t="s">
        <v>10275</v>
      </c>
      <c r="L1964" s="19" t="s">
        <v>11244</v>
      </c>
      <c r="M1964" s="20"/>
      <c r="N1964" s="1"/>
      <c r="O1964" s="1"/>
      <c r="P1964" s="21" t="str">
        <f>IF(ISNUMBER(MATCH($C1964,StackableKinds,0)), TRUE, "")</f>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IF(ISNUMBER(MATCH($C1965,StackableKinds,0)), TRUE, "")</f>
        <v/>
      </c>
      <c r="Q1965" s="2"/>
    </row>
    <row r="1966" spans="1:18" x14ac:dyDescent="0.2">
      <c r="A1966" s="19" t="str">
        <f>_xlfn.IFNA(VLOOKUP($B1966,Keys!$A:$B,2,FALSE),_xlfn.IFNA(VLOOKUP($B1966,Keys!$D:$E,2,FALSE),VLOOKUP($B1966,Keys!$G:$H,2,FALSE)))</f>
        <v>0x00000019C77C11F4</v>
      </c>
      <c r="B1966" s="5" t="s">
        <v>990</v>
      </c>
      <c r="C1966" s="5" t="s">
        <v>7</v>
      </c>
      <c r="D1966" s="5" t="s">
        <v>16860</v>
      </c>
      <c r="E1966" s="5"/>
      <c r="F1966" s="5" t="s">
        <v>410</v>
      </c>
      <c r="G1966" s="5" t="s">
        <v>9049</v>
      </c>
      <c r="H1966" s="1"/>
      <c r="I1966" s="1"/>
      <c r="J1966" s="2"/>
      <c r="K1966" s="5" t="s">
        <v>9050</v>
      </c>
      <c r="L1966" s="5" t="s">
        <v>9051</v>
      </c>
      <c r="M1966" s="20"/>
      <c r="N1966" s="1"/>
      <c r="O1966" s="1"/>
      <c r="P1966" s="21" t="str">
        <f>IF(ISNUMBER(MATCH($C1966,StackableKinds,0)), TRUE, "")</f>
        <v/>
      </c>
      <c r="Q1966" s="2"/>
    </row>
    <row r="1967" spans="1:18" x14ac:dyDescent="0.2">
      <c r="A1967" s="19" t="str">
        <f>_xlfn.IFNA(VLOOKUP($B1967,Keys!$A:$B,2,FALSE),_xlfn.IFNA(VLOOKUP($B1967,Keys!$D:$E,2,FALSE),VLOOKUP($B1967,Keys!$G:$H,2,FALSE)))</f>
        <v>0x0000001E76733153</v>
      </c>
      <c r="B1967" s="5" t="s">
        <v>5726</v>
      </c>
      <c r="C1967" s="5" t="s">
        <v>7</v>
      </c>
      <c r="D1967" s="5" t="s">
        <v>16860</v>
      </c>
      <c r="E1967" s="5"/>
      <c r="F1967" s="5" t="s">
        <v>9002</v>
      </c>
      <c r="G1967" s="1"/>
      <c r="H1967" s="1"/>
      <c r="I1967" s="1"/>
      <c r="J1967" s="2"/>
      <c r="K1967" s="5" t="s">
        <v>10574</v>
      </c>
      <c r="L1967" s="19" t="s">
        <v>11338</v>
      </c>
      <c r="M1967" s="20"/>
      <c r="N1967" s="1"/>
      <c r="O1967" s="1"/>
      <c r="P1967" s="21" t="str">
        <f>IF(ISNUMBER(MATCH($C1967,StackableKinds,0)), TRUE, "")</f>
        <v/>
      </c>
      <c r="Q1967" s="2"/>
    </row>
    <row r="1968" spans="1:18" x14ac:dyDescent="0.2">
      <c r="A1968" s="19" t="str">
        <f>_xlfn.IFNA(VLOOKUP($B1968,Keys!$A:$B,2,FALSE),_xlfn.IFNA(VLOOKUP($B1968,Keys!$D:$E,2,FALSE),VLOOKUP($B1968,Keys!$G:$H,2,FALSE)))</f>
        <v>0x0000001782D23BCF</v>
      </c>
      <c r="B1968" s="5" t="s">
        <v>5159</v>
      </c>
      <c r="C1968" s="5" t="s">
        <v>7</v>
      </c>
      <c r="D1968" s="5" t="s">
        <v>16860</v>
      </c>
      <c r="E1968" s="5"/>
      <c r="F1968" s="5" t="s">
        <v>10270</v>
      </c>
      <c r="G1968" s="1"/>
      <c r="H1968" s="1"/>
      <c r="I1968" s="1"/>
      <c r="J1968" s="2"/>
      <c r="K1968" s="5" t="s">
        <v>10280</v>
      </c>
      <c r="L1968" s="19" t="s">
        <v>11327</v>
      </c>
      <c r="M1968" s="20"/>
      <c r="N1968" s="1"/>
      <c r="O1968" s="1"/>
      <c r="P1968" s="21" t="str">
        <f>IF(ISNUMBER(MATCH($C1968,StackableKinds,0)), TRUE, "")</f>
        <v/>
      </c>
      <c r="R1968" s="22" t="b">
        <v>1</v>
      </c>
    </row>
    <row r="1969" spans="1:18" x14ac:dyDescent="0.2">
      <c r="A1969" s="19" t="str">
        <f>_xlfn.IFNA(VLOOKUP($B1969,Keys!$A:$B,2,FALSE),_xlfn.IFNA(VLOOKUP($B1969,Keys!$D:$E,2,FALSE),VLOOKUP($B1969,Keys!$G:$H,2,FALSE)))</f>
        <v>0x0000001EC0512812</v>
      </c>
      <c r="B1969" s="5" t="s">
        <v>3346</v>
      </c>
      <c r="C1969" s="5" t="s">
        <v>7</v>
      </c>
      <c r="D1969" s="5" t="s">
        <v>16858</v>
      </c>
      <c r="E1969" s="5"/>
      <c r="F1969" s="5" t="s">
        <v>4</v>
      </c>
      <c r="G1969" s="1"/>
      <c r="H1969" s="1"/>
      <c r="I1969" s="1"/>
      <c r="J1969" s="2"/>
      <c r="K1969" s="5" t="s">
        <v>10112</v>
      </c>
      <c r="L1969" s="19" t="s">
        <v>11316</v>
      </c>
      <c r="M1969" s="20"/>
      <c r="N1969" s="1"/>
      <c r="O1969" s="1"/>
      <c r="P1969" s="21" t="str">
        <f>IF(ISNUMBER(MATCH($C1969,StackableKinds,0)), TRUE, "")</f>
        <v/>
      </c>
      <c r="Q1969" s="2"/>
    </row>
    <row r="1970" spans="1:18" x14ac:dyDescent="0.2">
      <c r="A1970" s="19" t="str">
        <f>_xlfn.IFNA(VLOOKUP($B1970,Keys!$A:$B,2,FALSE),_xlfn.IFNA(VLOOKUP($B1970,Keys!$D:$E,2,FALSE),VLOOKUP($B1970,Keys!$G:$H,2,FALSE)))</f>
        <v>0x00000017EBA3FE01</v>
      </c>
      <c r="B1970" s="5" t="s">
        <v>5169</v>
      </c>
      <c r="C1970" s="5" t="s">
        <v>7</v>
      </c>
      <c r="D1970" s="5" t="s">
        <v>16859</v>
      </c>
      <c r="E1970" s="5"/>
      <c r="F1970" s="5" t="s">
        <v>10270</v>
      </c>
      <c r="G1970" s="1"/>
      <c r="H1970" s="1"/>
      <c r="I1970" s="1"/>
      <c r="J1970" s="2"/>
      <c r="K1970" s="5" t="s">
        <v>10402</v>
      </c>
      <c r="L1970" s="19" t="s">
        <v>11328</v>
      </c>
      <c r="M1970" s="20"/>
      <c r="N1970" s="1"/>
      <c r="O1970" s="1"/>
      <c r="P1970" s="21" t="str">
        <f>IF(ISNUMBER(MATCH($C1970,StackableKinds,0)), TRUE, "")</f>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IF(ISNUMBER(MATCH($C1971,StackableKinds,0)), TRUE, "")</f>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IF(ISNUMBER(MATCH($C1972,StackableKinds,0)), TRUE, "")</f>
        <v/>
      </c>
      <c r="R1972" s="22" t="b">
        <v>1</v>
      </c>
    </row>
    <row r="1973" spans="1:18" x14ac:dyDescent="0.2">
      <c r="A1973" s="19" t="str">
        <f>_xlfn.IFNA(VLOOKUP($B1973,Keys!$A:$B,2,FALSE),_xlfn.IFNA(VLOOKUP($B1973,Keys!$D:$E,2,FALSE),VLOOKUP($B1973,Keys!$G:$H,2,FALSE)))</f>
        <v>0x00000013E06EEFA1</v>
      </c>
      <c r="B1973" s="5" t="s">
        <v>8701</v>
      </c>
      <c r="C1973" s="5" t="s">
        <v>7</v>
      </c>
      <c r="D1973" s="5" t="s">
        <v>16862</v>
      </c>
      <c r="E1973" s="5"/>
      <c r="F1973" s="5" t="s">
        <v>10717</v>
      </c>
      <c r="G1973" s="1"/>
      <c r="H1973" s="1"/>
      <c r="I1973" s="1"/>
      <c r="J1973" s="2"/>
      <c r="K1973" s="5" t="s">
        <v>10718</v>
      </c>
      <c r="L1973" s="19" t="s">
        <v>11155</v>
      </c>
      <c r="M1973" s="20"/>
      <c r="N1973" s="1"/>
      <c r="O1973" s="1"/>
      <c r="P1973" s="21" t="str">
        <f>IF(ISNUMBER(MATCH($C1973,StackableKinds,0)), TRUE, "")</f>
        <v/>
      </c>
      <c r="Q1973" s="2"/>
    </row>
    <row r="1974" spans="1:18" x14ac:dyDescent="0.2">
      <c r="A1974" s="19" t="str">
        <f>_xlfn.IFNA(VLOOKUP($B1974,Keys!$A:$B,2,FALSE),_xlfn.IFNA(VLOOKUP($B1974,Keys!$D:$E,2,FALSE),VLOOKUP($B1974,Keys!$G:$H,2,FALSE)))</f>
        <v>0x0000001E5E35BDB1</v>
      </c>
      <c r="B1974" s="5" t="s">
        <v>3356</v>
      </c>
      <c r="C1974" s="5" t="s">
        <v>7</v>
      </c>
      <c r="D1974" s="5" t="s">
        <v>16859</v>
      </c>
      <c r="E1974" s="5"/>
      <c r="F1974" s="5" t="s">
        <v>4</v>
      </c>
      <c r="G1974" s="1"/>
      <c r="H1974" s="1"/>
      <c r="I1974" s="1"/>
      <c r="J1974" s="2"/>
      <c r="K1974" s="5" t="s">
        <v>10116</v>
      </c>
      <c r="L1974" s="19" t="s">
        <v>11320</v>
      </c>
      <c r="M1974" s="20"/>
      <c r="N1974" s="1"/>
      <c r="O1974" s="1"/>
      <c r="P1974" s="21" t="str">
        <f>IF(ISNUMBER(MATCH($C1974,StackableKinds,0)), TRUE, "")</f>
        <v/>
      </c>
      <c r="Q1974" s="2"/>
    </row>
    <row r="1975" spans="1:18" x14ac:dyDescent="0.2">
      <c r="A1975" s="19" t="str">
        <f>_xlfn.IFNA(VLOOKUP($B1975,Keys!$A:$B,2,FALSE),_xlfn.IFNA(VLOOKUP($B1975,Keys!$D:$E,2,FALSE),VLOOKUP($B1975,Keys!$G:$H,2,FALSE)))</f>
        <v>0x0000001EB98D90B6</v>
      </c>
      <c r="B1975" s="5" t="s">
        <v>3360</v>
      </c>
      <c r="C1975" s="5" t="s">
        <v>7</v>
      </c>
      <c r="D1975" s="5" t="s">
        <v>16858</v>
      </c>
      <c r="E1975" s="5"/>
      <c r="F1975" s="5" t="s">
        <v>4</v>
      </c>
      <c r="G1975" s="1"/>
      <c r="H1975" s="1"/>
      <c r="I1975" s="1"/>
      <c r="J1975" s="2"/>
      <c r="K1975" s="5" t="s">
        <v>10118</v>
      </c>
      <c r="L1975" s="19" t="s">
        <v>11322</v>
      </c>
      <c r="M1975" s="20"/>
      <c r="N1975" s="1"/>
      <c r="O1975" s="1"/>
      <c r="P1975" s="21" t="str">
        <f>IF(ISNUMBER(MATCH($C1975,StackableKinds,0)), TRUE, "")</f>
        <v/>
      </c>
      <c r="Q1975" s="2"/>
    </row>
    <row r="1976" spans="1:18" x14ac:dyDescent="0.2">
      <c r="A1976" s="19" t="str">
        <f>_xlfn.IFNA(VLOOKUP($B1976,Keys!$A:$B,2,FALSE),_xlfn.IFNA(VLOOKUP($B1976,Keys!$D:$E,2,FALSE),VLOOKUP($B1976,Keys!$G:$H,2,FALSE)))</f>
        <v>0x00000016AEA898E9</v>
      </c>
      <c r="B1976" s="5" t="s">
        <v>562</v>
      </c>
      <c r="C1976" s="5" t="s">
        <v>7</v>
      </c>
      <c r="D1976" s="5" t="s">
        <v>16860</v>
      </c>
      <c r="E1976" s="5"/>
      <c r="F1976" s="5" t="s">
        <v>410</v>
      </c>
      <c r="G1976" s="5" t="s">
        <v>8972</v>
      </c>
      <c r="H1976" s="1"/>
      <c r="I1976" s="1"/>
      <c r="J1976" s="2"/>
      <c r="K1976" s="5" t="s">
        <v>9052</v>
      </c>
      <c r="L1976" s="5" t="s">
        <v>11298</v>
      </c>
      <c r="M1976" s="20"/>
      <c r="N1976" s="1"/>
      <c r="O1976" s="1"/>
      <c r="P1976" s="21" t="str">
        <f>IF(ISNUMBER(MATCH($C1976,StackableKinds,0)), TRUE, "")</f>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IF(ISNUMBER(MATCH($C1977,StackableKinds,0)), TRUE, "")</f>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IF(ISNUMBER(MATCH($C1978,StackableKinds,0)), TRUE, "")</f>
        <v/>
      </c>
      <c r="Q1978" s="7" t="b">
        <v>1</v>
      </c>
    </row>
    <row r="1979" spans="1:18" x14ac:dyDescent="0.2">
      <c r="A1979" s="19" t="str">
        <f>_xlfn.IFNA(VLOOKUP($B1979,Keys!$A:$B,2,FALSE),_xlfn.IFNA(VLOOKUP($B1979,Keys!$D:$E,2,FALSE),VLOOKUP($B1979,Keys!$G:$H,2,FALSE)))</f>
        <v>0x000000191ACC470F</v>
      </c>
      <c r="B1979" s="5" t="s">
        <v>1264</v>
      </c>
      <c r="C1979" s="5" t="s">
        <v>7</v>
      </c>
      <c r="D1979" s="5" t="s">
        <v>16860</v>
      </c>
      <c r="E1979" s="5"/>
      <c r="F1979" s="5" t="s">
        <v>410</v>
      </c>
      <c r="G1979" s="5" t="s">
        <v>9049</v>
      </c>
      <c r="H1979" s="1"/>
      <c r="I1979" s="1"/>
      <c r="J1979" s="2"/>
      <c r="K1979" s="5" t="s">
        <v>9053</v>
      </c>
      <c r="L1979" s="5" t="s">
        <v>11305</v>
      </c>
      <c r="M1979" s="20"/>
      <c r="N1979" s="1"/>
      <c r="O1979" s="1"/>
      <c r="P1979" s="21" t="str">
        <f>IF(ISNUMBER(MATCH($C1979,StackableKinds,0)), TRUE, "")</f>
        <v/>
      </c>
      <c r="Q1979" s="2"/>
    </row>
    <row r="1980" spans="1:18" x14ac:dyDescent="0.2">
      <c r="A1980" s="19" t="str">
        <f>_xlfn.IFNA(VLOOKUP($B1980,Keys!$A:$B,2,FALSE),_xlfn.IFNA(VLOOKUP($B1980,Keys!$D:$E,2,FALSE),VLOOKUP($B1980,Keys!$G:$H,2,FALSE)))</f>
        <v>0x0000001C7BC99B78</v>
      </c>
      <c r="B1980" s="5" t="s">
        <v>2434</v>
      </c>
      <c r="C1980" s="5" t="s">
        <v>7</v>
      </c>
      <c r="D1980" s="5" t="s">
        <v>16861</v>
      </c>
      <c r="E1980" s="5"/>
      <c r="F1980" s="5" t="s">
        <v>410</v>
      </c>
      <c r="G1980" s="5" t="s">
        <v>9241</v>
      </c>
      <c r="H1980" s="1"/>
      <c r="I1980" s="1"/>
      <c r="J1980" s="2"/>
      <c r="K1980" s="5" t="s">
        <v>9242</v>
      </c>
      <c r="L1980" s="5" t="s">
        <v>9243</v>
      </c>
      <c r="M1980" s="20"/>
      <c r="N1980" s="1"/>
      <c r="O1980" s="1"/>
      <c r="P1980" s="21" t="str">
        <f>IF(ISNUMBER(MATCH($C1980,StackableKinds,0)), TRUE, "")</f>
        <v/>
      </c>
      <c r="Q1980" s="2"/>
    </row>
    <row r="1981" spans="1:18" x14ac:dyDescent="0.2">
      <c r="A1981" s="19" t="str">
        <f>_xlfn.IFNA(VLOOKUP($B1981,Keys!$A:$B,2,FALSE),_xlfn.IFNA(VLOOKUP($B1981,Keys!$D:$E,2,FALSE),VLOOKUP($B1981,Keys!$G:$H,2,FALSE)))</f>
        <v>0x0000001A1EF79F2E</v>
      </c>
      <c r="B1981" s="5" t="s">
        <v>1436</v>
      </c>
      <c r="C1981" s="5" t="s">
        <v>7</v>
      </c>
      <c r="D1981" s="5" t="s">
        <v>16860</v>
      </c>
      <c r="E1981" s="5"/>
      <c r="F1981" s="5" t="s">
        <v>410</v>
      </c>
      <c r="G1981" s="5" t="s">
        <v>9049</v>
      </c>
      <c r="H1981" s="1"/>
      <c r="I1981" s="1"/>
      <c r="J1981" s="2"/>
      <c r="K1981" s="5" t="s">
        <v>9244</v>
      </c>
      <c r="L1981" s="5" t="s">
        <v>9245</v>
      </c>
      <c r="M1981" s="20"/>
      <c r="N1981" s="1"/>
      <c r="O1981" s="1"/>
      <c r="P1981" s="21" t="str">
        <f>IF(ISNUMBER(MATCH($C1981,StackableKinds,0)), TRUE, "")</f>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IF(ISNUMBER(MATCH($C1982,StackableKinds,0)), TRUE, "")</f>
        <v/>
      </c>
      <c r="Q1982" s="2"/>
    </row>
    <row r="1983" spans="1:18" x14ac:dyDescent="0.2">
      <c r="A1983" s="19" t="str">
        <f>_xlfn.IFNA(VLOOKUP($B1983,Keys!$A:$B,2,FALSE),_xlfn.IFNA(VLOOKUP($B1983,Keys!$D:$E,2,FALSE),VLOOKUP($B1983,Keys!$G:$H,2,FALSE)))</f>
        <v>0x0000000FD916D352</v>
      </c>
      <c r="B1983" s="5" t="s">
        <v>1448</v>
      </c>
      <c r="C1983" s="5" t="s">
        <v>7</v>
      </c>
      <c r="D1983" s="5" t="s">
        <v>16859</v>
      </c>
      <c r="E1983" s="5"/>
      <c r="F1983" s="5" t="s">
        <v>410</v>
      </c>
      <c r="G1983" s="5" t="s">
        <v>9008</v>
      </c>
      <c r="H1983" s="1"/>
      <c r="I1983" s="1"/>
      <c r="J1983" s="2"/>
      <c r="K1983" s="5" t="s">
        <v>9248</v>
      </c>
      <c r="L1983" s="5" t="s">
        <v>11306</v>
      </c>
      <c r="M1983" s="20"/>
      <c r="N1983" s="1"/>
      <c r="O1983" s="1"/>
      <c r="P1983" s="21" t="str">
        <f>IF(ISNUMBER(MATCH($C1983,StackableKinds,0)), TRUE, "")</f>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IF(ISNUMBER(MATCH($C1984,StackableKinds,0)), TRUE, "")</f>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IF(ISNUMBER(MATCH($C1985,StackableKinds,0)), TRUE, "")</f>
        <v/>
      </c>
    </row>
    <row r="1986" spans="1:17" x14ac:dyDescent="0.2">
      <c r="A1986" s="19" t="str">
        <f>_xlfn.IFNA(VLOOKUP($B1986,Keys!$A:$B,2,FALSE),_xlfn.IFNA(VLOOKUP($B1986,Keys!$D:$E,2,FALSE),VLOOKUP($B1986,Keys!$G:$H,2,FALSE)))</f>
        <v>0x0000001C696F3726</v>
      </c>
      <c r="B1986" s="5" t="s">
        <v>5131</v>
      </c>
      <c r="C1986" s="5" t="s">
        <v>7</v>
      </c>
      <c r="D1986" s="5" t="s">
        <v>16858</v>
      </c>
      <c r="E1986" s="5"/>
      <c r="F1986" s="5" t="s">
        <v>4</v>
      </c>
      <c r="G1986" s="1"/>
      <c r="H1986" s="1"/>
      <c r="I1986" s="1"/>
      <c r="J1986" s="2"/>
      <c r="K1986" s="5" t="s">
        <v>10274</v>
      </c>
      <c r="L1986" s="19" t="s">
        <v>11326</v>
      </c>
      <c r="M1986" s="20"/>
      <c r="N1986" s="1"/>
      <c r="O1986" s="1"/>
      <c r="P1986" s="21" t="str">
        <f>IF(ISNUMBER(MATCH($C1986,StackableKinds,0)), TRUE, "")</f>
        <v/>
      </c>
    </row>
    <row r="1987" spans="1:17" x14ac:dyDescent="0.2">
      <c r="A1987" s="19" t="str">
        <f>_xlfn.IFNA(VLOOKUP($B1987,Keys!$A:$B,2,FALSE),_xlfn.IFNA(VLOOKUP($B1987,Keys!$D:$E,2,FALSE),VLOOKUP($B1987,Keys!$G:$H,2,FALSE)))</f>
        <v>0x00000022AF093928</v>
      </c>
      <c r="B1987" s="5" t="s">
        <v>5545</v>
      </c>
      <c r="C1987" s="5" t="s">
        <v>7</v>
      </c>
      <c r="D1987" s="5" t="s">
        <v>16858</v>
      </c>
      <c r="E1987" s="5"/>
      <c r="F1987" s="5" t="s">
        <v>410</v>
      </c>
      <c r="G1987" s="5" t="s">
        <v>9008</v>
      </c>
      <c r="H1987" s="1"/>
      <c r="I1987" s="1"/>
      <c r="J1987" s="2"/>
      <c r="K1987" s="5" t="s">
        <v>9324</v>
      </c>
      <c r="L1987" s="5" t="s">
        <v>11335</v>
      </c>
      <c r="M1987" s="20"/>
      <c r="N1987" s="1"/>
      <c r="O1987" s="1"/>
      <c r="P1987" s="21" t="str">
        <f>IF(ISNUMBER(MATCH($C1987,StackableKinds,0)), TRUE, "")</f>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IF(ISNUMBER(MATCH($C1988,StackableKinds,0)), TRUE, "")</f>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IF(ISNUMBER(MATCH($C1989,StackableKinds,0)), TRUE, "")</f>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IF(ISNUMBER(MATCH($C1990,StackableKinds,0)), TRUE, "")</f>
        <v/>
      </c>
      <c r="Q1990" s="2"/>
    </row>
    <row r="1991" spans="1:17" x14ac:dyDescent="0.2">
      <c r="A1991" s="19" t="str">
        <f>_xlfn.IFNA(VLOOKUP($B1991,Keys!$A:$B,2,FALSE),_xlfn.IFNA(VLOOKUP($B1991,Keys!$D:$E,2,FALSE),VLOOKUP($B1991,Keys!$G:$H,2,FALSE)))</f>
        <v>0x0000001CB2DD64AD</v>
      </c>
      <c r="B1991" s="5" t="s">
        <v>988</v>
      </c>
      <c r="C1991" s="5" t="s">
        <v>7</v>
      </c>
      <c r="D1991" s="5" t="s">
        <v>16860</v>
      </c>
      <c r="E1991" s="5"/>
      <c r="F1991" s="5" t="s">
        <v>410</v>
      </c>
      <c r="G1991" s="5" t="s">
        <v>8989</v>
      </c>
      <c r="H1991" s="1"/>
      <c r="I1991" s="1"/>
      <c r="J1991" s="2"/>
      <c r="K1991" s="5" t="s">
        <v>9327</v>
      </c>
      <c r="L1991" s="5" t="s">
        <v>11302</v>
      </c>
      <c r="M1991" s="20"/>
      <c r="N1991" s="1"/>
      <c r="O1991" s="1"/>
      <c r="P1991" s="21" t="str">
        <f>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16860</v>
      </c>
      <c r="E1992" s="5"/>
      <c r="F1992" s="5" t="s">
        <v>410</v>
      </c>
      <c r="G1992" s="5" t="s">
        <v>8989</v>
      </c>
      <c r="H1992" s="1"/>
      <c r="I1992" s="1"/>
      <c r="J1992" s="2"/>
      <c r="K1992" s="5" t="s">
        <v>9354</v>
      </c>
      <c r="L1992" s="5" t="s">
        <v>9355</v>
      </c>
      <c r="M1992" s="20"/>
      <c r="N1992" s="1"/>
      <c r="O1992" s="1"/>
      <c r="P1992" s="21" t="str">
        <f>IF(ISNUMBER(MATCH($C1992,StackableKinds,0)), TRUE, "")</f>
        <v/>
      </c>
    </row>
    <row r="1993" spans="1:17" x14ac:dyDescent="0.2">
      <c r="A1993" s="19" t="str">
        <f>_xlfn.IFNA(VLOOKUP($B1993,Keys!$A:$B,2,FALSE),_xlfn.IFNA(VLOOKUP($B1993,Keys!$D:$E,2,FALSE),VLOOKUP($B1993,Keys!$G:$H,2,FALSE)))</f>
        <v>0x0000001C969D38FE</v>
      </c>
      <c r="B1993" s="5" t="s">
        <v>3304</v>
      </c>
      <c r="C1993" s="5" t="s">
        <v>7</v>
      </c>
      <c r="D1993" s="5" t="s">
        <v>16860</v>
      </c>
      <c r="E1993" s="5"/>
      <c r="F1993" s="5" t="s">
        <v>410</v>
      </c>
      <c r="G1993" s="5" t="s">
        <v>8989</v>
      </c>
      <c r="H1993" s="1"/>
      <c r="I1993" s="1"/>
      <c r="J1993" s="2"/>
      <c r="K1993" s="5" t="s">
        <v>9358</v>
      </c>
      <c r="L1993" s="19" t="s">
        <v>10866</v>
      </c>
      <c r="M1993" s="20"/>
      <c r="N1993" s="1"/>
      <c r="O1993" s="1"/>
      <c r="P1993" s="21" t="str">
        <f>IF(ISNUMBER(MATCH($C1993,StackableKinds,0)), TRUE, "")</f>
        <v/>
      </c>
      <c r="Q1993" s="2"/>
    </row>
    <row r="1994" spans="1:17" x14ac:dyDescent="0.2">
      <c r="A1994" s="19" t="str">
        <f>_xlfn.IFNA(VLOOKUP($B1994,Keys!$A:$B,2,FALSE),_xlfn.IFNA(VLOOKUP($B1994,Keys!$D:$E,2,FALSE),VLOOKUP($B1994,Keys!$G:$H,2,FALSE)))</f>
        <v>0x0000001BF3CD3650</v>
      </c>
      <c r="B1994" s="5" t="s">
        <v>5485</v>
      </c>
      <c r="C1994" s="5" t="s">
        <v>7</v>
      </c>
      <c r="D1994" s="5" t="s">
        <v>16860</v>
      </c>
      <c r="E1994" s="5"/>
      <c r="F1994" s="5" t="s">
        <v>410</v>
      </c>
      <c r="G1994" s="5" t="s">
        <v>8989</v>
      </c>
      <c r="H1994" s="1"/>
      <c r="I1994" s="1"/>
      <c r="J1994" s="2"/>
      <c r="K1994" s="5" t="s">
        <v>9637</v>
      </c>
      <c r="L1994" s="19" t="s">
        <v>10933</v>
      </c>
      <c r="M1994" s="20"/>
      <c r="N1994" s="1"/>
      <c r="O1994" s="1"/>
      <c r="P1994" s="21" t="str">
        <f>IF(ISNUMBER(MATCH($C1994,StackableKinds,0)), TRUE, "")</f>
        <v/>
      </c>
      <c r="Q1994" s="2"/>
    </row>
    <row r="1995" spans="1:17" x14ac:dyDescent="0.2">
      <c r="A1995" s="19" t="str">
        <f>_xlfn.IFNA(VLOOKUP($B1995,Keys!$A:$B,2,FALSE),_xlfn.IFNA(VLOOKUP($B1995,Keys!$D:$E,2,FALSE),VLOOKUP($B1995,Keys!$G:$H,2,FALSE)))</f>
        <v>0x0000001BA003EC35</v>
      </c>
      <c r="B1995" s="5" t="s">
        <v>442</v>
      </c>
      <c r="C1995" s="5" t="s">
        <v>7</v>
      </c>
      <c r="D1995" s="5" t="s">
        <v>16860</v>
      </c>
      <c r="E1995" s="5"/>
      <c r="F1995" s="5" t="s">
        <v>9002</v>
      </c>
      <c r="G1995" s="5" t="s">
        <v>8971</v>
      </c>
      <c r="H1995" s="1"/>
      <c r="I1995" s="1"/>
      <c r="J1995" s="2"/>
      <c r="K1995" s="5" t="s">
        <v>9003</v>
      </c>
      <c r="L1995" s="5" t="s">
        <v>11292</v>
      </c>
      <c r="M1995" s="20"/>
      <c r="N1995" s="1"/>
      <c r="O1995" s="1"/>
      <c r="P1995" s="21" t="str">
        <f>IF(ISNUMBER(MATCH($C1995,StackableKinds,0)), TRUE, "")</f>
        <v/>
      </c>
      <c r="Q1995" s="2"/>
    </row>
    <row r="1996" spans="1:17" x14ac:dyDescent="0.2">
      <c r="A1996" s="19" t="str">
        <f>_xlfn.IFNA(VLOOKUP($B1996,Keys!$A:$B,2,FALSE),_xlfn.IFNA(VLOOKUP($B1996,Keys!$D:$E,2,FALSE),VLOOKUP($B1996,Keys!$G:$H,2,FALSE)))</f>
        <v>0x00000012DF647C91</v>
      </c>
      <c r="B1996" s="5" t="s">
        <v>2934</v>
      </c>
      <c r="C1996" s="5" t="s">
        <v>7</v>
      </c>
      <c r="D1996" s="5" t="s">
        <v>16860</v>
      </c>
      <c r="E1996" s="5"/>
      <c r="F1996" s="5" t="s">
        <v>410</v>
      </c>
      <c r="G1996" s="5" t="s">
        <v>9049</v>
      </c>
      <c r="H1996" s="1"/>
      <c r="I1996" s="1"/>
      <c r="J1996" s="2"/>
      <c r="K1996" s="5" t="s">
        <v>9638</v>
      </c>
      <c r="L1996" s="19" t="s">
        <v>11315</v>
      </c>
      <c r="M1996" s="20"/>
      <c r="N1996" s="1"/>
      <c r="O1996" s="1"/>
      <c r="P1996" s="21" t="str">
        <f>IF(ISNUMBER(MATCH($C1996,StackableKinds,0)), TRUE, "")</f>
        <v/>
      </c>
      <c r="Q1996" s="2"/>
    </row>
    <row r="1997" spans="1:17" x14ac:dyDescent="0.2">
      <c r="A1997" s="19" t="str">
        <f>_xlfn.IFNA(VLOOKUP($B1997,Keys!$A:$B,2,FALSE),_xlfn.IFNA(VLOOKUP($B1997,Keys!$D:$E,2,FALSE),VLOOKUP($B1997,Keys!$G:$H,2,FALSE)))</f>
        <v>0x0000002676F8F182</v>
      </c>
      <c r="B1997" s="5" t="s">
        <v>2960</v>
      </c>
      <c r="C1997" s="5" t="s">
        <v>7</v>
      </c>
      <c r="D1997" s="5" t="s">
        <v>16860</v>
      </c>
      <c r="E1997" s="5"/>
      <c r="F1997" s="5" t="s">
        <v>410</v>
      </c>
      <c r="G1997" s="5" t="s">
        <v>9049</v>
      </c>
      <c r="H1997" s="1"/>
      <c r="I1997" s="1"/>
      <c r="J1997" s="2"/>
      <c r="K1997" s="5" t="s">
        <v>9795</v>
      </c>
      <c r="L1997" s="19" t="s">
        <v>10951</v>
      </c>
      <c r="M1997" s="20"/>
      <c r="N1997" s="1"/>
      <c r="O1997" s="1"/>
      <c r="P1997" s="21" t="str">
        <f>IF(ISNUMBER(MATCH($C1997,StackableKinds,0)), TRUE, "")</f>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IF(ISNUMBER(MATCH($C1998,StackableKinds,0)), TRUE, "")</f>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IF(ISNUMBER(MATCH($C1999,StackableKinds,0)), TRUE, "")</f>
        <v/>
      </c>
      <c r="Q1999" s="7" t="b">
        <v>1</v>
      </c>
    </row>
    <row r="2000" spans="1:17" x14ac:dyDescent="0.2">
      <c r="A2000" s="19" t="str">
        <f>_xlfn.IFNA(VLOOKUP($B2000,Keys!$A:$B,2,FALSE),_xlfn.IFNA(VLOOKUP($B2000,Keys!$D:$E,2,FALSE),VLOOKUP($B2000,Keys!$G:$H,2,FALSE)))</f>
        <v>0x00000019267B3F14</v>
      </c>
      <c r="B2000" s="5" t="s">
        <v>984</v>
      </c>
      <c r="C2000" s="5" t="s">
        <v>7</v>
      </c>
      <c r="D2000" s="5" t="s">
        <v>16860</v>
      </c>
      <c r="E2000" s="5"/>
      <c r="F2000" s="5" t="s">
        <v>410</v>
      </c>
      <c r="G2000" s="5" t="s">
        <v>9796</v>
      </c>
      <c r="H2000" s="1"/>
      <c r="I2000" s="1"/>
      <c r="J2000" s="2"/>
      <c r="K2000" s="5" t="s">
        <v>9797</v>
      </c>
      <c r="L2000" s="19" t="s">
        <v>11300</v>
      </c>
      <c r="M2000" s="20"/>
      <c r="N2000" s="1"/>
      <c r="O2000" s="1"/>
      <c r="P2000" s="21" t="str">
        <f>IF(ISNUMBER(MATCH($C2000,StackableKinds,0)), TRUE, "")</f>
        <v/>
      </c>
      <c r="Q2000" s="2"/>
    </row>
    <row r="2001" spans="1:18" x14ac:dyDescent="0.2">
      <c r="A2001" s="19" t="str">
        <f>_xlfn.IFNA(VLOOKUP($B2001,Keys!$A:$B,2,FALSE),_xlfn.IFNA(VLOOKUP($B2001,Keys!$D:$E,2,FALSE),VLOOKUP($B2001,Keys!$G:$H,2,FALSE)))</f>
        <v>0x00000019FBCB69EF</v>
      </c>
      <c r="B2001" s="5" t="s">
        <v>1258</v>
      </c>
      <c r="C2001" s="5" t="s">
        <v>7</v>
      </c>
      <c r="D2001" s="5" t="s">
        <v>16860</v>
      </c>
      <c r="E2001" s="5"/>
      <c r="F2001" s="5" t="s">
        <v>410</v>
      </c>
      <c r="G2001" s="5" t="s">
        <v>9796</v>
      </c>
      <c r="H2001" s="1"/>
      <c r="I2001" s="1"/>
      <c r="J2001" s="2"/>
      <c r="K2001" s="5" t="s">
        <v>9798</v>
      </c>
      <c r="L2001" s="19" t="s">
        <v>11303</v>
      </c>
      <c r="M2001" s="20"/>
      <c r="N2001" s="1"/>
      <c r="O2001" s="1"/>
      <c r="P2001" s="21" t="str">
        <f>IF(ISNUMBER(MATCH($C2001,StackableKinds,0)), TRUE, "")</f>
        <v/>
      </c>
      <c r="Q2001" s="2"/>
    </row>
    <row r="2002" spans="1:18" x14ac:dyDescent="0.2">
      <c r="A2002" s="19" t="str">
        <f>_xlfn.IFNA(VLOOKUP($B2002,Keys!$A:$B,2,FALSE),_xlfn.IFNA(VLOOKUP($B2002,Keys!$D:$E,2,FALSE),VLOOKUP($B2002,Keys!$G:$H,2,FALSE)))</f>
        <v>0x00000019D283BBAE</v>
      </c>
      <c r="B2002" s="5" t="s">
        <v>3300</v>
      </c>
      <c r="C2002" s="5" t="s">
        <v>7</v>
      </c>
      <c r="D2002" s="5" t="s">
        <v>16860</v>
      </c>
      <c r="E2002" s="5"/>
      <c r="F2002" s="5" t="s">
        <v>410</v>
      </c>
      <c r="G2002" s="5" t="s">
        <v>9796</v>
      </c>
      <c r="H2002" s="1"/>
      <c r="I2002" s="1"/>
      <c r="J2002" s="2"/>
      <c r="K2002" s="5" t="s">
        <v>9799</v>
      </c>
      <c r="L2002" s="19" t="s">
        <v>10952</v>
      </c>
      <c r="M2002" s="20"/>
      <c r="N2002" s="1"/>
      <c r="O2002" s="1"/>
      <c r="P2002" s="21" t="str">
        <f>IF(ISNUMBER(MATCH($C2002,StackableKinds,0)), TRUE, "")</f>
        <v/>
      </c>
      <c r="Q2002" s="2"/>
    </row>
    <row r="2003" spans="1:18" x14ac:dyDescent="0.2">
      <c r="A2003" s="19" t="str">
        <f>_xlfn.IFNA(VLOOKUP($B2003,Keys!$A:$B,2,FALSE),_xlfn.IFNA(VLOOKUP($B2003,Keys!$D:$E,2,FALSE),VLOOKUP($B2003,Keys!$G:$H,2,FALSE)))</f>
        <v>0x000000183E56BB6D</v>
      </c>
      <c r="B2003" s="5" t="s">
        <v>5481</v>
      </c>
      <c r="C2003" s="5" t="s">
        <v>7</v>
      </c>
      <c r="D2003" s="5" t="s">
        <v>16860</v>
      </c>
      <c r="E2003" s="5"/>
      <c r="F2003" s="5" t="s">
        <v>410</v>
      </c>
      <c r="G2003" s="5" t="s">
        <v>9796</v>
      </c>
      <c r="H2003" s="1"/>
      <c r="I2003" s="1"/>
      <c r="J2003" s="2"/>
      <c r="K2003" s="5" t="s">
        <v>9800</v>
      </c>
      <c r="L2003" s="19" t="s">
        <v>10953</v>
      </c>
      <c r="M2003" s="20"/>
      <c r="N2003" s="1"/>
      <c r="O2003" s="1"/>
      <c r="P2003" s="21" t="str">
        <f>IF(ISNUMBER(MATCH($C2003,StackableKinds,0)), TRUE, "")</f>
        <v/>
      </c>
      <c r="Q2003" s="2"/>
    </row>
    <row r="2004" spans="1:18" x14ac:dyDescent="0.2">
      <c r="A2004" s="19" t="str">
        <f>_xlfn.IFNA(VLOOKUP($B2004,Keys!$A:$B,2,FALSE),_xlfn.IFNA(VLOOKUP($B2004,Keys!$D:$E,2,FALSE),VLOOKUP($B2004,Keys!$G:$H,2,FALSE)))</f>
        <v>0x0000001D15C1C7BF</v>
      </c>
      <c r="B2004" s="5" t="s">
        <v>2080</v>
      </c>
      <c r="C2004" s="5" t="s">
        <v>7</v>
      </c>
      <c r="D2004" s="5" t="s">
        <v>16859</v>
      </c>
      <c r="E2004" s="5"/>
      <c r="F2004" s="5" t="s">
        <v>410</v>
      </c>
      <c r="G2004" s="5" t="s">
        <v>9796</v>
      </c>
      <c r="H2004" s="1"/>
      <c r="I2004" s="1"/>
      <c r="J2004" s="2"/>
      <c r="K2004" s="5" t="s">
        <v>9801</v>
      </c>
      <c r="L2004" s="19" t="s">
        <v>11308</v>
      </c>
      <c r="M2004" s="20"/>
      <c r="N2004" s="1"/>
      <c r="O2004" s="1"/>
      <c r="P2004" s="21" t="str">
        <f>IF(ISNUMBER(MATCH($C2004,StackableKinds,0)), TRUE, "")</f>
        <v/>
      </c>
      <c r="Q2004" s="2"/>
    </row>
    <row r="2005" spans="1:18" x14ac:dyDescent="0.2">
      <c r="A2005" s="19" t="str">
        <f>_xlfn.IFNA(VLOOKUP($B2005,Keys!$A:$B,2,FALSE),_xlfn.IFNA(VLOOKUP($B2005,Keys!$D:$E,2,FALSE),VLOOKUP($B2005,Keys!$G:$H,2,FALSE)))</f>
        <v>0x0000001C8B7513EA</v>
      </c>
      <c r="B2005" s="5" t="s">
        <v>2624</v>
      </c>
      <c r="C2005" s="5" t="s">
        <v>7</v>
      </c>
      <c r="D2005" s="5" t="s">
        <v>16860</v>
      </c>
      <c r="E2005" s="5"/>
      <c r="F2005" s="5" t="s">
        <v>410</v>
      </c>
      <c r="G2005" s="5" t="s">
        <v>9796</v>
      </c>
      <c r="H2005" s="1"/>
      <c r="I2005" s="1"/>
      <c r="J2005" s="2"/>
      <c r="K2005" s="5" t="s">
        <v>9802</v>
      </c>
      <c r="L2005" s="19" t="s">
        <v>11312</v>
      </c>
      <c r="M2005" s="20"/>
      <c r="N2005" s="1"/>
      <c r="O2005" s="1"/>
      <c r="P2005" s="21" t="str">
        <f>IF(ISNUMBER(MATCH($C2005,StackableKinds,0)), TRUE, "")</f>
        <v/>
      </c>
      <c r="Q2005" s="2"/>
    </row>
    <row r="2006" spans="1:18" x14ac:dyDescent="0.2">
      <c r="A2006" s="19" t="str">
        <f>_xlfn.IFNA(VLOOKUP($B2006,Keys!$A:$B,2,FALSE),_xlfn.IFNA(VLOOKUP($B2006,Keys!$D:$E,2,FALSE),VLOOKUP($B2006,Keys!$G:$H,2,FALSE)))</f>
        <v>0x0000001F1011D1AA</v>
      </c>
      <c r="B2006" s="5" t="s">
        <v>2810</v>
      </c>
      <c r="C2006" s="5" t="s">
        <v>7</v>
      </c>
      <c r="D2006" s="5" t="s">
        <v>16859</v>
      </c>
      <c r="E2006" s="5"/>
      <c r="F2006" s="5" t="s">
        <v>410</v>
      </c>
      <c r="G2006" s="5" t="s">
        <v>9796</v>
      </c>
      <c r="H2006" s="1"/>
      <c r="I2006" s="1"/>
      <c r="J2006" s="2"/>
      <c r="K2006" s="5" t="s">
        <v>9820</v>
      </c>
      <c r="L2006" s="19" t="s">
        <v>11314</v>
      </c>
      <c r="M2006" s="20"/>
      <c r="N2006" s="1"/>
      <c r="O2006" s="1"/>
      <c r="P2006" s="21" t="str">
        <f>IF(ISNUMBER(MATCH($C2006,StackableKinds,0)), TRUE, "")</f>
        <v/>
      </c>
      <c r="Q2006" s="2"/>
    </row>
    <row r="2007" spans="1:18" x14ac:dyDescent="0.2">
      <c r="A2007" s="19" t="str">
        <f>_xlfn.IFNA(VLOOKUP($B2007,Keys!$A:$B,2,FALSE),_xlfn.IFNA(VLOOKUP($B2007,Keys!$D:$E,2,FALSE),VLOOKUP($B2007,Keys!$G:$H,2,FALSE)))</f>
        <v>0x0000001A7171D6D7</v>
      </c>
      <c r="B2007" s="5" t="s">
        <v>5553</v>
      </c>
      <c r="C2007" s="5" t="s">
        <v>7</v>
      </c>
      <c r="D2007" s="5" t="s">
        <v>16860</v>
      </c>
      <c r="E2007" s="5"/>
      <c r="F2007" s="5" t="s">
        <v>10270</v>
      </c>
      <c r="G2007" s="1"/>
      <c r="H2007" s="1"/>
      <c r="I2007" s="1"/>
      <c r="J2007" s="2"/>
      <c r="K2007" s="5" t="s">
        <v>10546</v>
      </c>
      <c r="L2007" s="19" t="s">
        <v>11121</v>
      </c>
      <c r="M2007" s="20"/>
      <c r="N2007" s="1"/>
      <c r="O2007" s="1"/>
      <c r="P2007" s="21" t="str">
        <f>IF(ISNUMBER(MATCH($C2007,StackableKinds,0)), TRUE, "")</f>
        <v/>
      </c>
      <c r="Q2007" s="2"/>
    </row>
    <row r="2008" spans="1:18" x14ac:dyDescent="0.2">
      <c r="A2008" s="19" t="str">
        <f>_xlfn.IFNA(VLOOKUP($B2008,Keys!$A:$B,2,FALSE),_xlfn.IFNA(VLOOKUP($B2008,Keys!$D:$E,2,FALSE),VLOOKUP($B2008,Keys!$G:$H,2,FALSE)))</f>
        <v>0x0000001772125F39</v>
      </c>
      <c r="B2008" s="5" t="s">
        <v>2992</v>
      </c>
      <c r="C2008" s="5" t="s">
        <v>7</v>
      </c>
      <c r="D2008" s="5" t="s">
        <v>16860</v>
      </c>
      <c r="E2008" s="5"/>
      <c r="F2008" s="5" t="s">
        <v>410</v>
      </c>
      <c r="G2008" s="5" t="s">
        <v>9049</v>
      </c>
      <c r="H2008" s="1"/>
      <c r="I2008" s="1"/>
      <c r="J2008" s="2"/>
      <c r="K2008" s="5" t="s">
        <v>9821</v>
      </c>
      <c r="L2008" s="19" t="s">
        <v>11294</v>
      </c>
      <c r="M2008" s="20"/>
      <c r="N2008" s="1"/>
      <c r="O2008" s="1"/>
      <c r="P2008" s="21" t="str">
        <f>IF(ISNUMBER(MATCH($C2008,StackableKinds,0)), TRUE, "")</f>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IF(ISNUMBER(MATCH($C2009,StackableKinds,0)), TRUE, "")</f>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IF(ISNUMBER(MATCH($C2010,StackableKinds,0)), TRUE, "")</f>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IF(ISNUMBER(MATCH($C2011,StackableKinds,0)), TRUE, "")</f>
        <v/>
      </c>
      <c r="R2011" s="22" t="b">
        <v>1</v>
      </c>
    </row>
    <row r="2012" spans="1:18" x14ac:dyDescent="0.2">
      <c r="A2012" s="19" t="str">
        <f>_xlfn.IFNA(VLOOKUP($B2012,Keys!$A:$B,2,FALSE),_xlfn.IFNA(VLOOKUP($B2012,Keys!$D:$E,2,FALSE),VLOOKUP($B2012,Keys!$G:$H,2,FALSE)))</f>
        <v>0x0000001E2E5F493E</v>
      </c>
      <c r="B2012" s="5" t="s">
        <v>3350</v>
      </c>
      <c r="C2012" s="5" t="s">
        <v>7</v>
      </c>
      <c r="D2012" s="5" t="s">
        <v>16858</v>
      </c>
      <c r="E2012" s="5"/>
      <c r="F2012" s="5" t="s">
        <v>4</v>
      </c>
      <c r="G2012" s="1"/>
      <c r="H2012" s="1"/>
      <c r="I2012" s="1"/>
      <c r="J2012" s="2"/>
      <c r="K2012" s="5" t="s">
        <v>10114</v>
      </c>
      <c r="L2012" s="19" t="s">
        <v>11318</v>
      </c>
      <c r="M2012" s="20"/>
      <c r="N2012" s="1"/>
      <c r="O2012" s="1"/>
      <c r="P2012" s="21" t="str">
        <f>IF(ISNUMBER(MATCH($C2012,StackableKinds,0)), TRUE, "")</f>
        <v/>
      </c>
      <c r="Q2012" s="2"/>
      <c r="R2012" s="22" t="b">
        <v>1</v>
      </c>
    </row>
    <row r="2013" spans="1:18" x14ac:dyDescent="0.2">
      <c r="A2013" s="19" t="str">
        <f>_xlfn.IFNA(VLOOKUP($B2013,Keys!$A:$B,2,FALSE),_xlfn.IFNA(VLOOKUP($B2013,Keys!$D:$E,2,FALSE),VLOOKUP($B2013,Keys!$G:$H,2,FALSE)))</f>
        <v>0x0000001702C05B34</v>
      </c>
      <c r="B2013" s="5" t="s">
        <v>5181</v>
      </c>
      <c r="C2013" s="5" t="s">
        <v>7</v>
      </c>
      <c r="D2013" s="5" t="s">
        <v>16861</v>
      </c>
      <c r="E2013" s="5"/>
      <c r="F2013" s="5" t="s">
        <v>10270</v>
      </c>
      <c r="G2013" s="1"/>
      <c r="H2013" s="1"/>
      <c r="I2013" s="1"/>
      <c r="J2013" s="2"/>
      <c r="K2013" s="5" t="s">
        <v>10408</v>
      </c>
      <c r="L2013" s="19" t="s">
        <v>11332</v>
      </c>
      <c r="M2013" s="20"/>
      <c r="N2013" s="1"/>
      <c r="O2013" s="1"/>
      <c r="P2013" s="21" t="str">
        <f>IF(ISNUMBER(MATCH($C2013,StackableKinds,0)), TRUE, "")</f>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IF(ISNUMBER(MATCH($C2014,StackableKinds,0)), TRUE, "")</f>
        <v/>
      </c>
      <c r="R2014" s="22" t="b">
        <v>1</v>
      </c>
    </row>
    <row r="2015" spans="1:18" x14ac:dyDescent="0.2">
      <c r="A2015" s="19" t="str">
        <f>_xlfn.IFNA(VLOOKUP($B2015,Keys!$A:$B,2,FALSE),_xlfn.IFNA(VLOOKUP($B2015,Keys!$D:$E,2,FALSE),VLOOKUP($B2015,Keys!$G:$H,2,FALSE)))</f>
        <v>0x0000001C6540A2A3</v>
      </c>
      <c r="B2015" s="5" t="s">
        <v>6014</v>
      </c>
      <c r="C2015" s="5" t="s">
        <v>7</v>
      </c>
      <c r="D2015" s="5" t="s">
        <v>16860</v>
      </c>
      <c r="E2015" s="5"/>
      <c r="F2015" s="5" t="s">
        <v>10270</v>
      </c>
      <c r="G2015" s="5" t="s">
        <v>8971</v>
      </c>
      <c r="H2015" s="1"/>
      <c r="I2015" s="1"/>
      <c r="J2015" s="2"/>
      <c r="K2015" s="5" t="s">
        <v>10735</v>
      </c>
      <c r="L2015" s="5" t="s">
        <v>11340</v>
      </c>
      <c r="M2015" s="20"/>
      <c r="N2015" s="1"/>
      <c r="O2015" s="1"/>
      <c r="P2015" s="21" t="str">
        <f>IF(ISNUMBER(MATCH($C2015,StackableKinds,0)), TRUE, "")</f>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IF(ISNUMBER(MATCH($C2016,StackableKinds,0)), TRUE, "")</f>
        <v/>
      </c>
    </row>
    <row r="2017" spans="1:18" x14ac:dyDescent="0.2">
      <c r="A2017" s="19" t="str">
        <f>_xlfn.IFNA(VLOOKUP($B2017,Keys!$A:$B,2,FALSE),_xlfn.IFNA(VLOOKUP($B2017,Keys!$D:$E,2,FALSE),VLOOKUP($B2017,Keys!$G:$H,2,FALSE)))</f>
        <v>0x0000001E29328D27</v>
      </c>
      <c r="B2017" s="5" t="s">
        <v>3358</v>
      </c>
      <c r="C2017" s="5" t="s">
        <v>7</v>
      </c>
      <c r="D2017" s="5" t="s">
        <v>16858</v>
      </c>
      <c r="E2017" s="5"/>
      <c r="F2017" s="5" t="s">
        <v>4</v>
      </c>
      <c r="G2017" s="1"/>
      <c r="H2017" s="1"/>
      <c r="I2017" s="1"/>
      <c r="J2017" s="2"/>
      <c r="K2017" s="5" t="s">
        <v>10117</v>
      </c>
      <c r="L2017" s="19" t="s">
        <v>11321</v>
      </c>
      <c r="M2017" s="20"/>
      <c r="N2017" s="1"/>
      <c r="O2017" s="1"/>
      <c r="P2017" s="21" t="str">
        <f>IF(ISNUMBER(MATCH($C2017,StackableKinds,0)), TRUE, "")</f>
        <v/>
      </c>
      <c r="Q2017" s="2"/>
    </row>
    <row r="2018" spans="1:18" x14ac:dyDescent="0.2">
      <c r="A2018" s="19" t="str">
        <f>_xlfn.IFNA(VLOOKUP($B2018,Keys!$A:$B,2,FALSE),_xlfn.IFNA(VLOOKUP($B2018,Keys!$D:$E,2,FALSE),VLOOKUP($B2018,Keys!$G:$H,2,FALSE)))</f>
        <v>0x0000001772AAAFBB</v>
      </c>
      <c r="B2018" s="5" t="s">
        <v>5171</v>
      </c>
      <c r="C2018" s="5" t="s">
        <v>7</v>
      </c>
      <c r="D2018" s="5" t="s">
        <v>16861</v>
      </c>
      <c r="E2018" s="5"/>
      <c r="F2018" s="5" t="s">
        <v>10270</v>
      </c>
      <c r="G2018" s="1"/>
      <c r="H2018" s="1"/>
      <c r="I2018" s="1"/>
      <c r="J2018" s="2"/>
      <c r="K2018" s="5" t="s">
        <v>10403</v>
      </c>
      <c r="L2018" s="19" t="s">
        <v>11329</v>
      </c>
      <c r="M2018" s="20"/>
      <c r="N2018" s="1"/>
      <c r="O2018" s="1"/>
      <c r="P2018" s="21" t="str">
        <f>IF(ISNUMBER(MATCH($C2018,StackableKinds,0)), TRUE, "")</f>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IF(ISNUMBER(MATCH($C2019,StackableKinds,0)), TRUE, "")</f>
        <v/>
      </c>
      <c r="Q2019" s="2"/>
      <c r="R2019" s="22" t="b">
        <v>1</v>
      </c>
    </row>
    <row r="2020" spans="1:18" x14ac:dyDescent="0.2">
      <c r="A2020" s="19" t="str">
        <f>_xlfn.IFNA(VLOOKUP($B2020,Keys!$A:$B,2,FALSE),_xlfn.IFNA(VLOOKUP($B2020,Keys!$D:$E,2,FALSE),VLOOKUP($B2020,Keys!$G:$H,2,FALSE)))</f>
        <v>0x0000002232833D2A</v>
      </c>
      <c r="B2020" s="5" t="s">
        <v>5549</v>
      </c>
      <c r="C2020" s="5" t="s">
        <v>7</v>
      </c>
      <c r="D2020" s="5" t="s">
        <v>16858</v>
      </c>
      <c r="E2020" s="5"/>
      <c r="F2020" s="5" t="s">
        <v>410</v>
      </c>
      <c r="G2020" s="5" t="s">
        <v>8989</v>
      </c>
      <c r="H2020" s="1"/>
      <c r="I2020" s="1"/>
      <c r="J2020" s="2"/>
      <c r="K2020" s="5" t="s">
        <v>9900</v>
      </c>
      <c r="L2020" s="19" t="s">
        <v>11337</v>
      </c>
      <c r="M2020" s="20"/>
      <c r="N2020" s="1"/>
      <c r="O2020" s="1"/>
      <c r="P2020" s="21" t="str">
        <f>IF(ISNUMBER(MATCH($C2020,StackableKinds,0)), TRUE, "")</f>
        <v/>
      </c>
      <c r="Q2020" s="2"/>
    </row>
    <row r="2021" spans="1:18" x14ac:dyDescent="0.2">
      <c r="A2021" s="19" t="str">
        <f>_xlfn.IFNA(VLOOKUP($B2021,Keys!$A:$B,2,FALSE),_xlfn.IFNA(VLOOKUP($B2021,Keys!$D:$E,2,FALSE),VLOOKUP($B2021,Keys!$G:$H,2,FALSE)))</f>
        <v>0x00000021D8E49173</v>
      </c>
      <c r="B2021" s="5" t="s">
        <v>444</v>
      </c>
      <c r="C2021" s="5" t="s">
        <v>7</v>
      </c>
      <c r="D2021" s="5" t="s">
        <v>16858</v>
      </c>
      <c r="E2021" s="5"/>
      <c r="F2021" s="5" t="s">
        <v>410</v>
      </c>
      <c r="G2021" s="5" t="s">
        <v>8755</v>
      </c>
      <c r="H2021" s="1"/>
      <c r="I2021" s="1"/>
      <c r="J2021" s="2"/>
      <c r="K2021" s="5" t="s">
        <v>9901</v>
      </c>
      <c r="L2021" s="19" t="s">
        <v>11293</v>
      </c>
      <c r="M2021" s="20"/>
      <c r="N2021" s="1"/>
      <c r="O2021" s="1"/>
      <c r="P2021" s="21" t="str">
        <f>IF(ISNUMBER(MATCH($C2021,StackableKinds,0)), TRUE, "")</f>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IF(ISNUMBER(MATCH($C2022,StackableKinds,0)), TRUE, "")</f>
        <v/>
      </c>
      <c r="Q2022" s="2"/>
    </row>
    <row r="2023" spans="1:18" x14ac:dyDescent="0.2">
      <c r="A2023" s="19" t="str">
        <f>_xlfn.IFNA(VLOOKUP($B2023,Keys!$A:$B,2,FALSE),_xlfn.IFNA(VLOOKUP($B2023,Keys!$D:$E,2,FALSE),VLOOKUP($B2023,Keys!$G:$H,2,FALSE)))</f>
        <v>0x0000001A7F2CBA18</v>
      </c>
      <c r="B2023" s="5" t="s">
        <v>4945</v>
      </c>
      <c r="C2023" s="5" t="s">
        <v>7</v>
      </c>
      <c r="D2023" s="5" t="s">
        <v>16858</v>
      </c>
      <c r="E2023" s="5"/>
      <c r="F2023" s="5" t="s">
        <v>410</v>
      </c>
      <c r="G2023" s="5" t="s">
        <v>8755</v>
      </c>
      <c r="H2023" s="1"/>
      <c r="I2023" s="1"/>
      <c r="J2023" s="2"/>
      <c r="K2023" s="5" t="s">
        <v>9962</v>
      </c>
      <c r="L2023" s="19" t="s">
        <v>10986</v>
      </c>
      <c r="M2023" s="20"/>
      <c r="N2023" s="1"/>
      <c r="O2023" s="1"/>
      <c r="P2023" s="21" t="str">
        <f>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16860</v>
      </c>
      <c r="E2024" s="5"/>
      <c r="F2024" s="5" t="s">
        <v>410</v>
      </c>
      <c r="G2024" s="5" t="s">
        <v>8755</v>
      </c>
      <c r="H2024" s="1"/>
      <c r="I2024" s="1"/>
      <c r="J2024" s="2"/>
      <c r="K2024" s="5" t="s">
        <v>9972</v>
      </c>
      <c r="L2024" s="19" t="s">
        <v>11325</v>
      </c>
      <c r="M2024" s="20"/>
      <c r="N2024" s="1"/>
      <c r="O2024" s="1"/>
      <c r="P2024" s="21" t="str">
        <f>IF(ISNUMBER(MATCH($C2024,StackableKinds,0)), TRUE, "")</f>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IF(ISNUMBER(MATCH($C2025,StackableKinds,0)), TRUE, "")</f>
        <v/>
      </c>
      <c r="Q2025" s="2"/>
    </row>
    <row r="2026" spans="1:18" x14ac:dyDescent="0.2">
      <c r="A2026" s="19" t="str">
        <f>_xlfn.IFNA(VLOOKUP($B2026,Keys!$A:$B,2,FALSE),_xlfn.IFNA(VLOOKUP($B2026,Keys!$D:$E,2,FALSE),VLOOKUP($B2026,Keys!$G:$H,2,FALSE)))</f>
        <v>0x0000001A9FF95306</v>
      </c>
      <c r="B2026" s="5" t="s">
        <v>4939</v>
      </c>
      <c r="C2026" s="5" t="s">
        <v>7</v>
      </c>
      <c r="D2026" s="5" t="s">
        <v>16860</v>
      </c>
      <c r="E2026" s="5"/>
      <c r="F2026" s="5" t="s">
        <v>410</v>
      </c>
      <c r="G2026" s="5" t="s">
        <v>8755</v>
      </c>
      <c r="H2026" s="1"/>
      <c r="I2026" s="1"/>
      <c r="J2026" s="2"/>
      <c r="K2026" s="5" t="s">
        <v>10109</v>
      </c>
      <c r="L2026" s="19" t="s">
        <v>11324</v>
      </c>
      <c r="M2026" s="20"/>
      <c r="N2026" s="1"/>
      <c r="O2026" s="1"/>
      <c r="P2026" s="21" t="str">
        <f>IF(ISNUMBER(MATCH($C2026,StackableKinds,0)), TRUE, "")</f>
        <v/>
      </c>
      <c r="Q2026" s="2"/>
    </row>
    <row r="2027" spans="1:18" x14ac:dyDescent="0.2">
      <c r="A2027" s="19" t="str">
        <f>_xlfn.IFNA(VLOOKUP($B2027,Keys!$A:$B,2,FALSE),_xlfn.IFNA(VLOOKUP($B2027,Keys!$D:$E,2,FALSE),VLOOKUP($B2027,Keys!$G:$H,2,FALSE)))</f>
        <v>0x0000002495172FC2</v>
      </c>
      <c r="B2027" s="5" t="s">
        <v>5730</v>
      </c>
      <c r="C2027" s="5" t="s">
        <v>7</v>
      </c>
      <c r="D2027" s="5" t="s">
        <v>16859</v>
      </c>
      <c r="E2027" s="5"/>
      <c r="F2027" s="5" t="s">
        <v>410</v>
      </c>
      <c r="G2027" s="5" t="s">
        <v>8755</v>
      </c>
      <c r="H2027" s="1"/>
      <c r="I2027" s="1"/>
      <c r="J2027" s="2"/>
      <c r="K2027" s="5" t="s">
        <v>10110</v>
      </c>
      <c r="L2027" s="19" t="s">
        <v>11002</v>
      </c>
      <c r="M2027" s="20"/>
      <c r="N2027" s="1"/>
      <c r="O2027" s="1"/>
      <c r="P2027" s="21" t="str">
        <f>IF(ISNUMBER(MATCH($C2027,StackableKinds,0)), TRUE, "")</f>
        <v/>
      </c>
      <c r="Q2027" s="2"/>
    </row>
    <row r="2028" spans="1:18" x14ac:dyDescent="0.2">
      <c r="A2028" s="19" t="str">
        <f>_xlfn.IFNA(VLOOKUP($B2028,Keys!$A:$B,2,FALSE),_xlfn.IFNA(VLOOKUP($B2028,Keys!$D:$E,2,FALSE),VLOOKUP($B2028,Keys!$G:$H,2,FALSE)))</f>
        <v>0x00000024B7A2770B</v>
      </c>
      <c r="B2028" s="5" t="s">
        <v>5547</v>
      </c>
      <c r="C2028" s="5" t="s">
        <v>7</v>
      </c>
      <c r="D2028" s="5" t="s">
        <v>16859</v>
      </c>
      <c r="E2028" s="5"/>
      <c r="F2028" s="5" t="s">
        <v>410</v>
      </c>
      <c r="G2028" s="5" t="s">
        <v>8755</v>
      </c>
      <c r="H2028" s="1"/>
      <c r="I2028" s="1"/>
      <c r="J2028" s="2"/>
      <c r="K2028" s="5" t="s">
        <v>10299</v>
      </c>
      <c r="L2028" s="19" t="s">
        <v>11336</v>
      </c>
      <c r="M2028" s="20"/>
      <c r="N2028" s="1"/>
      <c r="O2028" s="1"/>
      <c r="P2028" s="21" t="str">
        <f>IF(ISNUMBER(MATCH($C2028,StackableKinds,0)), TRUE, "")</f>
        <v/>
      </c>
      <c r="Q2028" s="2"/>
    </row>
    <row r="2029" spans="1:18" x14ac:dyDescent="0.2">
      <c r="A2029" s="19" t="str">
        <f>_xlfn.IFNA(VLOOKUP($B2029,Keys!$A:$B,2,FALSE),_xlfn.IFNA(VLOOKUP($B2029,Keys!$D:$E,2,FALSE),VLOOKUP($B2029,Keys!$G:$H,2,FALSE)))</f>
        <v>0x0000001B072F8D55</v>
      </c>
      <c r="B2029" s="5" t="s">
        <v>6012</v>
      </c>
      <c r="C2029" s="5" t="s">
        <v>7</v>
      </c>
      <c r="D2029" s="5" t="s">
        <v>16860</v>
      </c>
      <c r="E2029" s="5"/>
      <c r="F2029" s="5" t="s">
        <v>9002</v>
      </c>
      <c r="G2029" s="5" t="s">
        <v>8971</v>
      </c>
      <c r="H2029" s="1"/>
      <c r="I2029" s="1"/>
      <c r="J2029" s="2"/>
      <c r="K2029" s="5" t="s">
        <v>10734</v>
      </c>
      <c r="L2029" s="5" t="s">
        <v>11243</v>
      </c>
      <c r="M2029" s="20"/>
      <c r="N2029" s="1"/>
      <c r="O2029" s="1"/>
      <c r="P2029" s="21" t="str">
        <f>IF(ISNUMBER(MATCH($C2029,StackableKinds,0)), TRUE, "")</f>
        <v/>
      </c>
      <c r="Q2029" s="2"/>
    </row>
    <row r="2030" spans="1:18" x14ac:dyDescent="0.2">
      <c r="A2030" s="19" t="str">
        <f>_xlfn.IFNA(VLOOKUP($B2030,Keys!$A:$B,2,FALSE),_xlfn.IFNA(VLOOKUP($B2030,Keys!$D:$E,2,FALSE),VLOOKUP($B2030,Keys!$G:$H,2,FALSE)))</f>
        <v>0x00000022036E97EC</v>
      </c>
      <c r="B2030" s="5" t="s">
        <v>454</v>
      </c>
      <c r="C2030" s="5" t="s">
        <v>7</v>
      </c>
      <c r="D2030" s="5" t="s">
        <v>16860</v>
      </c>
      <c r="E2030" s="5"/>
      <c r="F2030" s="5" t="s">
        <v>410</v>
      </c>
      <c r="G2030" s="5" t="s">
        <v>9884</v>
      </c>
      <c r="H2030" s="1"/>
      <c r="I2030" s="1"/>
      <c r="J2030" s="2"/>
      <c r="K2030" s="5" t="s">
        <v>10300</v>
      </c>
      <c r="L2030" s="19" t="s">
        <v>11296</v>
      </c>
      <c r="M2030" s="20"/>
      <c r="N2030" s="1"/>
      <c r="O2030" s="1"/>
      <c r="P2030" s="21" t="str">
        <f>IF(ISNUMBER(MATCH($C2030,StackableKinds,0)), TRUE, "")</f>
        <v/>
      </c>
      <c r="Q2030" s="2"/>
    </row>
    <row r="2031" spans="1:18" x14ac:dyDescent="0.2">
      <c r="A2031" s="19" t="str">
        <f>_xlfn.IFNA(VLOOKUP($B2031,Keys!$A:$B,2,FALSE),_xlfn.IFNA(VLOOKUP($B2031,Keys!$D:$E,2,FALSE),VLOOKUP($B2031,Keys!$G:$H,2,FALSE)))</f>
        <v>0x0000002273046363</v>
      </c>
      <c r="B2031" s="5" t="s">
        <v>448</v>
      </c>
      <c r="C2031" s="5" t="s">
        <v>7</v>
      </c>
      <c r="D2031" s="5" t="s">
        <v>16860</v>
      </c>
      <c r="E2031" s="5"/>
      <c r="F2031" s="5" t="s">
        <v>410</v>
      </c>
      <c r="G2031" s="5" t="s">
        <v>9884</v>
      </c>
      <c r="H2031" s="1"/>
      <c r="I2031" s="1"/>
      <c r="J2031" s="2"/>
      <c r="K2031" s="5" t="s">
        <v>10301</v>
      </c>
      <c r="L2031" s="19" t="s">
        <v>11294</v>
      </c>
      <c r="M2031" s="20"/>
      <c r="N2031" s="1"/>
      <c r="O2031" s="1"/>
      <c r="P2031" s="21" t="str">
        <f>IF(ISNUMBER(MATCH($C2031,StackableKinds,0)), TRUE, "")</f>
        <v/>
      </c>
      <c r="Q2031" s="2"/>
    </row>
    <row r="2032" spans="1:18" x14ac:dyDescent="0.2">
      <c r="A2032" s="19" t="str">
        <f>_xlfn.IFNA(VLOOKUP($B2032,Keys!$A:$B,2,FALSE),_xlfn.IFNA(VLOOKUP($B2032,Keys!$D:$E,2,FALSE),VLOOKUP($B2032,Keys!$G:$H,2,FALSE)))</f>
        <v>0x00000022EA0D32D9</v>
      </c>
      <c r="B2032" s="5" t="s">
        <v>450</v>
      </c>
      <c r="C2032" s="5" t="s">
        <v>7</v>
      </c>
      <c r="D2032" s="5" t="s">
        <v>16860</v>
      </c>
      <c r="E2032" s="5"/>
      <c r="F2032" s="5" t="s">
        <v>410</v>
      </c>
      <c r="G2032" s="5" t="s">
        <v>9884</v>
      </c>
      <c r="H2032" s="1"/>
      <c r="I2032" s="1"/>
      <c r="J2032" s="2"/>
      <c r="K2032" s="5" t="s">
        <v>10302</v>
      </c>
      <c r="L2032" s="19" t="s">
        <v>11244</v>
      </c>
      <c r="M2032" s="20"/>
      <c r="N2032" s="1"/>
      <c r="O2032" s="1"/>
      <c r="P2032" s="21" t="str">
        <f>IF(ISNUMBER(MATCH($C2032,StackableKinds,0)), TRUE, "")</f>
        <v/>
      </c>
      <c r="Q2032" s="2"/>
    </row>
    <row r="2033" spans="1:17" x14ac:dyDescent="0.2">
      <c r="A2033" s="19" t="str">
        <f>_xlfn.IFNA(VLOOKUP($B2033,Keys!$A:$B,2,FALSE),_xlfn.IFNA(VLOOKUP($B2033,Keys!$D:$E,2,FALSE),VLOOKUP($B2033,Keys!$G:$H,2,FALSE)))</f>
        <v>0x000000229D0A024F</v>
      </c>
      <c r="B2033" s="5" t="s">
        <v>452</v>
      </c>
      <c r="C2033" s="5" t="s">
        <v>7</v>
      </c>
      <c r="D2033" s="5" t="s">
        <v>16860</v>
      </c>
      <c r="E2033" s="5"/>
      <c r="F2033" s="5" t="s">
        <v>410</v>
      </c>
      <c r="G2033" s="5" t="s">
        <v>9884</v>
      </c>
      <c r="H2033" s="1"/>
      <c r="I2033" s="1"/>
      <c r="J2033" s="2"/>
      <c r="K2033" s="5" t="s">
        <v>10303</v>
      </c>
      <c r="L2033" s="19" t="s">
        <v>11295</v>
      </c>
      <c r="M2033" s="20"/>
      <c r="N2033" s="1"/>
      <c r="O2033" s="1"/>
      <c r="P2033" s="21" t="str">
        <f>IF(ISNUMBER(MATCH($C2033,StackableKinds,0)), TRUE, "")</f>
        <v/>
      </c>
      <c r="Q2033" s="2"/>
    </row>
    <row r="2034" spans="1:17" x14ac:dyDescent="0.2">
      <c r="A2034" s="19" t="str">
        <f>_xlfn.IFNA(VLOOKUP($B2034,Keys!$A:$B,2,FALSE),_xlfn.IFNA(VLOOKUP($B2034,Keys!$D:$E,2,FALSE),VLOOKUP($B2034,Keys!$G:$H,2,FALSE)))</f>
        <v>0x000000163E178578</v>
      </c>
      <c r="B2034" s="5" t="s">
        <v>564</v>
      </c>
      <c r="C2034" s="5" t="s">
        <v>7</v>
      </c>
      <c r="D2034" s="5" t="s">
        <v>16860</v>
      </c>
      <c r="E2034" s="5"/>
      <c r="F2034" s="5" t="s">
        <v>410</v>
      </c>
      <c r="G2034" s="5" t="s">
        <v>8972</v>
      </c>
      <c r="H2034" s="1"/>
      <c r="I2034" s="1"/>
      <c r="J2034" s="2"/>
      <c r="K2034" s="5" t="s">
        <v>10412</v>
      </c>
      <c r="L2034" s="19" t="s">
        <v>11299</v>
      </c>
      <c r="M2034" s="20"/>
      <c r="N2034" s="1"/>
      <c r="O2034" s="1"/>
      <c r="P2034" s="21" t="str">
        <f>IF(ISNUMBER(MATCH($C2034,StackableKinds,0)), TRUE, "")</f>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IF(ISNUMBER(MATCH($C2035,StackableKinds,0)), TRUE, "")</f>
        <v/>
      </c>
    </row>
    <row r="2036" spans="1:17" x14ac:dyDescent="0.2">
      <c r="A2036" s="19" t="str">
        <f>_xlfn.IFNA(VLOOKUP($B2036,Keys!$A:$B,2,FALSE),_xlfn.IFNA(VLOOKUP($B2036,Keys!$D:$E,2,FALSE),VLOOKUP($B2036,Keys!$G:$H,2,FALSE)))</f>
        <v>0x0000000F82AE45A9</v>
      </c>
      <c r="B2036" s="5" t="s">
        <v>5191</v>
      </c>
      <c r="C2036" s="5" t="s">
        <v>7</v>
      </c>
      <c r="D2036" s="5" t="s">
        <v>16860</v>
      </c>
      <c r="E2036" s="5"/>
      <c r="F2036" s="5" t="s">
        <v>410</v>
      </c>
      <c r="G2036" s="5" t="s">
        <v>9008</v>
      </c>
      <c r="H2036" s="1"/>
      <c r="I2036" s="1"/>
      <c r="J2036" s="2"/>
      <c r="K2036" s="5" t="s">
        <v>10444</v>
      </c>
      <c r="L2036" s="19" t="s">
        <v>11333</v>
      </c>
      <c r="M2036" s="20"/>
      <c r="N2036" s="1"/>
      <c r="O2036" s="1"/>
      <c r="P2036" s="21" t="str">
        <f>IF(ISNUMBER(MATCH($C2036,StackableKinds,0)), TRUE, "")</f>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IF(ISNUMBER(MATCH($C2037,StackableKinds,0)), TRUE, "")</f>
        <v/>
      </c>
      <c r="Q2037" s="7" t="b">
        <v>1</v>
      </c>
    </row>
    <row r="2038" spans="1:17" x14ac:dyDescent="0.2">
      <c r="A2038" s="19" t="str">
        <f>_xlfn.IFNA(VLOOKUP($B2038,Keys!$A:$B,2,FALSE),_xlfn.IFNA(VLOOKUP($B2038,Keys!$D:$E,2,FALSE),VLOOKUP($B2038,Keys!$G:$H,2,FALSE)))</f>
        <v>0x0000001EC73CEC0B</v>
      </c>
      <c r="B2038" s="5" t="s">
        <v>3354</v>
      </c>
      <c r="C2038" s="5" t="s">
        <v>7</v>
      </c>
      <c r="D2038" s="5" t="s">
        <v>16859</v>
      </c>
      <c r="E2038" s="5"/>
      <c r="F2038" s="5" t="s">
        <v>4</v>
      </c>
      <c r="G2038" s="1"/>
      <c r="H2038" s="1"/>
      <c r="I2038" s="1"/>
      <c r="J2038" s="2"/>
      <c r="K2038" s="5" t="s">
        <v>10115</v>
      </c>
      <c r="L2038" s="19" t="s">
        <v>12001</v>
      </c>
      <c r="M2038" s="20"/>
      <c r="N2038" s="1"/>
      <c r="O2038" s="1"/>
      <c r="P2038" s="21" t="str">
        <f>IF(ISNUMBER(MATCH($C2038,StackableKinds,0)), TRUE, "")</f>
        <v/>
      </c>
      <c r="Q2038" s="2"/>
    </row>
    <row r="2039" spans="1:17" x14ac:dyDescent="0.2">
      <c r="A2039" s="19" t="str">
        <f>_xlfn.IFNA(VLOOKUP($B2039,Keys!$A:$B,2,FALSE),_xlfn.IFNA(VLOOKUP($B2039,Keys!$D:$E,2,FALSE),VLOOKUP($B2039,Keys!$G:$H,2,FALSE)))</f>
        <v>0x0000001EB03BDC9D</v>
      </c>
      <c r="B2039" s="5" t="s">
        <v>3352</v>
      </c>
      <c r="C2039" s="5" t="s">
        <v>7</v>
      </c>
      <c r="D2039" s="5" t="s">
        <v>16859</v>
      </c>
      <c r="E2039" s="5"/>
      <c r="F2039" s="5" t="s">
        <v>4</v>
      </c>
      <c r="G2039" s="1"/>
      <c r="H2039" s="1"/>
      <c r="I2039" s="1"/>
      <c r="J2039" s="2"/>
      <c r="K2039" s="5" t="s">
        <v>12044</v>
      </c>
      <c r="L2039" s="19" t="s">
        <v>11319</v>
      </c>
      <c r="M2039" s="20"/>
      <c r="N2039" s="1"/>
      <c r="O2039" s="1"/>
      <c r="P2039" s="21" t="str">
        <f>IF(ISNUMBER(MATCH($C2039,StackableKinds,0)), TRUE, "")</f>
        <v/>
      </c>
      <c r="Q2039" s="2"/>
    </row>
    <row r="2040" spans="1:17" x14ac:dyDescent="0.2">
      <c r="A2040" s="19" t="str">
        <f>_xlfn.IFNA(VLOOKUP($B2040,Keys!$A:$B,2,FALSE),_xlfn.IFNA(VLOOKUP($B2040,Keys!$D:$E,2,FALSE),VLOOKUP($B2040,Keys!$G:$H,2,FALSE)))</f>
        <v>0x0000001CE2C0CAC2</v>
      </c>
      <c r="B2040" s="5" t="s">
        <v>2432</v>
      </c>
      <c r="C2040" s="5" t="s">
        <v>7</v>
      </c>
      <c r="D2040" s="5" t="s">
        <v>16860</v>
      </c>
      <c r="E2040" s="5"/>
      <c r="F2040" s="5" t="s">
        <v>410</v>
      </c>
      <c r="G2040" s="5" t="s">
        <v>9241</v>
      </c>
      <c r="H2040" s="1"/>
      <c r="I2040" s="1"/>
      <c r="J2040" s="2"/>
      <c r="K2040" s="5" t="s">
        <v>10445</v>
      </c>
      <c r="L2040" s="19" t="s">
        <v>11309</v>
      </c>
      <c r="M2040" s="20"/>
      <c r="N2040" s="1"/>
      <c r="O2040" s="1"/>
      <c r="P2040" s="21" t="str">
        <f>IF(ISNUMBER(MATCH($C2040,StackableKinds,0)), TRUE, "")</f>
        <v/>
      </c>
      <c r="Q2040" s="2"/>
    </row>
    <row r="2041" spans="1:17" x14ac:dyDescent="0.2">
      <c r="A2041" s="19" t="str">
        <f>_xlfn.IFNA(VLOOKUP($B2041,Keys!$A:$B,2,FALSE),_xlfn.IFNA(VLOOKUP($B2041,Keys!$D:$E,2,FALSE),VLOOKUP($B2041,Keys!$G:$H,2,FALSE)))</f>
        <v>0x0000001C0CCEABEE</v>
      </c>
      <c r="B2041" s="5" t="s">
        <v>2436</v>
      </c>
      <c r="C2041" s="5" t="s">
        <v>7</v>
      </c>
      <c r="D2041" s="5" t="s">
        <v>16860</v>
      </c>
      <c r="E2041" s="5"/>
      <c r="F2041" s="5" t="s">
        <v>410</v>
      </c>
      <c r="G2041" s="5" t="s">
        <v>9241</v>
      </c>
      <c r="H2041" s="1"/>
      <c r="I2041" s="1"/>
      <c r="J2041" s="2"/>
      <c r="K2041" s="5" t="s">
        <v>10445</v>
      </c>
      <c r="L2041" s="19" t="s">
        <v>11309</v>
      </c>
      <c r="M2041" s="20"/>
      <c r="N2041" s="1"/>
      <c r="O2041" s="1"/>
      <c r="P2041" s="21" t="str">
        <f>IF(ISNUMBER(MATCH($C2041,StackableKinds,0)), TRUE, "")</f>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IF(ISNUMBER(MATCH($C2042,StackableKinds,0)), TRUE, "")</f>
        <v/>
      </c>
    </row>
    <row r="2043" spans="1:17" x14ac:dyDescent="0.2">
      <c r="A2043" s="19" t="str">
        <f>_xlfn.IFNA(VLOOKUP($B2043,Keys!$A:$B,2,FALSE),_xlfn.IFNA(VLOOKUP($B2043,Keys!$D:$E,2,FALSE),VLOOKUP($B2043,Keys!$G:$H,2,FALSE)))</f>
        <v>0x00000018DF51958D</v>
      </c>
      <c r="B2043" s="5" t="s">
        <v>5487</v>
      </c>
      <c r="C2043" s="5" t="s">
        <v>7</v>
      </c>
      <c r="D2043" s="5" t="s">
        <v>16860</v>
      </c>
      <c r="E2043" s="5"/>
      <c r="F2043" s="5" t="s">
        <v>410</v>
      </c>
      <c r="G2043" s="5" t="s">
        <v>9049</v>
      </c>
      <c r="H2043" s="1"/>
      <c r="I2043" s="1"/>
      <c r="J2043" s="2"/>
      <c r="K2043" s="5" t="s">
        <v>10446</v>
      </c>
      <c r="L2043" s="19" t="s">
        <v>11108</v>
      </c>
      <c r="M2043" s="20"/>
      <c r="N2043" s="1"/>
      <c r="O2043" s="1"/>
      <c r="P2043" s="21" t="str">
        <f>IF(ISNUMBER(MATCH($C2043,StackableKinds,0)), TRUE, "")</f>
        <v/>
      </c>
      <c r="Q2043" s="2"/>
    </row>
    <row r="2044" spans="1:17" x14ac:dyDescent="0.2">
      <c r="A2044" s="19" t="str">
        <f>_xlfn.IFNA(VLOOKUP($B2044,Keys!$A:$B,2,FALSE),_xlfn.IFNA(VLOOKUP($B2044,Keys!$D:$E,2,FALSE),VLOOKUP($B2044,Keys!$G:$H,2,FALSE)))</f>
        <v>0x0000001C92AA3E4D</v>
      </c>
      <c r="B2044" s="5" t="s">
        <v>2438</v>
      </c>
      <c r="C2044" s="5" t="s">
        <v>7</v>
      </c>
      <c r="D2044" s="5" t="s">
        <v>16860</v>
      </c>
      <c r="E2044" s="5"/>
      <c r="F2044" s="5" t="s">
        <v>410</v>
      </c>
      <c r="G2044" s="5" t="s">
        <v>9241</v>
      </c>
      <c r="H2044" s="1"/>
      <c r="I2044" s="1"/>
      <c r="J2044" s="2"/>
      <c r="K2044" s="5" t="s">
        <v>10454</v>
      </c>
      <c r="L2044" s="19" t="s">
        <v>11109</v>
      </c>
      <c r="M2044" s="20"/>
      <c r="N2044" s="1"/>
      <c r="O2044" s="1"/>
      <c r="P2044" s="21" t="str">
        <f>IF(ISNUMBER(MATCH($C2044,StackableKinds,0)), TRUE, "")</f>
        <v/>
      </c>
      <c r="Q2044" s="2"/>
    </row>
    <row r="2045" spans="1:17" x14ac:dyDescent="0.2">
      <c r="A2045" s="19" t="str">
        <f>_xlfn.IFNA(VLOOKUP($B2045,Keys!$A:$B,2,FALSE),_xlfn.IFNA(VLOOKUP($B2045,Keys!$D:$E,2,FALSE),VLOOKUP($B2045,Keys!$G:$H,2,FALSE)))</f>
        <v>0x000000158D0BD10B</v>
      </c>
      <c r="B2045" s="5" t="s">
        <v>5509</v>
      </c>
      <c r="C2045" s="5" t="s">
        <v>7</v>
      </c>
      <c r="D2045" s="5" t="s">
        <v>16859</v>
      </c>
      <c r="E2045" s="5"/>
      <c r="F2045" s="5" t="s">
        <v>410</v>
      </c>
      <c r="G2045" s="5" t="s">
        <v>9049</v>
      </c>
      <c r="H2045" s="1"/>
      <c r="I2045" s="1"/>
      <c r="J2045" s="2"/>
      <c r="K2045" s="5" t="s">
        <v>10463</v>
      </c>
      <c r="L2045" s="19" t="s">
        <v>11334</v>
      </c>
      <c r="M2045" s="20"/>
      <c r="N2045" s="1"/>
      <c r="O2045" s="1"/>
      <c r="P2045" s="21" t="str">
        <f>IF(ISNUMBER(MATCH($C2045,StackableKinds,0)), TRUE, "")</f>
        <v/>
      </c>
      <c r="Q2045" s="2"/>
    </row>
    <row r="2046" spans="1:17" x14ac:dyDescent="0.2">
      <c r="A2046" s="19" t="str">
        <f>_xlfn.IFNA(VLOOKUP($B2046,Keys!$A:$B,2,FALSE),_xlfn.IFNA(VLOOKUP($B2046,Keys!$D:$E,2,FALSE),VLOOKUP($B2046,Keys!$G:$H,2,FALSE)))</f>
        <v>0x0000001CE5AD0EDB</v>
      </c>
      <c r="B2046" s="5" t="s">
        <v>2440</v>
      </c>
      <c r="C2046" s="5" t="s">
        <v>7</v>
      </c>
      <c r="D2046" s="5" t="s">
        <v>16858</v>
      </c>
      <c r="E2046" s="5"/>
      <c r="F2046" s="5" t="s">
        <v>410</v>
      </c>
      <c r="G2046" s="5" t="s">
        <v>9241</v>
      </c>
      <c r="H2046" s="1"/>
      <c r="I2046" s="1"/>
      <c r="J2046" s="2"/>
      <c r="K2046" s="5" t="s">
        <v>10542</v>
      </c>
      <c r="L2046" s="19" t="s">
        <v>11117</v>
      </c>
      <c r="M2046" s="20"/>
      <c r="N2046" s="1"/>
      <c r="O2046" s="1"/>
      <c r="P2046" s="21" t="str">
        <f>IF(ISNUMBER(MATCH($C2046,StackableKinds,0)), TRUE, "")</f>
        <v/>
      </c>
      <c r="Q2046" s="2"/>
    </row>
    <row r="2047" spans="1:17" x14ac:dyDescent="0.2">
      <c r="A2047" s="19" t="str">
        <f>_xlfn.IFNA(VLOOKUP($B2047,Keys!$A:$B,2,FALSE),_xlfn.IFNA(VLOOKUP($B2047,Keys!$D:$E,2,FALSE),VLOOKUP($B2047,Keys!$G:$H,2,FALSE)))</f>
        <v>0x0000001C0BA36FF7</v>
      </c>
      <c r="B2047" s="5" t="s">
        <v>2444</v>
      </c>
      <c r="C2047" s="5" t="s">
        <v>7</v>
      </c>
      <c r="D2047" s="5" t="s">
        <v>16861</v>
      </c>
      <c r="E2047" s="5"/>
      <c r="F2047" s="5" t="s">
        <v>410</v>
      </c>
      <c r="G2047" s="5" t="s">
        <v>9241</v>
      </c>
      <c r="H2047" s="1"/>
      <c r="I2047" s="1"/>
      <c r="J2047" s="2"/>
      <c r="K2047" s="5" t="s">
        <v>10543</v>
      </c>
      <c r="L2047" s="19" t="s">
        <v>11118</v>
      </c>
      <c r="M2047" s="20"/>
      <c r="N2047" s="1"/>
      <c r="O2047" s="1"/>
      <c r="P2047" s="21" t="str">
        <f>IF(ISNUMBER(MATCH($C2047,StackableKinds,0)), TRUE, "")</f>
        <v/>
      </c>
      <c r="Q2047" s="2"/>
    </row>
    <row r="2048" spans="1:17" x14ac:dyDescent="0.2">
      <c r="A2048" s="19" t="str">
        <f>_xlfn.IFNA(VLOOKUP($B2048,Keys!$A:$B,2,FALSE),_xlfn.IFNA(VLOOKUP($B2048,Keys!$D:$E,2,FALSE),VLOOKUP($B2048,Keys!$G:$H,2,FALSE)))</f>
        <v>0x00000017C5213963</v>
      </c>
      <c r="B2048" s="5" t="s">
        <v>5529</v>
      </c>
      <c r="C2048" s="5" t="s">
        <v>7</v>
      </c>
      <c r="D2048" s="5" t="s">
        <v>16860</v>
      </c>
      <c r="E2048" s="5"/>
      <c r="F2048" s="5" t="s">
        <v>410</v>
      </c>
      <c r="G2048" s="5" t="s">
        <v>9049</v>
      </c>
      <c r="H2048" s="1"/>
      <c r="I2048" s="1"/>
      <c r="J2048" s="2"/>
      <c r="K2048" s="5" t="s">
        <v>10544</v>
      </c>
      <c r="L2048" s="19" t="s">
        <v>11119</v>
      </c>
      <c r="M2048" s="20"/>
      <c r="N2048" s="1"/>
      <c r="O2048" s="1"/>
      <c r="P2048" s="21" t="str">
        <f>IF(ISNUMBER(MATCH($C2048,StackableKinds,0)), TRUE, "")</f>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IF(ISNUMBER(MATCH($C2049,StackableKinds,0)), TRUE, "")</f>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IF(ISNUMBER(MATCH($C2050,StackableKinds,0)), TRUE, "")</f>
        <v/>
      </c>
    </row>
    <row r="2051" spans="1:17" x14ac:dyDescent="0.2">
      <c r="A2051" s="19" t="str">
        <f>_xlfn.IFNA(VLOOKUP($B2051,Keys!$A:$B,2,FALSE),_xlfn.IFNA(VLOOKUP($B2051,Keys!$D:$E,2,FALSE),VLOOKUP($B2051,Keys!$G:$H,2,FALSE)))</f>
        <v>0x0000001F8C525B2A</v>
      </c>
      <c r="B2051" s="5" t="s">
        <v>5728</v>
      </c>
      <c r="C2051" s="5" t="s">
        <v>7</v>
      </c>
      <c r="D2051" s="5" t="s">
        <v>16860</v>
      </c>
      <c r="E2051" s="5"/>
      <c r="F2051" s="5" t="s">
        <v>10270</v>
      </c>
      <c r="G2051" s="1"/>
      <c r="H2051" s="1"/>
      <c r="I2051" s="1"/>
      <c r="J2051" s="2"/>
      <c r="K2051" s="5" t="s">
        <v>10575</v>
      </c>
      <c r="L2051" s="19" t="s">
        <v>11339</v>
      </c>
      <c r="M2051" s="20"/>
      <c r="N2051" s="1"/>
      <c r="O2051" s="1"/>
      <c r="P2051" s="21" t="str">
        <f>IF(ISNUMBER(MATCH($C2051,StackableKinds,0)), TRUE, "")</f>
        <v/>
      </c>
      <c r="Q2051" s="2"/>
    </row>
    <row r="2052" spans="1:17" x14ac:dyDescent="0.2">
      <c r="A2052" s="19" t="str">
        <f>_xlfn.IFNA(VLOOKUP($B2052,Keys!$A:$B,2,FALSE),_xlfn.IFNA(VLOOKUP($B2052,Keys!$D:$E,2,FALSE),VLOOKUP($B2052,Keys!$G:$H,2,FALSE)))</f>
        <v>0x0000001705AD9F2D</v>
      </c>
      <c r="B2052" s="5" t="s">
        <v>5173</v>
      </c>
      <c r="C2052" s="5" t="s">
        <v>7</v>
      </c>
      <c r="D2052" s="5" t="s">
        <v>16860</v>
      </c>
      <c r="E2052" s="5"/>
      <c r="F2052" s="5" t="s">
        <v>10270</v>
      </c>
      <c r="G2052" s="1"/>
      <c r="H2052" s="1"/>
      <c r="I2052" s="1"/>
      <c r="J2052" s="2"/>
      <c r="K2052" s="5" t="s">
        <v>10404</v>
      </c>
      <c r="L2052" s="19" t="s">
        <v>11330</v>
      </c>
      <c r="M2052" s="20"/>
      <c r="N2052" s="1"/>
      <c r="O2052" s="1"/>
      <c r="P2052" s="21" t="str">
        <f>IF(ISNUMBER(MATCH($C2052,StackableKinds,0)), TRUE, "")</f>
        <v/>
      </c>
      <c r="Q2052" s="2"/>
    </row>
    <row r="2053" spans="1:17" x14ac:dyDescent="0.2">
      <c r="A2053" s="19" t="str">
        <f>_xlfn.IFNA(VLOOKUP($B2053,Keys!$A:$B,2,FALSE),_xlfn.IFNA(VLOOKUP($B2053,Keys!$D:$E,2,FALSE),VLOOKUP($B2053,Keys!$G:$H,2,FALSE)))</f>
        <v>0x0000001C7CA45F61</v>
      </c>
      <c r="B2053" s="5" t="s">
        <v>2442</v>
      </c>
      <c r="C2053" s="5" t="s">
        <v>7</v>
      </c>
      <c r="D2053" s="5" t="s">
        <v>16861</v>
      </c>
      <c r="E2053" s="5"/>
      <c r="F2053" s="5" t="s">
        <v>410</v>
      </c>
      <c r="G2053" s="5" t="s">
        <v>9241</v>
      </c>
      <c r="H2053" s="1"/>
      <c r="I2053" s="1"/>
      <c r="J2053" s="2"/>
      <c r="K2053" s="5" t="s">
        <v>10576</v>
      </c>
      <c r="L2053" s="19" t="s">
        <v>11310</v>
      </c>
      <c r="M2053" s="20"/>
      <c r="N2053" s="1"/>
      <c r="O2053" s="1"/>
      <c r="P2053" s="21" t="str">
        <f>IF(ISNUMBER(MATCH($C2053,StackableKinds,0)), TRUE, "")</f>
        <v/>
      </c>
      <c r="Q2053" s="2"/>
    </row>
    <row r="2054" spans="1:17" x14ac:dyDescent="0.2">
      <c r="A2054" s="19" t="str">
        <f>_xlfn.IFNA(VLOOKUP($B2054,Keys!$A:$B,2,FALSE),_xlfn.IFNA(VLOOKUP($B2054,Keys!$D:$E,2,FALSE),VLOOKUP($B2054,Keys!$G:$H,2,FALSE)))</f>
        <v>0x000000193707B649</v>
      </c>
      <c r="B2054" s="5" t="s">
        <v>5551</v>
      </c>
      <c r="C2054" s="5" t="s">
        <v>7</v>
      </c>
      <c r="D2054" s="5" t="s">
        <v>16860</v>
      </c>
      <c r="E2054" s="5"/>
      <c r="F2054" s="5" t="s">
        <v>9002</v>
      </c>
      <c r="G2054" s="1"/>
      <c r="H2054" s="1"/>
      <c r="I2054" s="1"/>
      <c r="J2054" s="2"/>
      <c r="K2054" s="5" t="s">
        <v>10545</v>
      </c>
      <c r="L2054" s="19" t="s">
        <v>11120</v>
      </c>
      <c r="M2054" s="20"/>
      <c r="N2054" s="1"/>
      <c r="O2054" s="1"/>
      <c r="P2054" s="21" t="str">
        <f>IF(ISNUMBER(MATCH($C2054,StackableKinds,0)), TRUE, "")</f>
        <v/>
      </c>
      <c r="Q2054" s="2"/>
    </row>
    <row r="2055" spans="1:17" x14ac:dyDescent="0.2">
      <c r="A2055" s="19" t="str">
        <f>_xlfn.IFNA(VLOOKUP($B2055,Keys!$A:$B,2,FALSE),_xlfn.IFNA(VLOOKUP($B2055,Keys!$D:$E,2,FALSE),VLOOKUP($B2055,Keys!$G:$H,2,FALSE)))</f>
        <v>0x0000001390041B2E</v>
      </c>
      <c r="B2055" s="5" t="s">
        <v>8707</v>
      </c>
      <c r="C2055" s="5" t="s">
        <v>7</v>
      </c>
      <c r="D2055" s="5" t="s">
        <v>16860</v>
      </c>
      <c r="E2055" s="5"/>
      <c r="F2055" s="5" t="s">
        <v>10717</v>
      </c>
      <c r="G2055" s="1"/>
      <c r="H2055" s="1"/>
      <c r="I2055" s="1"/>
      <c r="J2055" s="2"/>
      <c r="K2055" s="5" t="s">
        <v>10721</v>
      </c>
      <c r="L2055" s="19" t="s">
        <v>11158</v>
      </c>
      <c r="M2055" s="20"/>
      <c r="N2055" s="1"/>
      <c r="O2055" s="1"/>
      <c r="P2055" s="21" t="str">
        <f>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16861</v>
      </c>
      <c r="E2056" s="5"/>
      <c r="F2056" s="5" t="s">
        <v>10717</v>
      </c>
      <c r="G2056" s="1"/>
      <c r="H2056" s="1"/>
      <c r="I2056" s="1"/>
      <c r="J2056" s="2"/>
      <c r="K2056" s="5" t="s">
        <v>10720</v>
      </c>
      <c r="L2056" s="19" t="s">
        <v>11157</v>
      </c>
      <c r="M2056" s="20"/>
      <c r="N2056" s="1"/>
      <c r="O2056" s="1"/>
      <c r="P2056" s="21" t="str">
        <f>IF(ISNUMBER(MATCH($C2056,StackableKinds,0)), TRUE, "")</f>
        <v/>
      </c>
      <c r="Q2056" s="2"/>
    </row>
    <row r="2057" spans="1:17" x14ac:dyDescent="0.2">
      <c r="A2057" s="19" t="str">
        <f>_xlfn.IFNA(VLOOKUP($B2057,Keys!$A:$B,2,FALSE),_xlfn.IFNA(VLOOKUP($B2057,Keys!$D:$E,2,FALSE),VLOOKUP($B2057,Keys!$G:$H,2,FALSE)))</f>
        <v>0x000000137967BE1B</v>
      </c>
      <c r="B2057" s="5" t="s">
        <v>8703</v>
      </c>
      <c r="C2057" s="5" t="s">
        <v>7</v>
      </c>
      <c r="D2057" s="5" t="s">
        <v>16861</v>
      </c>
      <c r="E2057" s="5"/>
      <c r="F2057" s="5" t="s">
        <v>10717</v>
      </c>
      <c r="G2057" s="1"/>
      <c r="H2057" s="1"/>
      <c r="I2057" s="1"/>
      <c r="J2057" s="2"/>
      <c r="K2057" s="5" t="s">
        <v>10719</v>
      </c>
      <c r="L2057" s="19" t="s">
        <v>11156</v>
      </c>
      <c r="M2057" s="20"/>
      <c r="N2057" s="1"/>
      <c r="O2057" s="1"/>
      <c r="P2057" s="21" t="str">
        <f>IF(ISNUMBER(MATCH($C2057,StackableKinds,0)), TRUE, "")</f>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IF(ISNUMBER(MATCH($C2058,StackableKinds,0)), TRUE, "")</f>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IF(ISNUMBER(MATCH($C2059,StackableKinds,0)), TRUE, "")</f>
        <v>1</v>
      </c>
      <c r="Q2059" s="2"/>
    </row>
    <row r="2060" spans="1:17" x14ac:dyDescent="0.2">
      <c r="A2060" s="19" t="str">
        <f>_xlfn.IFNA(VLOOKUP($B2060,Keys!$A:$B,2,FALSE),_xlfn.IFNA(VLOOKUP($B2060,Keys!$D:$E,2,FALSE),VLOOKUP($B2060,Keys!$G:$H,2,FALSE)))</f>
        <v>0x00000018403984B3</v>
      </c>
      <c r="B2060" s="5" t="s">
        <v>3294</v>
      </c>
      <c r="C2060" s="5" t="s">
        <v>11200</v>
      </c>
      <c r="D2060" s="5" t="s">
        <v>16859</v>
      </c>
      <c r="E2060" s="5"/>
      <c r="F2060" s="5"/>
      <c r="G2060" s="1"/>
      <c r="H2060" s="1"/>
      <c r="I2060" s="1"/>
      <c r="J2060" s="2"/>
      <c r="K2060" s="5" t="s">
        <v>10106</v>
      </c>
      <c r="L2060" s="19" t="s">
        <v>11145</v>
      </c>
      <c r="M2060" s="20"/>
      <c r="N2060" s="1"/>
      <c r="O2060" s="1"/>
      <c r="P2060" s="21" t="str">
        <f>IF(ISNUMBER(MATCH($C2060,StackableKinds,0)), TRUE, "")</f>
        <v/>
      </c>
      <c r="Q2060" s="2"/>
    </row>
    <row r="2061" spans="1:17" x14ac:dyDescent="0.2">
      <c r="A2061" s="19" t="str">
        <f>_xlfn.IFNA(VLOOKUP($B2061,Keys!$A:$B,2,FALSE),_xlfn.IFNA(VLOOKUP($B2061,Keys!$D:$E,2,FALSE),VLOOKUP($B2061,Keys!$G:$H,2,FALSE)))</f>
        <v>0x00000019EFB9932F</v>
      </c>
      <c r="B2061" s="5" t="s">
        <v>1200</v>
      </c>
      <c r="C2061" s="5" t="s">
        <v>11200</v>
      </c>
      <c r="D2061" s="5" t="s">
        <v>16859</v>
      </c>
      <c r="E2061" s="5"/>
      <c r="F2061" s="1"/>
      <c r="G2061" s="5" t="s">
        <v>8971</v>
      </c>
      <c r="H2061" s="1"/>
      <c r="I2061" s="1"/>
      <c r="J2061" s="2"/>
      <c r="K2061" s="5" t="s">
        <v>9300</v>
      </c>
      <c r="L2061" s="5" t="s">
        <v>12000</v>
      </c>
      <c r="M2061" s="20"/>
      <c r="N2061" s="1"/>
      <c r="O2061" s="1"/>
      <c r="P2061" s="21" t="str">
        <f>IF(ISNUMBER(MATCH($C2061,StackableKinds,0)), TRUE, "")</f>
        <v/>
      </c>
      <c r="Q2061" s="2"/>
    </row>
    <row r="2062" spans="1:17" x14ac:dyDescent="0.2">
      <c r="A2062" s="19" t="str">
        <f>_xlfn.IFNA(VLOOKUP($B2062,Keys!$A:$B,2,FALSE),_xlfn.IFNA(VLOOKUP($B2062,Keys!$D:$E,2,FALSE),VLOOKUP($B2062,Keys!$G:$H,2,FALSE)))</f>
        <v>0x00000016388473F4</v>
      </c>
      <c r="B2062" s="5" t="s">
        <v>456</v>
      </c>
      <c r="C2062" s="5" t="s">
        <v>11200</v>
      </c>
      <c r="D2062" s="5" t="s">
        <v>16859</v>
      </c>
      <c r="E2062" s="5"/>
      <c r="F2062" s="1"/>
      <c r="G2062" s="5" t="s">
        <v>8971</v>
      </c>
      <c r="H2062" s="1"/>
      <c r="I2062" s="1"/>
      <c r="J2062" s="2"/>
      <c r="K2062" s="5" t="s">
        <v>9010</v>
      </c>
      <c r="L2062" s="5" t="s">
        <v>12000</v>
      </c>
      <c r="M2062" s="20"/>
      <c r="N2062" s="1"/>
      <c r="O2062" s="1"/>
      <c r="P2062" s="21" t="str">
        <f>IF(ISNUMBER(MATCH($C2062,StackableKinds,0)), TRUE, "")</f>
        <v/>
      </c>
      <c r="Q2062" s="2"/>
    </row>
    <row r="2063" spans="1:17" x14ac:dyDescent="0.2">
      <c r="A2063" s="19" t="str">
        <f>_xlfn.IFNA(VLOOKUP($B2063,Keys!$A:$B,2,FALSE),_xlfn.IFNA(VLOOKUP($B2063,Keys!$D:$E,2,FALSE),VLOOKUP($B2063,Keys!$G:$H,2,FALSE)))</f>
        <v>0x00000018CD59D202</v>
      </c>
      <c r="B2063" s="5" t="s">
        <v>458</v>
      </c>
      <c r="C2063" s="5" t="s">
        <v>11200</v>
      </c>
      <c r="D2063" s="5" t="s">
        <v>16859</v>
      </c>
      <c r="E2063" s="5"/>
      <c r="F2063" s="1"/>
      <c r="G2063" s="5" t="s">
        <v>8971</v>
      </c>
      <c r="H2063" s="1"/>
      <c r="I2063" s="1"/>
      <c r="J2063" s="2"/>
      <c r="K2063" s="5" t="s">
        <v>9011</v>
      </c>
      <c r="L2063" s="5" t="s">
        <v>12000</v>
      </c>
      <c r="M2063" s="20"/>
      <c r="N2063" s="1"/>
      <c r="O2063" s="1"/>
      <c r="P2063" s="21" t="str">
        <f>IF(ISNUMBER(MATCH($C2063,StackableKinds,0)), TRUE, "")</f>
        <v/>
      </c>
      <c r="Q2063" s="2"/>
    </row>
    <row r="2064" spans="1:17" x14ac:dyDescent="0.2">
      <c r="A2064" s="19" t="str">
        <f>_xlfn.IFNA(VLOOKUP($B2064,Keys!$A:$B,2,FALSE),_xlfn.IFNA(VLOOKUP($B2064,Keys!$D:$E,2,FALSE),VLOOKUP($B2064,Keys!$G:$H,2,FALSE)))</f>
        <v>0x000000170FEAAF18</v>
      </c>
      <c r="B2064" s="5" t="s">
        <v>2414</v>
      </c>
      <c r="C2064" s="5" t="s">
        <v>11200</v>
      </c>
      <c r="D2064" s="5" t="s">
        <v>16859</v>
      </c>
      <c r="E2064" s="5"/>
      <c r="F2064" s="1"/>
      <c r="G2064" s="5" t="s">
        <v>8971</v>
      </c>
      <c r="H2064" s="1"/>
      <c r="I2064" s="1"/>
      <c r="J2064" s="2"/>
      <c r="K2064" s="5" t="s">
        <v>9788</v>
      </c>
      <c r="L2064" s="19" t="s">
        <v>12000</v>
      </c>
      <c r="M2064" s="20"/>
      <c r="N2064" s="1"/>
      <c r="O2064" s="1"/>
      <c r="P2064" s="21" t="str">
        <f>IF(ISNUMBER(MATCH($C2064,StackableKinds,0)), TRUE, "")</f>
        <v/>
      </c>
      <c r="Q2064" s="2"/>
    </row>
    <row r="2065" spans="1:17" x14ac:dyDescent="0.2">
      <c r="A2065" s="19" t="str">
        <f>_xlfn.IFNA(VLOOKUP($B2065,Keys!$A:$B,2,FALSE),_xlfn.IFNA(VLOOKUP($B2065,Keys!$D:$E,2,FALSE),VLOOKUP($B2065,Keys!$G:$H,2,FALSE)))</f>
        <v>0x00000016C8112AE9</v>
      </c>
      <c r="B2065" s="5" t="s">
        <v>1950</v>
      </c>
      <c r="C2065" s="5" t="s">
        <v>11200</v>
      </c>
      <c r="D2065" s="5" t="s">
        <v>16859</v>
      </c>
      <c r="E2065" s="5"/>
      <c r="F2065" s="1"/>
      <c r="G2065" s="5" t="s">
        <v>8971</v>
      </c>
      <c r="H2065" s="1"/>
      <c r="I2065" s="1"/>
      <c r="J2065" s="2"/>
      <c r="K2065" s="5" t="s">
        <v>9584</v>
      </c>
      <c r="L2065" s="19" t="s">
        <v>12000</v>
      </c>
      <c r="M2065" s="20"/>
      <c r="N2065" s="1"/>
      <c r="O2065" s="1"/>
      <c r="P2065" s="21" t="str">
        <f>IF(ISNUMBER(MATCH($C2065,StackableKinds,0)), TRUE, "")</f>
        <v/>
      </c>
      <c r="Q2065" s="2"/>
    </row>
    <row r="2066" spans="1:17" x14ac:dyDescent="0.2">
      <c r="A2066" s="19" t="str">
        <f>_xlfn.IFNA(VLOOKUP($B2066,Keys!$A:$B,2,FALSE),_xlfn.IFNA(VLOOKUP($B2066,Keys!$D:$E,2,FALSE),VLOOKUP($B2066,Keys!$G:$H,2,FALSE)))</f>
        <v>0x000000181716BEFF</v>
      </c>
      <c r="B2066" s="5" t="s">
        <v>1052</v>
      </c>
      <c r="C2066" s="5" t="s">
        <v>11200</v>
      </c>
      <c r="D2066" s="5" t="s">
        <v>16859</v>
      </c>
      <c r="E2066" s="5"/>
      <c r="F2066" s="1"/>
      <c r="G2066" s="5" t="s">
        <v>8971</v>
      </c>
      <c r="H2066" s="1"/>
      <c r="I2066" s="1"/>
      <c r="J2066" s="2"/>
      <c r="K2066" s="5" t="s">
        <v>9281</v>
      </c>
      <c r="L2066" s="5" t="s">
        <v>12000</v>
      </c>
      <c r="M2066" s="20"/>
      <c r="N2066" s="1"/>
      <c r="O2066" s="1"/>
      <c r="P2066" s="21" t="str">
        <f>IF(ISNUMBER(MATCH($C2066,StackableKinds,0)), TRUE, "")</f>
        <v/>
      </c>
      <c r="Q2066" s="2"/>
    </row>
    <row r="2067" spans="1:17" x14ac:dyDescent="0.2">
      <c r="A2067" s="19" t="str">
        <f>_xlfn.IFNA(VLOOKUP($B2067,Keys!$A:$B,2,FALSE),_xlfn.IFNA(VLOOKUP($B2067,Keys!$D:$E,2,FALSE),VLOOKUP($B2067,Keys!$G:$H,2,FALSE)))</f>
        <v>0x0000001785419953</v>
      </c>
      <c r="B2067" s="5" t="s">
        <v>1184</v>
      </c>
      <c r="C2067" s="5" t="s">
        <v>11200</v>
      </c>
      <c r="D2067" s="5" t="s">
        <v>16859</v>
      </c>
      <c r="E2067" s="5"/>
      <c r="F2067" s="1"/>
      <c r="G2067" s="5" t="s">
        <v>8971</v>
      </c>
      <c r="H2067" s="1"/>
      <c r="I2067" s="1"/>
      <c r="J2067" s="2"/>
      <c r="K2067" s="5" t="s">
        <v>9295</v>
      </c>
      <c r="L2067" s="5" t="s">
        <v>12000</v>
      </c>
      <c r="M2067" s="20"/>
      <c r="N2067" s="1"/>
      <c r="O2067" s="1"/>
      <c r="P2067" s="21" t="str">
        <f>IF(ISNUMBER(MATCH($C2067,StackableKinds,0)), TRUE, "")</f>
        <v/>
      </c>
    </row>
    <row r="2068" spans="1:17" x14ac:dyDescent="0.2">
      <c r="A2068" s="19" t="str">
        <f>_xlfn.IFNA(VLOOKUP($B2068,Keys!$A:$B,2,FALSE),_xlfn.IFNA(VLOOKUP($B2068,Keys!$D:$E,2,FALSE),VLOOKUP($B2068,Keys!$G:$H,2,FALSE)))</f>
        <v>0x0000001A91BC2794</v>
      </c>
      <c r="B2068" s="5" t="s">
        <v>1286</v>
      </c>
      <c r="C2068" s="5" t="s">
        <v>11200</v>
      </c>
      <c r="D2068" s="5" t="s">
        <v>16859</v>
      </c>
      <c r="E2068" s="5"/>
      <c r="F2068" s="1"/>
      <c r="G2068" s="5" t="s">
        <v>8971</v>
      </c>
      <c r="H2068" s="1"/>
      <c r="I2068" s="1"/>
      <c r="J2068" s="2"/>
      <c r="K2068" s="5" t="s">
        <v>9343</v>
      </c>
      <c r="L2068" s="5" t="s">
        <v>12000</v>
      </c>
      <c r="M2068" s="20"/>
      <c r="N2068" s="1"/>
      <c r="O2068" s="1"/>
      <c r="P2068" s="21" t="str">
        <f>IF(ISNUMBER(MATCH($C2068,StackableKinds,0)), TRUE, "")</f>
        <v/>
      </c>
      <c r="Q2068" s="2"/>
    </row>
    <row r="2069" spans="1:17" x14ac:dyDescent="0.2">
      <c r="A2069" s="19" t="str">
        <f>_xlfn.IFNA(VLOOKUP($B2069,Keys!$A:$B,2,FALSE),_xlfn.IFNA(VLOOKUP($B2069,Keys!$D:$E,2,FALSE),VLOOKUP($B2069,Keys!$G:$H,2,FALSE)))</f>
        <v>0x00000019C887D54C</v>
      </c>
      <c r="B2069" s="5" t="s">
        <v>1948</v>
      </c>
      <c r="C2069" s="5" t="s">
        <v>11200</v>
      </c>
      <c r="D2069" s="5" t="s">
        <v>16859</v>
      </c>
      <c r="E2069" s="5"/>
      <c r="F2069" s="1"/>
      <c r="G2069" s="5" t="s">
        <v>8971</v>
      </c>
      <c r="H2069" s="1"/>
      <c r="I2069" s="1"/>
      <c r="J2069" s="2"/>
      <c r="K2069" s="5" t="s">
        <v>9583</v>
      </c>
      <c r="L2069" s="19" t="s">
        <v>12000</v>
      </c>
      <c r="M2069" s="20"/>
      <c r="N2069" s="1"/>
      <c r="O2069" s="1"/>
      <c r="P2069" s="21" t="str">
        <f>IF(ISNUMBER(MATCH($C2069,StackableKinds,0)), TRUE, "")</f>
        <v/>
      </c>
      <c r="Q2069" s="2"/>
    </row>
    <row r="2070" spans="1:17" x14ac:dyDescent="0.2">
      <c r="A2070" s="19" t="str">
        <f>_xlfn.IFNA(VLOOKUP($B2070,Keys!$A:$B,2,FALSE),_xlfn.IFNA(VLOOKUP($B2070,Keys!$D:$E,2,FALSE),VLOOKUP($B2070,Keys!$G:$H,2,FALSE)))</f>
        <v>0x0000001C40103596</v>
      </c>
      <c r="B2070" s="5" t="s">
        <v>1054</v>
      </c>
      <c r="C2070" s="5" t="s">
        <v>11200</v>
      </c>
      <c r="D2070" s="5" t="s">
        <v>16859</v>
      </c>
      <c r="E2070" s="5"/>
      <c r="F2070" s="1"/>
      <c r="G2070" s="5" t="s">
        <v>8971</v>
      </c>
      <c r="H2070" s="1"/>
      <c r="I2070" s="1"/>
      <c r="J2070" s="2"/>
      <c r="K2070" s="5" t="s">
        <v>9282</v>
      </c>
      <c r="L2070" s="5" t="s">
        <v>12000</v>
      </c>
      <c r="M2070" s="20"/>
      <c r="N2070" s="1"/>
      <c r="O2070" s="1"/>
      <c r="P2070" s="21" t="str">
        <f>IF(ISNUMBER(MATCH($C2070,StackableKinds,0)), TRUE, "")</f>
        <v/>
      </c>
      <c r="Q2070" s="2"/>
    </row>
    <row r="2071" spans="1:17" x14ac:dyDescent="0.2">
      <c r="A2071" s="19" t="str">
        <f>_xlfn.IFNA(VLOOKUP($B2071,Keys!$A:$B,2,FALSE),_xlfn.IFNA(VLOOKUP($B2071,Keys!$D:$E,2,FALSE),VLOOKUP($B2071,Keys!$G:$H,2,FALSE)))</f>
        <v>0x00000016E464834C</v>
      </c>
      <c r="B2071" s="5" t="s">
        <v>5231</v>
      </c>
      <c r="C2071" s="5" t="s">
        <v>11200</v>
      </c>
      <c r="D2071" s="5" t="s">
        <v>16859</v>
      </c>
      <c r="E2071" s="5"/>
      <c r="F2071" s="5"/>
      <c r="G2071" s="1"/>
      <c r="H2071" s="1"/>
      <c r="I2071" s="1"/>
      <c r="J2071" s="2"/>
      <c r="K2071" s="5" t="s">
        <v>10421</v>
      </c>
      <c r="L2071" s="19" t="s">
        <v>12000</v>
      </c>
      <c r="M2071" s="20"/>
      <c r="N2071" s="1"/>
      <c r="O2071" s="1"/>
      <c r="P2071" s="21" t="str">
        <f>IF(ISNUMBER(MATCH($C2071,StackableKinds,0)), TRUE, "")</f>
        <v/>
      </c>
      <c r="Q2071" s="2"/>
    </row>
    <row r="2072" spans="1:17" x14ac:dyDescent="0.2">
      <c r="A2072" s="19" t="str">
        <f>_xlfn.IFNA(VLOOKUP($B2072,Keys!$A:$B,2,FALSE),_xlfn.IFNA(VLOOKUP($B2072,Keys!$D:$E,2,FALSE),VLOOKUP($B2072,Keys!$G:$H,2,FALSE)))</f>
        <v>0x00000017175EFABD</v>
      </c>
      <c r="B2072" s="5" t="s">
        <v>752</v>
      </c>
      <c r="C2072" s="5" t="s">
        <v>11200</v>
      </c>
      <c r="D2072" s="5" t="s">
        <v>16859</v>
      </c>
      <c r="E2072" s="5"/>
      <c r="F2072" s="1"/>
      <c r="G2072" s="5" t="s">
        <v>8971</v>
      </c>
      <c r="H2072" s="1"/>
      <c r="I2072" s="1"/>
      <c r="J2072" s="2"/>
      <c r="K2072" s="5" t="s">
        <v>9145</v>
      </c>
      <c r="L2072" s="5" t="s">
        <v>12000</v>
      </c>
      <c r="M2072" s="20"/>
      <c r="N2072" s="1"/>
      <c r="O2072" s="1"/>
      <c r="P2072" s="21" t="str">
        <f>IF(ISNUMBER(MATCH($C2072,StackableKinds,0)), TRUE, "")</f>
        <v/>
      </c>
      <c r="Q2072" s="2"/>
    </row>
    <row r="2073" spans="1:17" x14ac:dyDescent="0.2">
      <c r="A2073" s="19" t="str">
        <f>_xlfn.IFNA(VLOOKUP($B2073,Keys!$A:$B,2,FALSE),_xlfn.IFNA(VLOOKUP($B2073,Keys!$D:$E,2,FALSE),VLOOKUP($B2073,Keys!$G:$H,2,FALSE)))</f>
        <v>0x000000189BFFF295</v>
      </c>
      <c r="B2073" s="5" t="s">
        <v>3296</v>
      </c>
      <c r="C2073" s="5" t="s">
        <v>11200</v>
      </c>
      <c r="D2073" s="5" t="s">
        <v>16858</v>
      </c>
      <c r="E2073" s="5"/>
      <c r="F2073" s="5"/>
      <c r="G2073" s="1"/>
      <c r="H2073" s="1"/>
      <c r="I2073" s="1"/>
      <c r="J2073" s="2"/>
      <c r="K2073" s="5" t="s">
        <v>10107</v>
      </c>
      <c r="L2073" s="19" t="s">
        <v>11146</v>
      </c>
      <c r="M2073" s="20"/>
      <c r="N2073" s="1"/>
      <c r="O2073" s="1"/>
      <c r="P2073" s="21" t="str">
        <f>IF(ISNUMBER(MATCH($C2073,StackableKinds,0)), TRUE, "")</f>
        <v/>
      </c>
      <c r="Q2073" s="2"/>
    </row>
    <row r="2074" spans="1:17" x14ac:dyDescent="0.2">
      <c r="A2074" s="19" t="str">
        <f>_xlfn.IFNA(VLOOKUP($B2074,Keys!$A:$B,2,FALSE),_xlfn.IFNA(VLOOKUP($B2074,Keys!$D:$E,2,FALSE),VLOOKUP($B2074,Keys!$G:$H,2,FALSE)))</f>
        <v>0x00000016AF1EEEEF</v>
      </c>
      <c r="B2074" s="5" t="s">
        <v>1162</v>
      </c>
      <c r="C2074" s="5" t="s">
        <v>9064</v>
      </c>
      <c r="D2074" s="5" t="s">
        <v>16861</v>
      </c>
      <c r="E2074" s="5"/>
      <c r="F2074" s="1"/>
      <c r="G2074" s="5" t="s">
        <v>8971</v>
      </c>
      <c r="H2074" s="1"/>
      <c r="I2074" s="1"/>
      <c r="J2074" s="2"/>
      <c r="K2074" s="5" t="s">
        <v>9290</v>
      </c>
      <c r="L2074" s="5" t="s">
        <v>9294</v>
      </c>
      <c r="M2074" s="20"/>
      <c r="N2074" s="1"/>
      <c r="O2074" s="1"/>
      <c r="P2074" s="21" t="str">
        <f>IF(ISNUMBER(MATCH($C2074,StackableKinds,0)), TRUE, "")</f>
        <v/>
      </c>
    </row>
    <row r="2075" spans="1:17" x14ac:dyDescent="0.2">
      <c r="A2075" s="19" t="str">
        <f>_xlfn.IFNA(VLOOKUP($B2075,Keys!$A:$B,2,FALSE),_xlfn.IFNA(VLOOKUP($B2075,Keys!$D:$E,2,FALSE),VLOOKUP($B2075,Keys!$G:$H,2,FALSE)))</f>
        <v>0x0000001A0E81FA08</v>
      </c>
      <c r="B2075" s="5" t="s">
        <v>1156</v>
      </c>
      <c r="C2075" s="5" t="s">
        <v>9064</v>
      </c>
      <c r="D2075" s="5" t="s">
        <v>16860</v>
      </c>
      <c r="E2075" s="5"/>
      <c r="F2075" s="1"/>
      <c r="G2075" s="5" t="s">
        <v>8971</v>
      </c>
      <c r="H2075" s="1"/>
      <c r="I2075" s="1"/>
      <c r="J2075" s="2"/>
      <c r="K2075" s="5" t="s">
        <v>9290</v>
      </c>
      <c r="L2075" s="5" t="s">
        <v>9291</v>
      </c>
      <c r="M2075" s="20"/>
      <c r="N2075" s="1"/>
      <c r="O2075" s="1"/>
      <c r="P2075" s="21" t="str">
        <f>IF(ISNUMBER(MATCH($C2075,StackableKinds,0)), TRUE, "")</f>
        <v/>
      </c>
    </row>
    <row r="2076" spans="1:17" x14ac:dyDescent="0.2">
      <c r="A2076" s="19" t="str">
        <f>_xlfn.IFNA(VLOOKUP($B2076,Keys!$A:$B,2,FALSE),_xlfn.IFNA(VLOOKUP($B2076,Keys!$D:$E,2,FALSE),VLOOKUP($B2076,Keys!$G:$H,2,FALSE)))</f>
        <v>0x0000001AC22BFA96</v>
      </c>
      <c r="B2076" s="5" t="s">
        <v>1158</v>
      </c>
      <c r="C2076" s="5" t="s">
        <v>9064</v>
      </c>
      <c r="D2076" s="5" t="s">
        <v>16859</v>
      </c>
      <c r="E2076" s="5"/>
      <c r="F2076" s="1"/>
      <c r="G2076" s="5" t="s">
        <v>8971</v>
      </c>
      <c r="H2076" s="1"/>
      <c r="I2076" s="1"/>
      <c r="J2076" s="2"/>
      <c r="K2076" s="5" t="s">
        <v>9290</v>
      </c>
      <c r="L2076" s="5" t="s">
        <v>9292</v>
      </c>
      <c r="M2076" s="20"/>
      <c r="N2076" s="1"/>
      <c r="O2076" s="1"/>
      <c r="P2076" s="21" t="str">
        <f>IF(ISNUMBER(MATCH($C2076,StackableKinds,0)), TRUE, "")</f>
        <v/>
      </c>
    </row>
    <row r="2077" spans="1:17" x14ac:dyDescent="0.2">
      <c r="A2077" s="19" t="str">
        <f>_xlfn.IFNA(VLOOKUP($B2077,Keys!$A:$B,2,FALSE),_xlfn.IFNA(VLOOKUP($B2077,Keys!$D:$E,2,FALSE),VLOOKUP($B2077,Keys!$G:$H,2,FALSE)))</f>
        <v>0x0000001AC8EEF38F</v>
      </c>
      <c r="B2077" s="5" t="s">
        <v>1160</v>
      </c>
      <c r="C2077" s="5" t="s">
        <v>9064</v>
      </c>
      <c r="D2077" s="5" t="s">
        <v>16858</v>
      </c>
      <c r="E2077" s="5"/>
      <c r="F2077" s="1"/>
      <c r="G2077" s="5" t="s">
        <v>8971</v>
      </c>
      <c r="H2077" s="1"/>
      <c r="I2077" s="1"/>
      <c r="J2077" s="2"/>
      <c r="K2077" s="5" t="s">
        <v>9290</v>
      </c>
      <c r="L2077" s="5" t="s">
        <v>9293</v>
      </c>
      <c r="M2077" s="20"/>
      <c r="N2077" s="1"/>
      <c r="O2077" s="1"/>
      <c r="P2077" s="21" t="str">
        <f>IF(ISNUMBER(MATCH($C2077,StackableKinds,0)), TRUE, "")</f>
        <v/>
      </c>
    </row>
    <row r="2078" spans="1:17" x14ac:dyDescent="0.2">
      <c r="A2078" s="19" t="str">
        <f>_xlfn.IFNA(VLOOKUP($B2078,Keys!$A:$B,2,FALSE),_xlfn.IFNA(VLOOKUP($B2078,Keys!$D:$E,2,FALSE),VLOOKUP($B2078,Keys!$G:$H,2,FALSE)))</f>
        <v>0x000000221C995EEC</v>
      </c>
      <c r="B2078" s="5" t="s">
        <v>2592</v>
      </c>
      <c r="C2078" s="5" t="s">
        <v>9064</v>
      </c>
      <c r="D2078" s="5" t="s">
        <v>16861</v>
      </c>
      <c r="E2078" s="5"/>
      <c r="F2078" s="1"/>
      <c r="G2078" s="5" t="s">
        <v>8971</v>
      </c>
      <c r="H2078" s="1"/>
      <c r="I2078" s="1"/>
      <c r="J2078" s="2"/>
      <c r="K2078" s="5" t="s">
        <v>9807</v>
      </c>
      <c r="L2078" s="19" t="s">
        <v>10958</v>
      </c>
      <c r="M2078" s="20"/>
      <c r="N2078" s="1"/>
      <c r="O2078" s="1"/>
      <c r="P2078" s="21" t="str">
        <f>IF(ISNUMBER(MATCH($C2078,StackableKinds,0)), TRUE, "")</f>
        <v/>
      </c>
      <c r="Q2078" s="2"/>
    </row>
    <row r="2079" spans="1:17" x14ac:dyDescent="0.2">
      <c r="A2079" s="19" t="str">
        <f>_xlfn.IFNA(VLOOKUP($B2079,Keys!$A:$B,2,FALSE),_xlfn.IFNA(VLOOKUP($B2079,Keys!$D:$E,2,FALSE),VLOOKUP($B2079,Keys!$G:$H,2,FALSE)))</f>
        <v>0x00000026FFC0474C</v>
      </c>
      <c r="B2079" s="5" t="s">
        <v>2586</v>
      </c>
      <c r="C2079" s="5" t="s">
        <v>9064</v>
      </c>
      <c r="D2079" s="5" t="s">
        <v>16860</v>
      </c>
      <c r="E2079" s="5"/>
      <c r="F2079" s="1"/>
      <c r="G2079" s="5" t="s">
        <v>8971</v>
      </c>
      <c r="H2079" s="1"/>
      <c r="I2079" s="1"/>
      <c r="J2079" s="2"/>
      <c r="K2079" s="5" t="s">
        <v>9807</v>
      </c>
      <c r="L2079" s="19" t="s">
        <v>10955</v>
      </c>
      <c r="M2079" s="20"/>
      <c r="N2079" s="1"/>
      <c r="O2079" s="1"/>
      <c r="P2079" s="21" t="str">
        <f>IF(ISNUMBER(MATCH($C2079,StackableKinds,0)), TRUE, "")</f>
        <v/>
      </c>
      <c r="Q2079" s="2"/>
    </row>
    <row r="2080" spans="1:17" x14ac:dyDescent="0.2">
      <c r="A2080" s="19" t="str">
        <f>_xlfn.IFNA(VLOOKUP($B2080,Keys!$A:$B,2,FALSE),_xlfn.IFNA(VLOOKUP($B2080,Keys!$D:$E,2,FALSE),VLOOKUP($B2080,Keys!$G:$H,2,FALSE)))</f>
        <v>0x00000026336A47D2</v>
      </c>
      <c r="B2080" s="5" t="s">
        <v>2588</v>
      </c>
      <c r="C2080" s="5" t="s">
        <v>9064</v>
      </c>
      <c r="D2080" s="5" t="s">
        <v>16859</v>
      </c>
      <c r="E2080" s="5"/>
      <c r="F2080" s="1"/>
      <c r="G2080" s="5" t="s">
        <v>8971</v>
      </c>
      <c r="H2080" s="1"/>
      <c r="I2080" s="1"/>
      <c r="J2080" s="2"/>
      <c r="K2080" s="5" t="s">
        <v>9807</v>
      </c>
      <c r="L2080" s="19" t="s">
        <v>10956</v>
      </c>
      <c r="M2080" s="20"/>
      <c r="N2080" s="1"/>
      <c r="O2080" s="1"/>
      <c r="P2080" s="21" t="str">
        <f>IF(ISNUMBER(MATCH($C2080,StackableKinds,0)), TRUE, "")</f>
        <v/>
      </c>
      <c r="Q2080" s="2"/>
    </row>
    <row r="2081" spans="1:17" x14ac:dyDescent="0.2">
      <c r="A2081" s="19" t="str">
        <f>_xlfn.IFNA(VLOOKUP($B2081,Keys!$A:$B,2,FALSE),_xlfn.IFNA(VLOOKUP($B2081,Keys!$D:$E,2,FALSE),VLOOKUP($B2081,Keys!$G:$H,2,FALSE)))</f>
        <v>0x0000002639AF4ECB</v>
      </c>
      <c r="B2081" s="5" t="s">
        <v>2590</v>
      </c>
      <c r="C2081" s="5" t="s">
        <v>9064</v>
      </c>
      <c r="D2081" s="5" t="s">
        <v>16858</v>
      </c>
      <c r="E2081" s="5"/>
      <c r="F2081" s="1"/>
      <c r="G2081" s="5" t="s">
        <v>8971</v>
      </c>
      <c r="H2081" s="1"/>
      <c r="I2081" s="1"/>
      <c r="J2081" s="2"/>
      <c r="K2081" s="5" t="s">
        <v>9807</v>
      </c>
      <c r="L2081" s="19" t="s">
        <v>10957</v>
      </c>
      <c r="M2081" s="20"/>
      <c r="N2081" s="1"/>
      <c r="O2081" s="1"/>
      <c r="P2081" s="21" t="str">
        <f>IF(ISNUMBER(MATCH($C2081,StackableKinds,0)), TRUE, "")</f>
        <v/>
      </c>
      <c r="Q2081" s="2"/>
    </row>
    <row r="2082" spans="1:17" x14ac:dyDescent="0.2">
      <c r="A2082" s="19" t="str">
        <f>_xlfn.IFNA(VLOOKUP($B2082,Keys!$A:$B,2,FALSE),_xlfn.IFNA(VLOOKUP($B2082,Keys!$D:$E,2,FALSE),VLOOKUP($B2082,Keys!$G:$H,2,FALSE)))</f>
        <v>0x000000183F235049</v>
      </c>
      <c r="B2082" s="5" t="s">
        <v>2744</v>
      </c>
      <c r="C2082" s="5" t="s">
        <v>9064</v>
      </c>
      <c r="D2082" s="5" t="s">
        <v>16858</v>
      </c>
      <c r="E2082" s="5"/>
      <c r="F2082" s="1"/>
      <c r="G2082" s="5" t="s">
        <v>8971</v>
      </c>
      <c r="H2082" s="1"/>
      <c r="I2082" s="1"/>
      <c r="J2082" s="2"/>
      <c r="K2082" s="5" t="s">
        <v>9879</v>
      </c>
      <c r="L2082" s="19" t="s">
        <v>10964</v>
      </c>
      <c r="M2082" s="20"/>
      <c r="N2082" s="1"/>
      <c r="O2082" s="1"/>
      <c r="P2082" s="21" t="str">
        <f>IF(ISNUMBER(MATCH($C2082,StackableKinds,0)), TRUE, "")</f>
        <v/>
      </c>
      <c r="Q2082" s="2"/>
    </row>
    <row r="2083" spans="1:17" x14ac:dyDescent="0.2">
      <c r="A2083" s="19" t="str">
        <f>_xlfn.IFNA(VLOOKUP($B2083,Keys!$A:$B,2,FALSE),_xlfn.IFNA(VLOOKUP($B2083,Keys!$D:$E,2,FALSE),VLOOKUP($B2083,Keys!$G:$H,2,FALSE)))</f>
        <v>0x0000001DF34415D1</v>
      </c>
      <c r="B2083" s="5" t="s">
        <v>1212</v>
      </c>
      <c r="C2083" s="5" t="s">
        <v>9064</v>
      </c>
      <c r="D2083" s="5" t="s">
        <v>16861</v>
      </c>
      <c r="E2083" s="5"/>
      <c r="F2083" s="1"/>
      <c r="G2083" s="5" t="s">
        <v>8971</v>
      </c>
      <c r="H2083" s="1"/>
      <c r="I2083" s="1"/>
      <c r="J2083" s="2"/>
      <c r="K2083" s="5" t="s">
        <v>9302</v>
      </c>
      <c r="L2083" s="5" t="s">
        <v>9305</v>
      </c>
      <c r="M2083" s="20"/>
      <c r="N2083" s="1"/>
      <c r="O2083" s="1"/>
      <c r="P2083" s="21" t="str">
        <f>IF(ISNUMBER(MATCH($C2083,StackableKinds,0)), TRUE, "")</f>
        <v/>
      </c>
      <c r="Q2083" s="2"/>
    </row>
    <row r="2084" spans="1:17" x14ac:dyDescent="0.2">
      <c r="A2084" s="19" t="str">
        <f>_xlfn.IFNA(VLOOKUP($B2084,Keys!$A:$B,2,FALSE),_xlfn.IFNA(VLOOKUP($B2084,Keys!$D:$E,2,FALSE),VLOOKUP($B2084,Keys!$G:$H,2,FALSE)))</f>
        <v>0x00000021856D41AA</v>
      </c>
      <c r="B2084" s="5" t="s">
        <v>1208</v>
      </c>
      <c r="C2084" s="5" t="s">
        <v>9064</v>
      </c>
      <c r="D2084" s="5" t="s">
        <v>16860</v>
      </c>
      <c r="E2084" s="5"/>
      <c r="F2084" s="1"/>
      <c r="G2084" s="5" t="s">
        <v>8971</v>
      </c>
      <c r="H2084" s="1"/>
      <c r="I2084" s="1"/>
      <c r="J2084" s="2"/>
      <c r="K2084" s="5" t="s">
        <v>9302</v>
      </c>
      <c r="L2084" s="5" t="s">
        <v>9303</v>
      </c>
      <c r="M2084" s="20"/>
      <c r="N2084" s="1"/>
      <c r="O2084" s="1"/>
      <c r="P2084" s="21" t="str">
        <f>IF(ISNUMBER(MATCH($C2084,StackableKinds,0)), TRUE, "")</f>
        <v/>
      </c>
      <c r="Q2084" s="2"/>
    </row>
    <row r="2085" spans="1:17" x14ac:dyDescent="0.2">
      <c r="A2085" s="19" t="str">
        <f>_xlfn.IFNA(VLOOKUP($B2085,Keys!$A:$B,2,FALSE),_xlfn.IFNA(VLOOKUP($B2085,Keys!$D:$E,2,FALSE),VLOOKUP($B2085,Keys!$G:$H,2,FALSE)))</f>
        <v>0x0000002149C74134</v>
      </c>
      <c r="B2085" s="5" t="s">
        <v>1210</v>
      </c>
      <c r="C2085" s="5" t="s">
        <v>9064</v>
      </c>
      <c r="D2085" s="5" t="s">
        <v>16859</v>
      </c>
      <c r="E2085" s="5"/>
      <c r="F2085" s="1"/>
      <c r="G2085" s="5" t="s">
        <v>8971</v>
      </c>
      <c r="H2085" s="1"/>
      <c r="I2085" s="1"/>
      <c r="J2085" s="2"/>
      <c r="K2085" s="5" t="s">
        <v>9302</v>
      </c>
      <c r="L2085" s="5" t="s">
        <v>9304</v>
      </c>
      <c r="M2085" s="20"/>
      <c r="N2085" s="1"/>
      <c r="O2085" s="1"/>
      <c r="P2085" s="21" t="str">
        <f>IF(ISNUMBER(MATCH($C2085,StackableKinds,0)), TRUE, "")</f>
        <v/>
      </c>
      <c r="Q2085" s="2"/>
    </row>
    <row r="2086" spans="1:17" x14ac:dyDescent="0.2">
      <c r="A2086" s="19" t="str">
        <f>_xlfn.IFNA(VLOOKUP($B2086,Keys!$A:$B,2,FALSE),_xlfn.IFNA(VLOOKUP($B2086,Keys!$D:$E,2,FALSE),VLOOKUP($B2086,Keys!$G:$H,2,FALSE)))</f>
        <v>0x0000001B5B32F50E</v>
      </c>
      <c r="B2086" s="5" t="s">
        <v>2928</v>
      </c>
      <c r="C2086" s="5" t="s">
        <v>9064</v>
      </c>
      <c r="D2086" s="5" t="s">
        <v>16860</v>
      </c>
      <c r="E2086" s="5"/>
      <c r="F2086" s="1"/>
      <c r="G2086" s="5" t="s">
        <v>8971</v>
      </c>
      <c r="H2086" s="1"/>
      <c r="I2086" s="1"/>
      <c r="J2086" s="2"/>
      <c r="K2086" s="5" t="s">
        <v>9951</v>
      </c>
      <c r="L2086" s="19" t="s">
        <v>10980</v>
      </c>
      <c r="M2086" s="20"/>
      <c r="N2086" s="1"/>
      <c r="O2086" s="1"/>
      <c r="P2086" s="21" t="str">
        <f>IF(ISNUMBER(MATCH($C2086,StackableKinds,0)), TRUE, "")</f>
        <v/>
      </c>
      <c r="Q2086" s="2"/>
    </row>
    <row r="2087" spans="1:17" x14ac:dyDescent="0.2">
      <c r="A2087" s="19" t="str">
        <f>_xlfn.IFNA(VLOOKUP($B2087,Keys!$A:$B,2,FALSE),_xlfn.IFNA(VLOOKUP($B2087,Keys!$D:$E,2,FALSE),VLOOKUP($B2087,Keys!$G:$H,2,FALSE)))</f>
        <v>0x0000001B9798F590</v>
      </c>
      <c r="B2087" s="5" t="s">
        <v>2930</v>
      </c>
      <c r="C2087" s="5" t="s">
        <v>9064</v>
      </c>
      <c r="D2087" s="5" t="s">
        <v>16859</v>
      </c>
      <c r="E2087" s="5"/>
      <c r="F2087" s="1"/>
      <c r="G2087" s="5"/>
      <c r="H2087" s="1"/>
      <c r="I2087" s="1"/>
      <c r="J2087" s="2"/>
      <c r="K2087" s="5" t="s">
        <v>9951</v>
      </c>
      <c r="L2087" s="19" t="s">
        <v>16854</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16861</v>
      </c>
      <c r="E2088" s="5"/>
      <c r="F2088" s="5" t="s">
        <v>8971</v>
      </c>
      <c r="G2088" s="1"/>
      <c r="H2088" s="1"/>
      <c r="I2088" s="1"/>
      <c r="J2088" s="2"/>
      <c r="K2088" s="5" t="s">
        <v>9986</v>
      </c>
      <c r="L2088" s="19" t="s">
        <v>11001</v>
      </c>
      <c r="M2088" s="20"/>
      <c r="N2088" s="1"/>
      <c r="O2088" s="1"/>
      <c r="P2088" s="21" t="str">
        <f>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16860</v>
      </c>
      <c r="E2089" s="5"/>
      <c r="F2089" s="5" t="s">
        <v>8971</v>
      </c>
      <c r="G2089" s="1"/>
      <c r="H2089" s="1"/>
      <c r="I2089" s="1"/>
      <c r="J2089" s="2"/>
      <c r="K2089" s="5" t="s">
        <v>9986</v>
      </c>
      <c r="L2089" s="19" t="s">
        <v>10999</v>
      </c>
      <c r="M2089" s="20"/>
      <c r="N2089" s="1"/>
      <c r="O2089" s="1"/>
      <c r="P2089" s="21" t="str">
        <f>IF(ISNUMBER(MATCH($C2089,StackableKinds,0)), TRUE, "")</f>
        <v/>
      </c>
      <c r="Q2089" s="2"/>
    </row>
    <row r="2090" spans="1:17" x14ac:dyDescent="0.2">
      <c r="A2090" s="19" t="str">
        <f>_xlfn.IFNA(VLOOKUP($B2090,Keys!$A:$B,2,FALSE),_xlfn.IFNA(VLOOKUP($B2090,Keys!$D:$E,2,FALSE),VLOOKUP($B2090,Keys!$G:$H,2,FALSE)))</f>
        <v>0x00000019580BC91F</v>
      </c>
      <c r="B2090" s="5" t="s">
        <v>3048</v>
      </c>
      <c r="C2090" s="5" t="s">
        <v>9064</v>
      </c>
      <c r="D2090" s="5" t="s">
        <v>16859</v>
      </c>
      <c r="E2090" s="5"/>
      <c r="F2090" s="5" t="s">
        <v>8971</v>
      </c>
      <c r="G2090" s="1"/>
      <c r="H2090" s="1"/>
      <c r="I2090" s="1"/>
      <c r="J2090" s="2"/>
      <c r="K2090" s="5" t="s">
        <v>9986</v>
      </c>
      <c r="L2090" s="19" t="s">
        <v>11346</v>
      </c>
      <c r="M2090" s="20"/>
      <c r="N2090" s="1"/>
      <c r="O2090" s="1"/>
      <c r="P2090" s="21" t="str">
        <f>IF(ISNUMBER(MATCH($C2090,StackableKinds,0)), TRUE, "")</f>
        <v/>
      </c>
      <c r="Q2090" s="2"/>
    </row>
    <row r="2091" spans="1:17" x14ac:dyDescent="0.2">
      <c r="A2091" s="19" t="str">
        <f>_xlfn.IFNA(VLOOKUP($B2091,Keys!$A:$B,2,FALSE),_xlfn.IFNA(VLOOKUP($B2091,Keys!$D:$E,2,FALSE),VLOOKUP($B2091,Keys!$G:$H,2,FALSE)))</f>
        <v>0x0000001952CEC006</v>
      </c>
      <c r="B2091" s="5" t="s">
        <v>3050</v>
      </c>
      <c r="C2091" s="5" t="s">
        <v>9064</v>
      </c>
      <c r="D2091" s="5" t="s">
        <v>16858</v>
      </c>
      <c r="E2091" s="5"/>
      <c r="F2091" s="5" t="s">
        <v>8971</v>
      </c>
      <c r="G2091" s="1"/>
      <c r="H2091" s="1"/>
      <c r="I2091" s="1"/>
      <c r="J2091" s="2"/>
      <c r="K2091" s="5" t="s">
        <v>9986</v>
      </c>
      <c r="L2091" s="19" t="s">
        <v>11000</v>
      </c>
      <c r="M2091" s="20"/>
      <c r="N2091" s="1"/>
      <c r="O2091" s="1"/>
      <c r="P2091" s="21" t="str">
        <f>IF(ISNUMBER(MATCH($C2091,StackableKinds,0)), TRUE, "")</f>
        <v/>
      </c>
      <c r="Q2091" s="2"/>
    </row>
    <row r="2092" spans="1:17" x14ac:dyDescent="0.2">
      <c r="A2092" s="19" t="str">
        <f>_xlfn.IFNA(VLOOKUP($B2092,Keys!$A:$B,2,FALSE),_xlfn.IFNA(VLOOKUP($B2092,Keys!$D:$E,2,FALSE),VLOOKUP($B2092,Keys!$G:$H,2,FALSE)))</f>
        <v>0x00000011991763D0</v>
      </c>
      <c r="B2092" s="5" t="s">
        <v>3312</v>
      </c>
      <c r="C2092" s="5" t="s">
        <v>9064</v>
      </c>
      <c r="D2092" s="5" t="s">
        <v>16861</v>
      </c>
      <c r="E2092" s="5"/>
      <c r="F2092" s="5" t="s">
        <v>8971</v>
      </c>
      <c r="G2092" s="1"/>
      <c r="H2092" s="1"/>
      <c r="I2092" s="1"/>
      <c r="J2092" s="2"/>
      <c r="K2092" s="5" t="s">
        <v>10111</v>
      </c>
      <c r="L2092" s="19" t="s">
        <v>11003</v>
      </c>
      <c r="M2092" s="20"/>
      <c r="N2092" s="1"/>
      <c r="O2092" s="1"/>
      <c r="P2092" s="21" t="str">
        <f>IF(ISNUMBER(MATCH($C2092,StackableKinds,0)), TRUE, "")</f>
        <v/>
      </c>
      <c r="Q2092" s="2"/>
    </row>
    <row r="2093" spans="1:17" x14ac:dyDescent="0.2">
      <c r="A2093" s="19" t="str">
        <f>_xlfn.IFNA(VLOOKUP($B2093,Keys!$A:$B,2,FALSE),_xlfn.IFNA(VLOOKUP($B2093,Keys!$D:$E,2,FALSE),VLOOKUP($B2093,Keys!$G:$H,2,FALSE)))</f>
        <v>0x00000015515CB4FC</v>
      </c>
      <c r="B2093" s="5" t="s">
        <v>3306</v>
      </c>
      <c r="C2093" s="5" t="s">
        <v>9064</v>
      </c>
      <c r="D2093" s="5" t="s">
        <v>16860</v>
      </c>
      <c r="E2093" s="5"/>
      <c r="F2093" s="5" t="s">
        <v>8971</v>
      </c>
      <c r="G2093" s="1"/>
      <c r="H2093" s="1"/>
      <c r="I2093" s="1"/>
      <c r="J2093" s="2"/>
      <c r="K2093" s="5" t="s">
        <v>10111</v>
      </c>
      <c r="L2093" s="19" t="s">
        <v>11003</v>
      </c>
      <c r="M2093" s="20"/>
      <c r="N2093" s="1"/>
      <c r="O2093" s="1"/>
      <c r="P2093" s="21" t="str">
        <f>IF(ISNUMBER(MATCH($C2093,StackableKinds,0)), TRUE, "")</f>
        <v/>
      </c>
      <c r="Q2093" s="2"/>
    </row>
    <row r="2094" spans="1:17" x14ac:dyDescent="0.2">
      <c r="A2094" s="19" t="str">
        <f>_xlfn.IFNA(VLOOKUP($B2094,Keys!$A:$B,2,FALSE),_xlfn.IFNA(VLOOKUP($B2094,Keys!$D:$E,2,FALSE),VLOOKUP($B2094,Keys!$G:$H,2,FALSE)))</f>
        <v>0x000000159DF6B462</v>
      </c>
      <c r="B2094" s="5" t="s">
        <v>3308</v>
      </c>
      <c r="C2094" s="5" t="s">
        <v>9064</v>
      </c>
      <c r="D2094" s="5" t="s">
        <v>16859</v>
      </c>
      <c r="E2094" s="5"/>
      <c r="F2094" s="5" t="s">
        <v>8971</v>
      </c>
      <c r="G2094" s="1"/>
      <c r="H2094" s="1"/>
      <c r="I2094" s="1"/>
      <c r="J2094" s="2"/>
      <c r="K2094" s="5" t="s">
        <v>10111</v>
      </c>
      <c r="L2094" s="19" t="s">
        <v>11003</v>
      </c>
      <c r="M2094" s="20"/>
      <c r="N2094" s="1"/>
      <c r="O2094" s="1"/>
      <c r="P2094" s="21" t="str">
        <f>IF(ISNUMBER(MATCH($C2094,StackableKinds,0)), TRUE, "")</f>
        <v/>
      </c>
      <c r="Q2094" s="2"/>
    </row>
    <row r="2095" spans="1:17" x14ac:dyDescent="0.2">
      <c r="A2095" s="19" t="str">
        <f>_xlfn.IFNA(VLOOKUP($B2095,Keys!$A:$B,2,FALSE),_xlfn.IFNA(VLOOKUP($B2095,Keys!$D:$E,2,FALSE),VLOOKUP($B2095,Keys!$G:$H,2,FALSE)))</f>
        <v>0x000000159733BD7B</v>
      </c>
      <c r="B2095" s="5" t="s">
        <v>3310</v>
      </c>
      <c r="C2095" s="5" t="s">
        <v>9064</v>
      </c>
      <c r="D2095" s="5" t="s">
        <v>16858</v>
      </c>
      <c r="E2095" s="5"/>
      <c r="F2095" s="5" t="s">
        <v>8971</v>
      </c>
      <c r="G2095" s="1"/>
      <c r="H2095" s="1"/>
      <c r="I2095" s="1"/>
      <c r="J2095" s="2"/>
      <c r="K2095" s="5" t="s">
        <v>10111</v>
      </c>
      <c r="L2095" s="19" t="s">
        <v>11004</v>
      </c>
      <c r="M2095" s="20"/>
      <c r="N2095" s="1"/>
      <c r="O2095" s="1"/>
      <c r="P2095" s="21" t="str">
        <f>IF(ISNUMBER(MATCH($C2095,StackableKinds,0)), TRUE, "")</f>
        <v/>
      </c>
      <c r="Q2095" s="2"/>
    </row>
    <row r="2096" spans="1:17" x14ac:dyDescent="0.2">
      <c r="A2096" s="19" t="str">
        <f>_xlfn.IFNA(VLOOKUP($B2096,Keys!$A:$B,2,FALSE),_xlfn.IFNA(VLOOKUP($B2096,Keys!$D:$E,2,FALSE),VLOOKUP($B2096,Keys!$G:$H,2,FALSE)))</f>
        <v>0x00000012BBCF9FE2</v>
      </c>
      <c r="B2096" s="5" t="s">
        <v>588</v>
      </c>
      <c r="C2096" s="5" t="s">
        <v>9064</v>
      </c>
      <c r="D2096" s="5" t="s">
        <v>16861</v>
      </c>
      <c r="E2096" s="5"/>
      <c r="F2096" s="1"/>
      <c r="G2096" s="5" t="s">
        <v>8971</v>
      </c>
      <c r="H2096" s="1"/>
      <c r="I2096" s="1"/>
      <c r="J2096" s="2"/>
      <c r="K2096" s="5" t="s">
        <v>9065</v>
      </c>
      <c r="L2096" s="5" t="s">
        <v>11344</v>
      </c>
      <c r="M2096" s="20"/>
      <c r="N2096" s="1"/>
      <c r="O2096" s="1"/>
      <c r="P2096" s="21" t="str">
        <f>IF(ISNUMBER(MATCH($C2096,StackableKinds,0)), TRUE, "")</f>
        <v/>
      </c>
      <c r="Q2096" s="2"/>
    </row>
    <row r="2097" spans="1:17" x14ac:dyDescent="0.2">
      <c r="A2097" s="19" t="str">
        <f>_xlfn.IFNA(VLOOKUP($B2097,Keys!$A:$B,2,FALSE),_xlfn.IFNA(VLOOKUP($B2097,Keys!$D:$E,2,FALSE),VLOOKUP($B2097,Keys!$G:$H,2,FALSE)))</f>
        <v>0x000000162B210091</v>
      </c>
      <c r="B2097" s="5" t="s">
        <v>582</v>
      </c>
      <c r="C2097" s="5" t="s">
        <v>9064</v>
      </c>
      <c r="D2097" s="5" t="s">
        <v>16860</v>
      </c>
      <c r="E2097" s="5"/>
      <c r="F2097" s="1"/>
      <c r="G2097" s="5" t="s">
        <v>8971</v>
      </c>
      <c r="H2097" s="1"/>
      <c r="I2097" s="1"/>
      <c r="J2097" s="2"/>
      <c r="K2097" s="5" t="s">
        <v>9065</v>
      </c>
      <c r="L2097" s="5" t="s">
        <v>11341</v>
      </c>
      <c r="M2097" s="20"/>
      <c r="N2097" s="1"/>
      <c r="O2097" s="1"/>
      <c r="P2097" s="21" t="str">
        <f>IF(ISNUMBER(MATCH($C2097,StackableKinds,0)), TRUE, "")</f>
        <v/>
      </c>
      <c r="Q2097" s="2"/>
    </row>
    <row r="2098" spans="1:17" x14ac:dyDescent="0.2">
      <c r="A2098" s="19" t="str">
        <f>_xlfn.IFNA(VLOOKUP($B2098,Keys!$A:$B,2,FALSE),_xlfn.IFNA(VLOOKUP($B2098,Keys!$D:$E,2,FALSE),VLOOKUP($B2098,Keys!$G:$H,2,FALSE)))</f>
        <v>0x00000016E78B000F</v>
      </c>
      <c r="B2098" s="5" t="s">
        <v>584</v>
      </c>
      <c r="C2098" s="5" t="s">
        <v>9064</v>
      </c>
      <c r="D2098" s="5" t="s">
        <v>16859</v>
      </c>
      <c r="E2098" s="5"/>
      <c r="F2098" s="1"/>
      <c r="G2098" s="5" t="s">
        <v>8971</v>
      </c>
      <c r="H2098" s="1"/>
      <c r="I2098" s="1"/>
      <c r="J2098" s="2"/>
      <c r="K2098" s="5" t="s">
        <v>9065</v>
      </c>
      <c r="L2098" s="5" t="s">
        <v>11342</v>
      </c>
      <c r="M2098" s="20"/>
      <c r="N2098" s="1"/>
      <c r="O2098" s="1"/>
      <c r="P2098" s="21" t="str">
        <f>IF(ISNUMBER(MATCH($C2098,StackableKinds,0)), TRUE, "")</f>
        <v/>
      </c>
      <c r="Q2098" s="2"/>
    </row>
    <row r="2099" spans="1:17" x14ac:dyDescent="0.2">
      <c r="A2099" s="19" t="str">
        <f>_xlfn.IFNA(VLOOKUP($B2099,Keys!$A:$B,2,FALSE),_xlfn.IFNA(VLOOKUP($B2099,Keys!$D:$E,2,FALSE),VLOOKUP($B2099,Keys!$G:$H,2,FALSE)))</f>
        <v>0x00000016ED4E0916</v>
      </c>
      <c r="B2099" s="5" t="s">
        <v>586</v>
      </c>
      <c r="C2099" s="5" t="s">
        <v>9064</v>
      </c>
      <c r="D2099" s="5" t="s">
        <v>16858</v>
      </c>
      <c r="E2099" s="5"/>
      <c r="F2099" s="1"/>
      <c r="G2099" s="5" t="s">
        <v>8971</v>
      </c>
      <c r="H2099" s="1"/>
      <c r="I2099" s="1"/>
      <c r="J2099" s="2"/>
      <c r="K2099" s="5" t="s">
        <v>9065</v>
      </c>
      <c r="L2099" s="5" t="s">
        <v>11343</v>
      </c>
      <c r="M2099" s="20"/>
      <c r="N2099" s="1"/>
      <c r="O2099" s="1"/>
      <c r="P2099" s="21" t="str">
        <f>IF(ISNUMBER(MATCH($C2099,StackableKinds,0)), TRUE, "")</f>
        <v/>
      </c>
      <c r="Q2099" s="2"/>
    </row>
    <row r="2100" spans="1:17" x14ac:dyDescent="0.2">
      <c r="A2100" s="19" t="str">
        <f>_xlfn.IFNA(VLOOKUP($B2100,Keys!$A:$B,2,FALSE),_xlfn.IFNA(VLOOKUP($B2100,Keys!$D:$E,2,FALSE),VLOOKUP($B2100,Keys!$G:$H,2,FALSE)))</f>
        <v>0x0000001868968173</v>
      </c>
      <c r="B2100" s="5" t="s">
        <v>1146</v>
      </c>
      <c r="C2100" s="5" t="s">
        <v>9064</v>
      </c>
      <c r="D2100" s="5" t="s">
        <v>16861</v>
      </c>
      <c r="E2100" s="5"/>
      <c r="F2100" s="1"/>
      <c r="G2100" s="5" t="s">
        <v>8971</v>
      </c>
      <c r="H2100" s="1"/>
      <c r="I2100" s="1"/>
      <c r="J2100" s="2"/>
      <c r="K2100" s="5" t="s">
        <v>9284</v>
      </c>
      <c r="L2100" s="5" t="s">
        <v>9285</v>
      </c>
      <c r="M2100" s="20"/>
      <c r="N2100" s="1"/>
      <c r="O2100" s="1"/>
      <c r="P2100" s="21" t="str">
        <f>IF(ISNUMBER(MATCH($C2100,StackableKinds,0)), TRUE, "")</f>
        <v/>
      </c>
      <c r="Q2100" s="2"/>
    </row>
    <row r="2101" spans="1:17" x14ac:dyDescent="0.2">
      <c r="A2101" s="19" t="str">
        <f>_xlfn.IFNA(VLOOKUP($B2101,Keys!$A:$B,2,FALSE),_xlfn.IFNA(VLOOKUP($B2101,Keys!$D:$E,2,FALSE),VLOOKUP($B2101,Keys!$G:$H,2,FALSE)))</f>
        <v>0x0000001C806C6DC7</v>
      </c>
      <c r="B2101" s="5" t="s">
        <v>1144</v>
      </c>
      <c r="C2101" s="5" t="s">
        <v>9064</v>
      </c>
      <c r="D2101" s="5" t="s">
        <v>16859</v>
      </c>
      <c r="E2101" s="5"/>
      <c r="F2101" s="1"/>
      <c r="G2101" s="5" t="s">
        <v>8971</v>
      </c>
      <c r="H2101" s="1"/>
      <c r="I2101" s="1"/>
      <c r="J2101" s="2"/>
      <c r="K2101" s="5" t="s">
        <v>9284</v>
      </c>
      <c r="L2101" s="5" t="s">
        <v>11345</v>
      </c>
      <c r="M2101" s="20"/>
      <c r="N2101" s="1"/>
      <c r="O2101" s="1"/>
      <c r="P2101" s="21" t="str">
        <f>IF(ISNUMBER(MATCH($C2101,StackableKinds,0)), TRUE, "")</f>
        <v/>
      </c>
      <c r="Q2101" s="2"/>
    </row>
    <row r="2102" spans="1:17" x14ac:dyDescent="0.2">
      <c r="A2102" s="19" t="str">
        <f>_xlfn.IFNA(VLOOKUP($B2102,Keys!$A:$B,2,FALSE),_xlfn.IFNA(VLOOKUP($B2102,Keys!$D:$E,2,FALSE),VLOOKUP($B2102,Keys!$G:$H,2,FALSE)))</f>
        <v>0x00000018EB045547</v>
      </c>
      <c r="B2102" s="5" t="s">
        <v>1256</v>
      </c>
      <c r="C2102" s="5" t="s">
        <v>9064</v>
      </c>
      <c r="D2102" s="5" t="s">
        <v>16861</v>
      </c>
      <c r="E2102" s="5"/>
      <c r="F2102" s="1"/>
      <c r="G2102" s="5" t="s">
        <v>8971</v>
      </c>
      <c r="H2102" s="1"/>
      <c r="I2102" s="1"/>
      <c r="J2102" s="2"/>
      <c r="K2102" s="5" t="s">
        <v>9335</v>
      </c>
      <c r="L2102" s="5" t="s">
        <v>9339</v>
      </c>
      <c r="M2102" s="20"/>
      <c r="N2102" s="1"/>
      <c r="O2102" s="1"/>
      <c r="P2102" s="21" t="str">
        <f>IF(ISNUMBER(MATCH($C2102,StackableKinds,0)), TRUE, "")</f>
        <v/>
      </c>
      <c r="Q2102" s="2"/>
    </row>
    <row r="2103" spans="1:17" x14ac:dyDescent="0.2">
      <c r="A2103" s="19" t="str">
        <f>_xlfn.IFNA(VLOOKUP($B2103,Keys!$A:$B,2,FALSE),_xlfn.IFNA(VLOOKUP($B2103,Keys!$D:$E,2,FALSE),VLOOKUP($B2103,Keys!$G:$H,2,FALSE)))</f>
        <v>0x0000001C8EC9A541</v>
      </c>
      <c r="B2103" s="5" t="s">
        <v>1250</v>
      </c>
      <c r="C2103" s="5" t="s">
        <v>9064</v>
      </c>
      <c r="D2103" s="5" t="s">
        <v>16860</v>
      </c>
      <c r="E2103" s="5"/>
      <c r="F2103" s="1"/>
      <c r="G2103" s="5" t="s">
        <v>8971</v>
      </c>
      <c r="H2103" s="1"/>
      <c r="I2103" s="1"/>
      <c r="J2103" s="2"/>
      <c r="K2103" s="5" t="s">
        <v>9335</v>
      </c>
      <c r="L2103" s="5" t="s">
        <v>9336</v>
      </c>
      <c r="M2103" s="20"/>
      <c r="N2103" s="1"/>
      <c r="O2103" s="1"/>
      <c r="P2103" s="21" t="str">
        <f>IF(ISNUMBER(MATCH($C2103,StackableKinds,0)), TRUE, "")</f>
        <v/>
      </c>
      <c r="Q2103" s="2"/>
    </row>
    <row r="2104" spans="1:17" x14ac:dyDescent="0.2">
      <c r="A2104" s="19" t="str">
        <f>_xlfn.IFNA(VLOOKUP($B2104,Keys!$A:$B,2,FALSE),_xlfn.IFNA(VLOOKUP($B2104,Keys!$D:$E,2,FALSE),VLOOKUP($B2104,Keys!$G:$H,2,FALSE)))</f>
        <v>0x0000001C4263A5DF</v>
      </c>
      <c r="B2104" s="5" t="s">
        <v>1252</v>
      </c>
      <c r="C2104" s="5" t="s">
        <v>9064</v>
      </c>
      <c r="D2104" s="5" t="s">
        <v>16859</v>
      </c>
      <c r="E2104" s="5"/>
      <c r="F2104" s="1"/>
      <c r="G2104" s="5" t="s">
        <v>8971</v>
      </c>
      <c r="H2104" s="1"/>
      <c r="I2104" s="1"/>
      <c r="J2104" s="2"/>
      <c r="K2104" s="5" t="s">
        <v>9335</v>
      </c>
      <c r="L2104" s="5" t="s">
        <v>9337</v>
      </c>
      <c r="M2104" s="20"/>
      <c r="N2104" s="1"/>
      <c r="O2104" s="1"/>
      <c r="P2104" s="21" t="str">
        <f>IF(ISNUMBER(MATCH($C2104,StackableKinds,0)), TRUE, "")</f>
        <v/>
      </c>
      <c r="Q2104" s="2"/>
    </row>
    <row r="2105" spans="1:17" x14ac:dyDescent="0.2">
      <c r="A2105" s="19" t="str">
        <f>_xlfn.IFNA(VLOOKUP($B2105,Keys!$A:$B,2,FALSE),_xlfn.IFNA(VLOOKUP($B2105,Keys!$D:$E,2,FALSE),VLOOKUP($B2105,Keys!$G:$H,2,FALSE)))</f>
        <v>0x0000001C48A6ACC6</v>
      </c>
      <c r="B2105" s="5" t="s">
        <v>1254</v>
      </c>
      <c r="C2105" s="5" t="s">
        <v>9064</v>
      </c>
      <c r="D2105" s="5" t="s">
        <v>16858</v>
      </c>
      <c r="E2105" s="5"/>
      <c r="F2105" s="1"/>
      <c r="G2105" s="5" t="s">
        <v>8971</v>
      </c>
      <c r="H2105" s="1"/>
      <c r="I2105" s="1"/>
      <c r="J2105" s="2"/>
      <c r="K2105" s="5" t="s">
        <v>9335</v>
      </c>
      <c r="L2105" s="5" t="s">
        <v>9338</v>
      </c>
      <c r="M2105" s="20"/>
      <c r="N2105" s="1"/>
      <c r="O2105" s="1"/>
      <c r="P2105" s="21" t="str">
        <f>IF(ISNUMBER(MATCH($C2105,StackableKinds,0)), TRUE, "")</f>
        <v/>
      </c>
      <c r="Q2105" s="2"/>
    </row>
    <row r="2106" spans="1:17" x14ac:dyDescent="0.2">
      <c r="A2106" s="19" t="str">
        <f>_xlfn.IFNA(VLOOKUP($B2106,Keys!$A:$B,2,FALSE),_xlfn.IFNA(VLOOKUP($B2106,Keys!$D:$E,2,FALSE),VLOOKUP($B2106,Keys!$G:$H,2,FALSE)))</f>
        <v>0x000000172E408D40</v>
      </c>
      <c r="B2106" s="5" t="s">
        <v>1154</v>
      </c>
      <c r="C2106" s="5" t="s">
        <v>9064</v>
      </c>
      <c r="D2106" s="5" t="s">
        <v>16861</v>
      </c>
      <c r="E2106" s="5"/>
      <c r="F2106" s="1"/>
      <c r="G2106" s="5" t="s">
        <v>8971</v>
      </c>
      <c r="H2106" s="1"/>
      <c r="I2106" s="1"/>
      <c r="J2106" s="2"/>
      <c r="K2106" s="5" t="s">
        <v>9286</v>
      </c>
      <c r="L2106" s="5" t="s">
        <v>9289</v>
      </c>
      <c r="M2106" s="20"/>
      <c r="N2106" s="1"/>
      <c r="O2106" s="1"/>
      <c r="P2106" s="21" t="str">
        <f>IF(ISNUMBER(MATCH($C2106,StackableKinds,0)), TRUE, "")</f>
        <v/>
      </c>
    </row>
    <row r="2107" spans="1:17" x14ac:dyDescent="0.2">
      <c r="A2107" s="19" t="str">
        <f>_xlfn.IFNA(VLOOKUP($B2107,Keys!$A:$B,2,FALSE),_xlfn.IFNA(VLOOKUP($B2107,Keys!$D:$E,2,FALSE),VLOOKUP($B2107,Keys!$G:$H,2,FALSE)))</f>
        <v>0x0000001BEF9F454E</v>
      </c>
      <c r="B2107" s="5" t="s">
        <v>1148</v>
      </c>
      <c r="C2107" s="5" t="s">
        <v>9064</v>
      </c>
      <c r="D2107" s="5" t="s">
        <v>16860</v>
      </c>
      <c r="E2107" s="5"/>
      <c r="F2107" s="1"/>
      <c r="G2107" s="5" t="s">
        <v>8971</v>
      </c>
      <c r="H2107" s="1"/>
      <c r="I2107" s="1"/>
      <c r="J2107" s="2"/>
      <c r="K2107" s="5" t="s">
        <v>9286</v>
      </c>
      <c r="L2107" s="5" t="s">
        <v>9287</v>
      </c>
      <c r="M2107" s="20"/>
      <c r="N2107" s="1"/>
      <c r="O2107" s="1"/>
      <c r="P2107" s="21" t="str">
        <f>IF(ISNUMBER(MATCH($C2107,StackableKinds,0)), TRUE, "")</f>
        <v/>
      </c>
      <c r="Q2107" s="2"/>
    </row>
    <row r="2108" spans="1:17" x14ac:dyDescent="0.2">
      <c r="A2108" s="19" t="str">
        <f>_xlfn.IFNA(VLOOKUP($B2108,Keys!$A:$B,2,FALSE),_xlfn.IFNA(VLOOKUP($B2108,Keys!$D:$E,2,FALSE),VLOOKUP($B2108,Keys!$G:$H,2,FALSE)))</f>
        <v>0x0000001B233545D0</v>
      </c>
      <c r="B2108" s="5" t="s">
        <v>1150</v>
      </c>
      <c r="C2108" s="5" t="s">
        <v>9064</v>
      </c>
      <c r="D2108" s="5" t="s">
        <v>16859</v>
      </c>
      <c r="E2108" s="5"/>
      <c r="F2108" s="1"/>
      <c r="G2108" s="5" t="s">
        <v>8971</v>
      </c>
      <c r="H2108" s="1"/>
      <c r="I2108" s="1"/>
      <c r="J2108" s="2"/>
      <c r="K2108" s="5" t="s">
        <v>9286</v>
      </c>
      <c r="L2108" s="5" t="s">
        <v>9288</v>
      </c>
      <c r="M2108" s="20"/>
      <c r="N2108" s="1"/>
      <c r="O2108" s="1"/>
      <c r="P2108" s="21" t="str">
        <f>IF(ISNUMBER(MATCH($C2108,StackableKinds,0)), TRUE, "")</f>
        <v/>
      </c>
      <c r="Q2108" s="2"/>
    </row>
    <row r="2109" spans="1:17" x14ac:dyDescent="0.2">
      <c r="A2109" s="19" t="str">
        <f>_xlfn.IFNA(VLOOKUP($B2109,Keys!$A:$B,2,FALSE),_xlfn.IFNA(VLOOKUP($B2109,Keys!$D:$E,2,FALSE),VLOOKUP($B2109,Keys!$G:$H,2,FALSE)))</f>
        <v>0x0000001B29F04CC9</v>
      </c>
      <c r="B2109" s="5" t="s">
        <v>1152</v>
      </c>
      <c r="C2109" s="5" t="s">
        <v>9064</v>
      </c>
      <c r="D2109" s="5" t="s">
        <v>16858</v>
      </c>
      <c r="E2109" s="5"/>
      <c r="F2109" s="1"/>
      <c r="G2109" s="5" t="s">
        <v>8971</v>
      </c>
      <c r="H2109" s="1"/>
      <c r="I2109" s="1"/>
      <c r="J2109" s="2"/>
      <c r="K2109" s="5" t="s">
        <v>9286</v>
      </c>
      <c r="L2109" s="5" t="s">
        <v>9288</v>
      </c>
      <c r="M2109" s="20"/>
      <c r="N2109" s="1"/>
      <c r="O2109" s="1"/>
      <c r="P2109" s="21" t="str">
        <f>IF(ISNUMBER(MATCH($C2109,StackableKinds,0)), TRUE, "")</f>
        <v/>
      </c>
    </row>
    <row r="2110" spans="1:17" x14ac:dyDescent="0.2">
      <c r="A2110" s="19" t="str">
        <f>_xlfn.IFNA(VLOOKUP($B2110,Keys!$A:$B,2,FALSE),_xlfn.IFNA(VLOOKUP($B2110,Keys!$D:$E,2,FALSE),VLOOKUP($B2110,Keys!$G:$H,2,FALSE)))</f>
        <v>0x0000001893D1E095</v>
      </c>
      <c r="B2110" s="5" t="s">
        <v>5263</v>
      </c>
      <c r="C2110" s="5" t="s">
        <v>9064</v>
      </c>
      <c r="D2110" s="5" t="s">
        <v>16859</v>
      </c>
      <c r="E2110" s="5"/>
      <c r="F2110" s="5" t="s">
        <v>8971</v>
      </c>
      <c r="G2110" s="1"/>
      <c r="H2110" s="1"/>
      <c r="I2110" s="1"/>
      <c r="J2110" s="2"/>
      <c r="K2110" s="5" t="s">
        <v>10428</v>
      </c>
      <c r="L2110" s="19" t="s">
        <v>11099</v>
      </c>
      <c r="M2110" s="20"/>
      <c r="N2110" s="1"/>
      <c r="O2110" s="1"/>
      <c r="P2110" s="21" t="str">
        <f>IF(ISNUMBER(MATCH($C2110,StackableKinds,0)), TRUE, "")</f>
        <v/>
      </c>
      <c r="Q2110" s="2"/>
    </row>
    <row r="2111" spans="1:17" x14ac:dyDescent="0.2">
      <c r="A2111" s="19" t="str">
        <f>_xlfn.IFNA(VLOOKUP($B2111,Keys!$A:$B,2,FALSE),_xlfn.IFNA(VLOOKUP($B2111,Keys!$D:$E,2,FALSE),VLOOKUP($B2111,Keys!$G:$H,2,FALSE)))</f>
        <v>0x000000189914E98C</v>
      </c>
      <c r="B2111" s="5" t="s">
        <v>5265</v>
      </c>
      <c r="C2111" s="5" t="s">
        <v>9064</v>
      </c>
      <c r="D2111" s="5" t="s">
        <v>16858</v>
      </c>
      <c r="E2111" s="5"/>
      <c r="F2111" s="5" t="s">
        <v>8971</v>
      </c>
      <c r="G2111" s="1"/>
      <c r="H2111" s="1"/>
      <c r="I2111" s="1"/>
      <c r="J2111" s="2"/>
      <c r="K2111" s="5" t="s">
        <v>10428</v>
      </c>
      <c r="L2111" s="19" t="s">
        <v>11100</v>
      </c>
      <c r="M2111" s="20"/>
      <c r="N2111" s="1"/>
      <c r="O2111" s="1"/>
      <c r="P2111" s="21" t="str">
        <f>IF(ISNUMBER(MATCH($C2111,StackableKinds,0)), TRUE, "")</f>
        <v/>
      </c>
      <c r="Q2111" s="2"/>
    </row>
    <row r="2112" spans="1:17" x14ac:dyDescent="0.2">
      <c r="A2112" s="19" t="str">
        <f>_xlfn.IFNA(VLOOKUP($B2112,Keys!$A:$B,2,FALSE),_xlfn.IFNA(VLOOKUP($B2112,Keys!$D:$E,2,FALSE),VLOOKUP($B2112,Keys!$G:$H,2,FALSE)))</f>
        <v>0x0000001AAC2F28B0</v>
      </c>
      <c r="B2112" s="5" t="s">
        <v>746</v>
      </c>
      <c r="C2112" s="5" t="s">
        <v>9064</v>
      </c>
      <c r="D2112" s="5" t="s">
        <v>16860</v>
      </c>
      <c r="E2112" s="5"/>
      <c r="F2112" s="1"/>
      <c r="G2112" s="5" t="s">
        <v>8971</v>
      </c>
      <c r="H2112" s="1"/>
      <c r="I2112" s="1"/>
      <c r="J2112" s="2"/>
      <c r="K2112" s="5" t="s">
        <v>9141</v>
      </c>
      <c r="L2112" s="5" t="s">
        <v>9142</v>
      </c>
      <c r="M2112" s="20"/>
      <c r="N2112" s="1"/>
      <c r="O2112" s="1"/>
      <c r="P2112" s="21" t="str">
        <f>IF(ISNUMBER(MATCH($C2112,StackableKinds,0)), TRUE, "")</f>
        <v/>
      </c>
      <c r="Q2112" s="2"/>
    </row>
    <row r="2113" spans="1:17" x14ac:dyDescent="0.2">
      <c r="A2113" s="19" t="str">
        <f>_xlfn.IFNA(VLOOKUP($B2113,Keys!$A:$B,2,FALSE),_xlfn.IFNA(VLOOKUP($B2113,Keys!$D:$E,2,FALSE),VLOOKUP($B2113,Keys!$G:$H,2,FALSE)))</f>
        <v>0x0000001A6085282E</v>
      </c>
      <c r="B2113" s="5" t="s">
        <v>748</v>
      </c>
      <c r="C2113" s="5" t="s">
        <v>9064</v>
      </c>
      <c r="D2113" s="5" t="s">
        <v>16859</v>
      </c>
      <c r="E2113" s="5"/>
      <c r="F2113" s="1"/>
      <c r="G2113" s="5" t="s">
        <v>8971</v>
      </c>
      <c r="H2113" s="1"/>
      <c r="I2113" s="1"/>
      <c r="J2113" s="2"/>
      <c r="K2113" s="5" t="s">
        <v>9141</v>
      </c>
      <c r="L2113" s="5" t="s">
        <v>9143</v>
      </c>
      <c r="M2113" s="20"/>
      <c r="N2113" s="1"/>
      <c r="O2113" s="1"/>
      <c r="P2113" s="21" t="str">
        <f>IF(ISNUMBER(MATCH($C2113,StackableKinds,0)), TRUE, "")</f>
        <v/>
      </c>
      <c r="Q2113" s="2"/>
    </row>
    <row r="2114" spans="1:17" x14ac:dyDescent="0.2">
      <c r="A2114" s="19" t="str">
        <f>_xlfn.IFNA(VLOOKUP($B2114,Keys!$A:$B,2,FALSE),_xlfn.IFNA(VLOOKUP($B2114,Keys!$D:$E,2,FALSE),VLOOKUP($B2114,Keys!$G:$H,2,FALSE)))</f>
        <v>0x0000001A6A402137</v>
      </c>
      <c r="B2114" s="5" t="s">
        <v>750</v>
      </c>
      <c r="C2114" s="5" t="s">
        <v>9064</v>
      </c>
      <c r="D2114" s="5" t="s">
        <v>16858</v>
      </c>
      <c r="E2114" s="5"/>
      <c r="F2114" s="1"/>
      <c r="G2114" s="5" t="s">
        <v>8971</v>
      </c>
      <c r="H2114" s="1"/>
      <c r="I2114" s="1"/>
      <c r="J2114" s="2"/>
      <c r="K2114" s="5" t="s">
        <v>9141</v>
      </c>
      <c r="L2114" s="5" t="s">
        <v>9144</v>
      </c>
      <c r="M2114" s="20"/>
      <c r="N2114" s="1"/>
      <c r="O2114" s="1"/>
      <c r="P2114" s="21" t="str">
        <f>IF(ISNUMBER(MATCH($C2114,StackableKinds,0)), TRUE, "")</f>
        <v/>
      </c>
      <c r="Q2114" s="2"/>
    </row>
    <row r="2115" spans="1:17" x14ac:dyDescent="0.2">
      <c r="A2115" s="19" t="str">
        <f>_xlfn.IFNA(VLOOKUP($B2115,Keys!$A:$B,2,FALSE),_xlfn.IFNA(VLOOKUP($B2115,Keys!$D:$E,2,FALSE),VLOOKUP($B2115,Keys!$G:$H,2,FALSE)))</f>
        <v>0x0000001F51C1D85C</v>
      </c>
      <c r="B2115" s="5" t="s">
        <v>5277</v>
      </c>
      <c r="C2115" s="5" t="s">
        <v>9064</v>
      </c>
      <c r="D2115" s="5" t="s">
        <v>16859</v>
      </c>
      <c r="E2115" s="5"/>
      <c r="F2115" s="1"/>
      <c r="G2115" s="1"/>
      <c r="H2115" s="1"/>
      <c r="I2115" s="1"/>
      <c r="J2115" s="2"/>
      <c r="K2115" s="5" t="s">
        <v>10805</v>
      </c>
      <c r="L2115" s="5" t="s">
        <v>10806</v>
      </c>
      <c r="M2115" s="20"/>
      <c r="N2115" s="1"/>
      <c r="O2115" s="1"/>
      <c r="P2115" s="21" t="str">
        <f>IF(ISNUMBER(MATCH($C2115,StackableKinds,0)), TRUE, "")</f>
        <v/>
      </c>
    </row>
    <row r="2116" spans="1:17" x14ac:dyDescent="0.2">
      <c r="A2116" s="19" t="str">
        <f>_xlfn.IFNA(VLOOKUP($B2116,Keys!$A:$B,2,FALSE),_xlfn.IFNA(VLOOKUP($B2116,Keys!$D:$E,2,FALSE),VLOOKUP($B2116,Keys!$G:$H,2,FALSE)))</f>
        <v>0x0000001F5B04D145</v>
      </c>
      <c r="B2116" s="5" t="s">
        <v>5279</v>
      </c>
      <c r="C2116" s="5" t="s">
        <v>9064</v>
      </c>
      <c r="D2116" s="5" t="s">
        <v>16858</v>
      </c>
      <c r="E2116" s="5"/>
      <c r="F2116" s="1"/>
      <c r="G2116" s="1"/>
      <c r="H2116" s="1"/>
      <c r="I2116" s="1"/>
      <c r="J2116" s="2"/>
      <c r="K2116" s="5" t="s">
        <v>10805</v>
      </c>
      <c r="L2116" s="5" t="s">
        <v>10807</v>
      </c>
      <c r="M2116" s="20"/>
      <c r="N2116" s="1"/>
      <c r="O2116" s="1"/>
      <c r="P2116" s="21" t="str">
        <f>IF(ISNUMBER(MATCH($C2116,StackableKinds,0)), TRUE, "")</f>
        <v/>
      </c>
    </row>
    <row r="2117" spans="1:17" x14ac:dyDescent="0.2">
      <c r="A2117" s="19" t="str">
        <f>_xlfn.IFNA(VLOOKUP($B2117,Keys!$A:$B,2,FALSE),_xlfn.IFNA(VLOOKUP($B2117,Keys!$D:$E,2,FALSE),VLOOKUP($B2117,Keys!$G:$H,2,FALSE)))</f>
        <v>0x0000001E40DFEBAA</v>
      </c>
      <c r="B2117" s="5" t="s">
        <v>5994</v>
      </c>
      <c r="C2117" s="5" t="s">
        <v>9064</v>
      </c>
      <c r="D2117" s="5" t="s">
        <v>16861</v>
      </c>
      <c r="E2117" s="5"/>
      <c r="F2117" s="5" t="s">
        <v>8971</v>
      </c>
      <c r="G2117" s="1"/>
      <c r="H2117" s="1"/>
      <c r="I2117" s="1"/>
      <c r="J2117" s="2"/>
      <c r="K2117" s="5" t="s">
        <v>10725</v>
      </c>
      <c r="L2117" s="5" t="s">
        <v>11194</v>
      </c>
      <c r="M2117" s="22"/>
      <c r="N2117" s="1"/>
      <c r="O2117" s="1"/>
      <c r="P2117" s="21" t="str">
        <f>IF(ISNUMBER(MATCH($C2117,StackableKinds,0)), TRUE, "")</f>
        <v/>
      </c>
      <c r="Q2117" s="2"/>
    </row>
    <row r="2118" spans="1:17" x14ac:dyDescent="0.2">
      <c r="A2118" s="19" t="str">
        <f>_xlfn.IFNA(VLOOKUP($B2118,Keys!$A:$B,2,FALSE),_xlfn.IFNA(VLOOKUP($B2118,Keys!$D:$E,2,FALSE),VLOOKUP($B2118,Keys!$G:$H,2,FALSE)))</f>
        <v>0x0000002246D4890A</v>
      </c>
      <c r="B2118" s="5" t="s">
        <v>5988</v>
      </c>
      <c r="C2118" s="5" t="s">
        <v>9064</v>
      </c>
      <c r="D2118" s="5" t="s">
        <v>16860</v>
      </c>
      <c r="E2118" s="5"/>
      <c r="F2118" s="5" t="s">
        <v>8971</v>
      </c>
      <c r="G2118" s="1"/>
      <c r="H2118" s="1"/>
      <c r="I2118" s="1"/>
      <c r="J2118" s="2"/>
      <c r="K2118" s="5" t="s">
        <v>10725</v>
      </c>
      <c r="L2118" s="5" t="s">
        <v>11191</v>
      </c>
      <c r="M2118" s="22"/>
      <c r="N2118" s="1"/>
      <c r="O2118" s="1"/>
      <c r="P2118" s="21" t="str">
        <f>IF(ISNUMBER(MATCH($C2118,StackableKinds,0)), TRUE, "")</f>
        <v/>
      </c>
      <c r="Q2118" s="2"/>
    </row>
    <row r="2119" spans="1:17" x14ac:dyDescent="0.2">
      <c r="A2119" s="19" t="str">
        <f>_xlfn.IFNA(VLOOKUP($B2119,Keys!$A:$B,2,FALSE),_xlfn.IFNA(VLOOKUP($B2119,Keys!$D:$E,2,FALSE),VLOOKUP($B2119,Keys!$G:$H,2,FALSE)))</f>
        <v>0x000000228A7E8994</v>
      </c>
      <c r="B2119" s="5" t="s">
        <v>5990</v>
      </c>
      <c r="C2119" s="5" t="s">
        <v>9064</v>
      </c>
      <c r="D2119" s="5" t="s">
        <v>16859</v>
      </c>
      <c r="E2119" s="5"/>
      <c r="F2119" s="5" t="s">
        <v>8971</v>
      </c>
      <c r="G2119" s="1"/>
      <c r="H2119" s="1"/>
      <c r="I2119" s="1"/>
      <c r="J2119" s="2"/>
      <c r="K2119" s="5" t="s">
        <v>10725</v>
      </c>
      <c r="L2119" s="5" t="s">
        <v>11192</v>
      </c>
      <c r="M2119" s="22"/>
      <c r="N2119" s="1"/>
      <c r="O2119" s="1"/>
      <c r="P2119" s="21" t="str">
        <f>IF(ISNUMBER(MATCH($C2119,StackableKinds,0)), TRUE, "")</f>
        <v/>
      </c>
      <c r="Q2119" s="2"/>
    </row>
    <row r="2120" spans="1:17" x14ac:dyDescent="0.2">
      <c r="A2120" s="19" t="str">
        <f>_xlfn.IFNA(VLOOKUP($B2120,Keys!$A:$B,2,FALSE),_xlfn.IFNA(VLOOKUP($B2120,Keys!$D:$E,2,FALSE),VLOOKUP($B2120,Keys!$G:$H,2,FALSE)))</f>
        <v>0x0000002280BB808D</v>
      </c>
      <c r="B2120" s="5" t="s">
        <v>5992</v>
      </c>
      <c r="C2120" s="5" t="s">
        <v>9064</v>
      </c>
      <c r="D2120" s="5" t="s">
        <v>16858</v>
      </c>
      <c r="E2120" s="5"/>
      <c r="F2120" s="5" t="s">
        <v>8971</v>
      </c>
      <c r="G2120" s="1"/>
      <c r="H2120" s="1"/>
      <c r="I2120" s="1"/>
      <c r="J2120" s="2"/>
      <c r="K2120" s="5" t="s">
        <v>10725</v>
      </c>
      <c r="L2120" s="5" t="s">
        <v>11193</v>
      </c>
      <c r="M2120" s="22"/>
      <c r="N2120" s="1"/>
      <c r="O2120" s="1"/>
      <c r="P2120" s="21" t="str">
        <f>IF(ISNUMBER(MATCH($C2120,StackableKinds,0)), TRUE, "")</f>
        <v/>
      </c>
      <c r="Q2120" s="2"/>
    </row>
    <row r="2121" spans="1:17" x14ac:dyDescent="0.2">
      <c r="A2121" s="19" t="str">
        <f>_xlfn.IFNA(VLOOKUP($B2121,Keys!$A:$B,2,FALSE),_xlfn.IFNA(VLOOKUP($B2121,Keys!$D:$E,2,FALSE),VLOOKUP($B2121,Keys!$G:$H,2,FALSE)))</f>
        <v>0x000000147B8A64FE</v>
      </c>
      <c r="B2121" s="5" t="s">
        <v>6004</v>
      </c>
      <c r="C2121" s="5" t="s">
        <v>9064</v>
      </c>
      <c r="D2121" s="5" t="s">
        <v>16861</v>
      </c>
      <c r="E2121" s="5"/>
      <c r="F2121" s="5" t="s">
        <v>8971</v>
      </c>
      <c r="G2121" s="1"/>
      <c r="H2121" s="1"/>
      <c r="I2121" s="1"/>
      <c r="J2121" s="2"/>
      <c r="K2121" s="5" t="s">
        <v>10726</v>
      </c>
      <c r="L2121" s="5" t="s">
        <v>11197</v>
      </c>
      <c r="M2121" s="22"/>
      <c r="N2121" s="1"/>
      <c r="O2121" s="1"/>
      <c r="P2121" s="21" t="str">
        <f>IF(ISNUMBER(MATCH($C2121,StackableKinds,0)), TRUE, "")</f>
        <v/>
      </c>
      <c r="Q2121" s="2"/>
    </row>
    <row r="2122" spans="1:17" x14ac:dyDescent="0.2">
      <c r="A2122" s="19" t="str">
        <f>_xlfn.IFNA(VLOOKUP($B2122,Keys!$A:$B,2,FALSE),_xlfn.IFNA(VLOOKUP($B2122,Keys!$D:$E,2,FALSE),VLOOKUP($B2122,Keys!$G:$H,2,FALSE)))</f>
        <v>0x000000189E150D77</v>
      </c>
      <c r="B2122" s="5" t="s">
        <v>6000</v>
      </c>
      <c r="C2122" s="5" t="s">
        <v>9064</v>
      </c>
      <c r="D2122" s="5" t="s">
        <v>16860</v>
      </c>
      <c r="E2122" s="5"/>
      <c r="F2122" s="5" t="s">
        <v>8971</v>
      </c>
      <c r="G2122" s="1"/>
      <c r="H2122" s="1"/>
      <c r="I2122" s="1"/>
      <c r="J2122" s="2"/>
      <c r="K2122" s="5" t="s">
        <v>10726</v>
      </c>
      <c r="L2122" s="5" t="s">
        <v>11195</v>
      </c>
      <c r="M2122" s="22"/>
      <c r="N2122" s="1"/>
      <c r="O2122" s="1"/>
      <c r="P2122" s="21" t="str">
        <f>IF(ISNUMBER(MATCH($C2122,StackableKinds,0)), TRUE, "")</f>
        <v/>
      </c>
      <c r="Q2122" s="2"/>
    </row>
    <row r="2123" spans="1:17" x14ac:dyDescent="0.2">
      <c r="A2123" s="19" t="str">
        <f>_xlfn.IFNA(VLOOKUP($B2123,Keys!$A:$B,2,FALSE),_xlfn.IFNA(VLOOKUP($B2123,Keys!$D:$E,2,FALSE),VLOOKUP($B2123,Keys!$G:$H,2,FALSE)))</f>
        <v>0x0000001852BF0DE9</v>
      </c>
      <c r="B2123" s="5" t="s">
        <v>6002</v>
      </c>
      <c r="C2123" s="5" t="s">
        <v>9064</v>
      </c>
      <c r="D2123" s="5" t="s">
        <v>16859</v>
      </c>
      <c r="E2123" s="5"/>
      <c r="F2123" s="5" t="s">
        <v>8971</v>
      </c>
      <c r="G2123" s="1"/>
      <c r="H2123" s="1"/>
      <c r="I2123" s="1"/>
      <c r="J2123" s="2"/>
      <c r="K2123" s="5" t="s">
        <v>10726</v>
      </c>
      <c r="L2123" s="5" t="s">
        <v>11196</v>
      </c>
      <c r="M2123" s="22"/>
      <c r="N2123" s="1"/>
      <c r="O2123" s="1"/>
      <c r="P2123" s="21" t="str">
        <f>IF(ISNUMBER(MATCH($C2123,StackableKinds,0)), TRUE, "")</f>
        <v/>
      </c>
      <c r="Q2123" s="2"/>
    </row>
    <row r="2124" spans="1:17" x14ac:dyDescent="0.2">
      <c r="A2124" s="19" t="str">
        <f>_xlfn.IFNA(VLOOKUP($B2124,Keys!$A:$B,2,FALSE),_xlfn.IFNA(VLOOKUP($B2124,Keys!$D:$E,2,FALSE),VLOOKUP($B2124,Keys!$G:$H,2,FALSE)))</f>
        <v>0x00000019AE267D21</v>
      </c>
      <c r="B2124" s="5" t="s">
        <v>5567</v>
      </c>
      <c r="C2124" s="5" t="s">
        <v>9351</v>
      </c>
      <c r="D2124" s="5" t="s">
        <v>16861</v>
      </c>
      <c r="E2124" s="5"/>
      <c r="F2124" s="5" t="s">
        <v>8971</v>
      </c>
      <c r="G2124" s="1"/>
      <c r="H2124" s="1"/>
      <c r="I2124" s="1"/>
      <c r="J2124" s="2"/>
      <c r="K2124" s="5" t="s">
        <v>8971</v>
      </c>
      <c r="L2124" s="1"/>
      <c r="M2124" s="18"/>
      <c r="N2124" s="1"/>
      <c r="O2124" s="1"/>
      <c r="P2124" s="21" t="str">
        <f>IF(ISNUMBER(MATCH($C2124,StackableKinds,0)), TRUE, "")</f>
        <v/>
      </c>
      <c r="Q2124" s="2"/>
    </row>
    <row r="2125" spans="1:17" x14ac:dyDescent="0.2">
      <c r="A2125" s="19" t="str">
        <f>_xlfn.IFNA(VLOOKUP($B2125,Keys!$A:$B,2,FALSE),_xlfn.IFNA(VLOOKUP($B2125,Keys!$D:$E,2,FALSE),VLOOKUP($B2125,Keys!$G:$H,2,FALSE)))</f>
        <v>0x0000001E6313A60D</v>
      </c>
      <c r="B2125" s="5" t="s">
        <v>5581</v>
      </c>
      <c r="C2125" s="5" t="s">
        <v>9351</v>
      </c>
      <c r="D2125" s="5" t="s">
        <v>16861</v>
      </c>
      <c r="E2125" s="5"/>
      <c r="F2125" s="5" t="s">
        <v>8971</v>
      </c>
      <c r="G2125" s="1"/>
      <c r="H2125" s="1"/>
      <c r="I2125" s="1"/>
      <c r="J2125" s="2"/>
      <c r="K2125" s="5" t="s">
        <v>8971</v>
      </c>
      <c r="L2125" s="1"/>
      <c r="M2125" s="18"/>
      <c r="N2125" s="1"/>
      <c r="O2125" s="1"/>
      <c r="P2125" s="21" t="str">
        <f>IF(ISNUMBER(MATCH($C2125,StackableKinds,0)), TRUE, "")</f>
        <v/>
      </c>
      <c r="Q2125" s="2"/>
    </row>
    <row r="2126" spans="1:17" x14ac:dyDescent="0.2">
      <c r="A2126" s="19" t="str">
        <f>_xlfn.IFNA(VLOOKUP($B2126,Keys!$A:$B,2,FALSE),_xlfn.IFNA(VLOOKUP($B2126,Keys!$D:$E,2,FALSE),VLOOKUP($B2126,Keys!$G:$H,2,FALSE)))</f>
        <v>0x000000172953A74F</v>
      </c>
      <c r="B2126" s="5" t="s">
        <v>5631</v>
      </c>
      <c r="C2126" s="5" t="s">
        <v>9351</v>
      </c>
      <c r="D2126" s="5" t="s">
        <v>16861</v>
      </c>
      <c r="E2126" s="5"/>
      <c r="F2126" s="5" t="s">
        <v>8971</v>
      </c>
      <c r="G2126" s="1"/>
      <c r="H2126" s="1"/>
      <c r="I2126" s="1"/>
      <c r="J2126" s="2"/>
      <c r="K2126" s="5" t="s">
        <v>8971</v>
      </c>
      <c r="L2126" s="1"/>
      <c r="M2126" s="18"/>
      <c r="N2126" s="1"/>
      <c r="O2126" s="1"/>
      <c r="P2126" s="21" t="str">
        <f>IF(ISNUMBER(MATCH($C2126,StackableKinds,0)), TRUE, "")</f>
        <v/>
      </c>
      <c r="Q2126" s="2"/>
    </row>
    <row r="2127" spans="1:17" x14ac:dyDescent="0.2">
      <c r="A2127" s="19" t="str">
        <f>_xlfn.IFNA(VLOOKUP($B2127,Keys!$A:$B,2,FALSE),_xlfn.IFNA(VLOOKUP($B2127,Keys!$D:$E,2,FALSE),VLOOKUP($B2127,Keys!$G:$H,2,FALSE)))</f>
        <v>0x0000001A933DF1E9</v>
      </c>
      <c r="B2127" s="5" t="s">
        <v>5647</v>
      </c>
      <c r="C2127" s="5" t="s">
        <v>9351</v>
      </c>
      <c r="D2127" s="5" t="s">
        <v>16861</v>
      </c>
      <c r="E2127" s="5"/>
      <c r="F2127" s="5" t="s">
        <v>8971</v>
      </c>
      <c r="G2127" s="1"/>
      <c r="H2127" s="1"/>
      <c r="I2127" s="1"/>
      <c r="J2127" s="2"/>
      <c r="K2127" s="5" t="s">
        <v>8971</v>
      </c>
      <c r="L2127" s="1"/>
      <c r="M2127" s="18"/>
      <c r="N2127" s="1"/>
      <c r="O2127" s="1"/>
      <c r="P2127" s="21" t="str">
        <f>IF(ISNUMBER(MATCH($C2127,StackableKinds,0)), TRUE, "")</f>
        <v/>
      </c>
      <c r="Q2127" s="2"/>
    </row>
    <row r="2128" spans="1:17" x14ac:dyDescent="0.2">
      <c r="A2128" s="19" t="str">
        <f>_xlfn.IFNA(VLOOKUP($B2128,Keys!$A:$B,2,FALSE),_xlfn.IFNA(VLOOKUP($B2128,Keys!$D:$E,2,FALSE),VLOOKUP($B2128,Keys!$G:$H,2,FALSE)))</f>
        <v>0x0000001449A26385</v>
      </c>
      <c r="B2128" s="5" t="s">
        <v>4124</v>
      </c>
      <c r="C2128" s="5" t="s">
        <v>9351</v>
      </c>
      <c r="D2128" s="5" t="s">
        <v>16860</v>
      </c>
      <c r="E2128" s="5"/>
      <c r="F2128" s="1"/>
      <c r="G2128" s="5" t="s">
        <v>8971</v>
      </c>
      <c r="H2128" s="1"/>
      <c r="I2128" s="1"/>
      <c r="J2128" s="2"/>
      <c r="K2128" s="5" t="s">
        <v>8971</v>
      </c>
      <c r="M2128" s="18"/>
      <c r="N2128" s="1"/>
      <c r="O2128" s="1"/>
      <c r="P2128" s="21" t="str">
        <f>IF(ISNUMBER(MATCH($C2128,StackableKinds,0)), TRUE, "")</f>
        <v/>
      </c>
    </row>
    <row r="2129" spans="1:16" x14ac:dyDescent="0.2">
      <c r="A2129" s="19" t="str">
        <f>_xlfn.IFNA(VLOOKUP($B2129,Keys!$A:$B,2,FALSE),_xlfn.IFNA(VLOOKUP($B2129,Keys!$D:$E,2,FALSE),VLOOKUP($B2129,Keys!$G:$H,2,FALSE)))</f>
        <v>0x0000001520AA8E2D</v>
      </c>
      <c r="B2129" s="5" t="s">
        <v>4132</v>
      </c>
      <c r="C2129" s="5" t="s">
        <v>9351</v>
      </c>
      <c r="D2129" s="5" t="s">
        <v>16860</v>
      </c>
      <c r="E2129" s="5"/>
      <c r="F2129" s="1"/>
      <c r="G2129" s="5" t="s">
        <v>8971</v>
      </c>
      <c r="H2129" s="1"/>
      <c r="I2129" s="1"/>
      <c r="J2129" s="2"/>
      <c r="K2129" s="5" t="s">
        <v>8971</v>
      </c>
      <c r="M2129" s="18"/>
      <c r="N2129" s="1"/>
      <c r="O2129" s="1"/>
      <c r="P2129" s="21" t="str">
        <f>IF(ISNUMBER(MATCH($C2129,StackableKinds,0)), TRUE, "")</f>
        <v/>
      </c>
    </row>
    <row r="2130" spans="1:16" x14ac:dyDescent="0.2">
      <c r="A2130" s="19" t="str">
        <f>_xlfn.IFNA(VLOOKUP($B2130,Keys!$A:$B,2,FALSE),_xlfn.IFNA(VLOOKUP($B2130,Keys!$D:$E,2,FALSE),VLOOKUP($B2130,Keys!$G:$H,2,FALSE)))</f>
        <v>0x0000001A2FB5F288</v>
      </c>
      <c r="B2130" s="5" t="s">
        <v>4142</v>
      </c>
      <c r="C2130" s="5" t="s">
        <v>9351</v>
      </c>
      <c r="D2130" s="5" t="s">
        <v>16860</v>
      </c>
      <c r="E2130" s="5"/>
      <c r="F2130" s="1"/>
      <c r="G2130" s="5" t="s">
        <v>8971</v>
      </c>
      <c r="H2130" s="1"/>
      <c r="I2130" s="1"/>
      <c r="J2130" s="2"/>
      <c r="K2130" s="5" t="s">
        <v>8971</v>
      </c>
      <c r="M2130" s="18"/>
      <c r="N2130" s="1"/>
      <c r="O2130" s="1"/>
      <c r="P2130" s="21" t="str">
        <f>IF(ISNUMBER(MATCH($C2130,StackableKinds,0)), TRUE, "")</f>
        <v/>
      </c>
    </row>
    <row r="2131" spans="1:16" x14ac:dyDescent="0.2">
      <c r="A2131" s="19" t="str">
        <f>_xlfn.IFNA(VLOOKUP($B2131,Keys!$A:$B,2,FALSE),_xlfn.IFNA(VLOOKUP($B2131,Keys!$D:$E,2,FALSE),VLOOKUP($B2131,Keys!$G:$H,2,FALSE)))</f>
        <v>0x000000172EB1E99F</v>
      </c>
      <c r="B2131" s="5" t="s">
        <v>4144</v>
      </c>
      <c r="C2131" s="5" t="s">
        <v>9351</v>
      </c>
      <c r="D2131" s="5" t="s">
        <v>16860</v>
      </c>
      <c r="E2131" s="5"/>
      <c r="F2131" s="1"/>
      <c r="G2131" s="5" t="s">
        <v>8971</v>
      </c>
      <c r="H2131" s="1"/>
      <c r="I2131" s="1"/>
      <c r="J2131" s="2"/>
      <c r="K2131" s="5" t="s">
        <v>8971</v>
      </c>
      <c r="M2131" s="18"/>
      <c r="N2131" s="1"/>
      <c r="O2131" s="1"/>
      <c r="P2131" s="21" t="str">
        <f>IF(ISNUMBER(MATCH($C2131,StackableKinds,0)), TRUE, "")</f>
        <v/>
      </c>
    </row>
    <row r="2132" spans="1:16" x14ac:dyDescent="0.2">
      <c r="A2132" s="19" t="str">
        <f>_xlfn.IFNA(VLOOKUP($B2132,Keys!$A:$B,2,FALSE),_xlfn.IFNA(VLOOKUP($B2132,Keys!$D:$E,2,FALSE),VLOOKUP($B2132,Keys!$G:$H,2,FALSE)))</f>
        <v>0x00000018605E4730</v>
      </c>
      <c r="B2132" s="5" t="s">
        <v>4146</v>
      </c>
      <c r="C2132" s="5" t="s">
        <v>9351</v>
      </c>
      <c r="D2132" s="5" t="s">
        <v>16860</v>
      </c>
      <c r="E2132" s="5"/>
      <c r="F2132" s="1"/>
      <c r="G2132" s="5" t="s">
        <v>8971</v>
      </c>
      <c r="H2132" s="1"/>
      <c r="I2132" s="1"/>
      <c r="J2132" s="2"/>
      <c r="K2132" s="5" t="s">
        <v>8971</v>
      </c>
      <c r="M2132" s="18"/>
      <c r="N2132" s="1"/>
      <c r="O2132" s="1"/>
      <c r="P2132" s="21" t="str">
        <f>IF(ISNUMBER(MATCH($C2132,StackableKinds,0)), TRUE, "")</f>
        <v/>
      </c>
    </row>
    <row r="2133" spans="1:16" x14ac:dyDescent="0.2">
      <c r="A2133" s="19" t="str">
        <f>_xlfn.IFNA(VLOOKUP($B2133,Keys!$A:$B,2,FALSE),_xlfn.IFNA(VLOOKUP($B2133,Keys!$D:$E,2,FALSE),VLOOKUP($B2133,Keys!$G:$H,2,FALSE)))</f>
        <v>0x00000014F3DA0511</v>
      </c>
      <c r="B2133" s="5" t="s">
        <v>4158</v>
      </c>
      <c r="C2133" s="5" t="s">
        <v>9351</v>
      </c>
      <c r="D2133" s="5" t="s">
        <v>16860</v>
      </c>
      <c r="E2133" s="5"/>
      <c r="F2133" s="1"/>
      <c r="G2133" s="5" t="s">
        <v>8971</v>
      </c>
      <c r="H2133" s="1"/>
      <c r="I2133" s="1"/>
      <c r="J2133" s="2"/>
      <c r="K2133" s="5" t="s">
        <v>8971</v>
      </c>
      <c r="M2133" s="18"/>
      <c r="N2133" s="1"/>
      <c r="O2133" s="1"/>
      <c r="P2133" s="21" t="str">
        <f>IF(ISNUMBER(MATCH($C2133,StackableKinds,0)), TRUE, "")</f>
        <v/>
      </c>
    </row>
    <row r="2134" spans="1:16" x14ac:dyDescent="0.2">
      <c r="A2134" s="19" t="str">
        <f>_xlfn.IFNA(VLOOKUP($B2134,Keys!$A:$B,2,FALSE),_xlfn.IFNA(VLOOKUP($B2134,Keys!$D:$E,2,FALSE),VLOOKUP($B2134,Keys!$G:$H,2,FALSE)))</f>
        <v>0x00000015FBE8118F</v>
      </c>
      <c r="B2134" s="5" t="s">
        <v>4178</v>
      </c>
      <c r="C2134" s="5" t="s">
        <v>9351</v>
      </c>
      <c r="D2134" s="5" t="s">
        <v>16860</v>
      </c>
      <c r="E2134" s="5"/>
      <c r="F2134" s="1"/>
      <c r="G2134" s="5" t="s">
        <v>8971</v>
      </c>
      <c r="H2134" s="1"/>
      <c r="I2134" s="1"/>
      <c r="J2134" s="2"/>
      <c r="K2134" s="5" t="s">
        <v>8971</v>
      </c>
      <c r="M2134" s="18"/>
      <c r="N2134" s="1"/>
      <c r="O2134" s="1"/>
      <c r="P2134" s="21" t="str">
        <f>IF(ISNUMBER(MATCH($C2134,StackableKinds,0)), TRUE, "")</f>
        <v/>
      </c>
    </row>
    <row r="2135" spans="1:16" x14ac:dyDescent="0.2">
      <c r="A2135" s="19" t="str">
        <f>_xlfn.IFNA(VLOOKUP($B2135,Keys!$A:$B,2,FALSE),_xlfn.IFNA(VLOOKUP($B2135,Keys!$D:$E,2,FALSE),VLOOKUP($B2135,Keys!$G:$H,2,FALSE)))</f>
        <v>0x000000194830650A</v>
      </c>
      <c r="B2135" s="5" t="s">
        <v>4182</v>
      </c>
      <c r="C2135" s="5" t="s">
        <v>9351</v>
      </c>
      <c r="D2135" s="5" t="s">
        <v>16860</v>
      </c>
      <c r="E2135" s="5"/>
      <c r="F2135" s="1"/>
      <c r="G2135" s="5" t="s">
        <v>8971</v>
      </c>
      <c r="H2135" s="1"/>
      <c r="I2135" s="1"/>
      <c r="J2135" s="2"/>
      <c r="K2135" s="5" t="s">
        <v>8971</v>
      </c>
      <c r="M2135" s="18"/>
      <c r="N2135" s="1"/>
      <c r="O2135" s="1"/>
      <c r="P2135" s="21" t="str">
        <f>IF(ISNUMBER(MATCH($C2135,StackableKinds,0)), TRUE, "")</f>
        <v/>
      </c>
    </row>
    <row r="2136" spans="1:16" x14ac:dyDescent="0.2">
      <c r="A2136" s="19" t="str">
        <f>_xlfn.IFNA(VLOOKUP($B2136,Keys!$A:$B,2,FALSE),_xlfn.IFNA(VLOOKUP($B2136,Keys!$D:$E,2,FALSE),VLOOKUP($B2136,Keys!$G:$H,2,FALSE)))</f>
        <v>0x00000016B6AA23B3</v>
      </c>
      <c r="B2136" s="5" t="s">
        <v>4196</v>
      </c>
      <c r="C2136" s="5" t="s">
        <v>9351</v>
      </c>
      <c r="D2136" s="5" t="s">
        <v>16860</v>
      </c>
      <c r="E2136" s="5"/>
      <c r="F2136" s="1"/>
      <c r="G2136" s="5" t="s">
        <v>8971</v>
      </c>
      <c r="H2136" s="1"/>
      <c r="I2136" s="1"/>
      <c r="J2136" s="2"/>
      <c r="K2136" s="5" t="s">
        <v>8971</v>
      </c>
      <c r="M2136" s="18"/>
      <c r="N2136" s="1"/>
      <c r="O2136" s="1"/>
      <c r="P2136" s="21" t="str">
        <f>IF(ISNUMBER(MATCH($C2136,StackableKinds,0)), TRUE, "")</f>
        <v/>
      </c>
    </row>
    <row r="2137" spans="1:16" x14ac:dyDescent="0.2">
      <c r="A2137" s="19" t="str">
        <f>_xlfn.IFNA(VLOOKUP($B2137,Keys!$A:$B,2,FALSE),_xlfn.IFNA(VLOOKUP($B2137,Keys!$D:$E,2,FALSE),VLOOKUP($B2137,Keys!$G:$H,2,FALSE)))</f>
        <v>0x0000001889EE8D6B</v>
      </c>
      <c r="B2137" s="5" t="s">
        <v>4198</v>
      </c>
      <c r="C2137" s="5" t="s">
        <v>9351</v>
      </c>
      <c r="D2137" s="5" t="s">
        <v>16860</v>
      </c>
      <c r="E2137" s="5"/>
      <c r="F2137" s="1"/>
      <c r="G2137" s="5" t="s">
        <v>8971</v>
      </c>
      <c r="H2137" s="1"/>
      <c r="I2137" s="1"/>
      <c r="J2137" s="2"/>
      <c r="K2137" s="5" t="s">
        <v>8971</v>
      </c>
      <c r="M2137" s="18"/>
      <c r="N2137" s="1"/>
      <c r="O2137" s="1"/>
      <c r="P2137" s="21" t="str">
        <f>IF(ISNUMBER(MATCH($C2137,StackableKinds,0)), TRUE, "")</f>
        <v/>
      </c>
    </row>
    <row r="2138" spans="1:16" x14ac:dyDescent="0.2">
      <c r="A2138" s="19" t="str">
        <f>_xlfn.IFNA(VLOOKUP($B2138,Keys!$A:$B,2,FALSE),_xlfn.IFNA(VLOOKUP($B2138,Keys!$D:$E,2,FALSE),VLOOKUP($B2138,Keys!$G:$H,2,FALSE)))</f>
        <v>0x0000001476069C68</v>
      </c>
      <c r="B2138" s="5" t="s">
        <v>4200</v>
      </c>
      <c r="C2138" s="5" t="s">
        <v>9351</v>
      </c>
      <c r="D2138" s="5" t="s">
        <v>16860</v>
      </c>
      <c r="E2138" s="5"/>
      <c r="F2138" s="1"/>
      <c r="G2138" s="5" t="s">
        <v>8971</v>
      </c>
      <c r="H2138" s="1"/>
      <c r="I2138" s="1"/>
      <c r="J2138" s="2"/>
      <c r="K2138" s="5" t="s">
        <v>8971</v>
      </c>
      <c r="M2138" s="18"/>
      <c r="N2138" s="1"/>
      <c r="O2138" s="1"/>
      <c r="P2138" s="21" t="str">
        <f>IF(ISNUMBER(MATCH($C2138,StackableKinds,0)), TRUE, "")</f>
        <v/>
      </c>
    </row>
    <row r="2139" spans="1:16" x14ac:dyDescent="0.2">
      <c r="A2139" s="19" t="str">
        <f>_xlfn.IFNA(VLOOKUP($B2139,Keys!$A:$B,2,FALSE),_xlfn.IFNA(VLOOKUP($B2139,Keys!$D:$E,2,FALSE),VLOOKUP($B2139,Keys!$G:$H,2,FALSE)))</f>
        <v>0x000000132134A5DF</v>
      </c>
      <c r="B2139" s="5" t="s">
        <v>4202</v>
      </c>
      <c r="C2139" s="5" t="s">
        <v>9351</v>
      </c>
      <c r="D2139" s="5" t="s">
        <v>16860</v>
      </c>
      <c r="E2139" s="5"/>
      <c r="F2139" s="1"/>
      <c r="G2139" s="5" t="s">
        <v>8971</v>
      </c>
      <c r="H2139" s="1"/>
      <c r="I2139" s="1"/>
      <c r="J2139" s="2"/>
      <c r="K2139" s="5" t="s">
        <v>8971</v>
      </c>
      <c r="M2139" s="18"/>
      <c r="N2139" s="1"/>
      <c r="O2139" s="1"/>
      <c r="P2139" s="21" t="str">
        <f>IF(ISNUMBER(MATCH($C2139,StackableKinds,0)), TRUE, "")</f>
        <v/>
      </c>
    </row>
    <row r="2140" spans="1:16" x14ac:dyDescent="0.2">
      <c r="A2140" s="19" t="str">
        <f>_xlfn.IFNA(VLOOKUP($B2140,Keys!$A:$B,2,FALSE),_xlfn.IFNA(VLOOKUP($B2140,Keys!$D:$E,2,FALSE),VLOOKUP($B2140,Keys!$G:$H,2,FALSE)))</f>
        <v>0x00000015FA1B4D37</v>
      </c>
      <c r="B2140" s="5" t="s">
        <v>4204</v>
      </c>
      <c r="C2140" s="5" t="s">
        <v>9351</v>
      </c>
      <c r="D2140" s="5" t="s">
        <v>16860</v>
      </c>
      <c r="E2140" s="5"/>
      <c r="F2140" s="1"/>
      <c r="G2140" s="5" t="s">
        <v>8971</v>
      </c>
      <c r="H2140" s="1"/>
      <c r="I2140" s="1"/>
      <c r="J2140" s="2"/>
      <c r="K2140" s="5" t="s">
        <v>8971</v>
      </c>
      <c r="M2140" s="18"/>
      <c r="N2140" s="1"/>
      <c r="O2140" s="1"/>
      <c r="P2140" s="21" t="str">
        <f>IF(ISNUMBER(MATCH($C2140,StackableKinds,0)), TRUE, "")</f>
        <v/>
      </c>
    </row>
    <row r="2141" spans="1:16" x14ac:dyDescent="0.2">
      <c r="A2141" s="19" t="str">
        <f>_xlfn.IFNA(VLOOKUP($B2141,Keys!$A:$B,2,FALSE),_xlfn.IFNA(VLOOKUP($B2141,Keys!$D:$E,2,FALSE),VLOOKUP($B2141,Keys!$G:$H,2,FALSE)))</f>
        <v>0x00000016F432A1A1</v>
      </c>
      <c r="B2141" s="5" t="s">
        <v>4212</v>
      </c>
      <c r="C2141" s="5" t="s">
        <v>9351</v>
      </c>
      <c r="D2141" s="5" t="s">
        <v>16860</v>
      </c>
      <c r="E2141" s="5"/>
      <c r="F2141" s="1"/>
      <c r="G2141" s="5" t="s">
        <v>8971</v>
      </c>
      <c r="H2141" s="1"/>
      <c r="I2141" s="1"/>
      <c r="J2141" s="2"/>
      <c r="K2141" s="5" t="s">
        <v>8971</v>
      </c>
      <c r="M2141" s="18"/>
      <c r="N2141" s="1"/>
      <c r="O2141" s="1"/>
      <c r="P2141" s="21" t="str">
        <f>IF(ISNUMBER(MATCH($C2141,StackableKinds,0)), TRUE, "")</f>
        <v/>
      </c>
    </row>
    <row r="2142" spans="1:16" x14ac:dyDescent="0.2">
      <c r="A2142" s="19" t="str">
        <f>_xlfn.IFNA(VLOOKUP($B2142,Keys!$A:$B,2,FALSE),_xlfn.IFNA(VLOOKUP($B2142,Keys!$D:$E,2,FALSE),VLOOKUP($B2142,Keys!$G:$H,2,FALSE)))</f>
        <v>0x000000169A69667E</v>
      </c>
      <c r="B2142" s="5" t="s">
        <v>4214</v>
      </c>
      <c r="C2142" s="5" t="s">
        <v>9351</v>
      </c>
      <c r="D2142" s="5" t="s">
        <v>16860</v>
      </c>
      <c r="E2142" s="5"/>
      <c r="F2142" s="1"/>
      <c r="G2142" s="5" t="s">
        <v>8971</v>
      </c>
      <c r="H2142" s="1"/>
      <c r="I2142" s="1"/>
      <c r="J2142" s="2"/>
      <c r="K2142" s="5" t="s">
        <v>8971</v>
      </c>
      <c r="M2142" s="18"/>
      <c r="N2142" s="1"/>
      <c r="O2142" s="1"/>
      <c r="P2142" s="21" t="str">
        <f>IF(ISNUMBER(MATCH($C2142,StackableKinds,0)), TRUE, "")</f>
        <v/>
      </c>
    </row>
    <row r="2143" spans="1:16" x14ac:dyDescent="0.2">
      <c r="A2143" s="19" t="str">
        <f>_xlfn.IFNA(VLOOKUP($B2143,Keys!$A:$B,2,FALSE),_xlfn.IFNA(VLOOKUP($B2143,Keys!$D:$E,2,FALSE),VLOOKUP($B2143,Keys!$G:$H,2,FALSE)))</f>
        <v>0x00000018BA9510D9</v>
      </c>
      <c r="B2143" s="5" t="s">
        <v>4216</v>
      </c>
      <c r="C2143" s="5" t="s">
        <v>9351</v>
      </c>
      <c r="D2143" s="5" t="s">
        <v>16860</v>
      </c>
      <c r="E2143" s="5"/>
      <c r="F2143" s="1"/>
      <c r="G2143" s="5" t="s">
        <v>8971</v>
      </c>
      <c r="H2143" s="1"/>
      <c r="I2143" s="1"/>
      <c r="J2143" s="2"/>
      <c r="K2143" s="5" t="s">
        <v>8971</v>
      </c>
      <c r="M2143" s="18"/>
      <c r="N2143" s="1"/>
      <c r="O2143" s="1"/>
      <c r="P2143" s="21" t="str">
        <f>IF(ISNUMBER(MATCH($C2143,StackableKinds,0)), TRUE, "")</f>
        <v/>
      </c>
    </row>
    <row r="2144" spans="1:16" x14ac:dyDescent="0.2">
      <c r="A2144" s="19" t="str">
        <f>_xlfn.IFNA(VLOOKUP($B2144,Keys!$A:$B,2,FALSE),_xlfn.IFNA(VLOOKUP($B2144,Keys!$D:$E,2,FALSE),VLOOKUP($B2144,Keys!$G:$H,2,FALSE)))</f>
        <v>0x000000168FCEDF68</v>
      </c>
      <c r="B2144" s="5" t="s">
        <v>4218</v>
      </c>
      <c r="C2144" s="5" t="s">
        <v>9351</v>
      </c>
      <c r="D2144" s="5" t="s">
        <v>16860</v>
      </c>
      <c r="E2144" s="5"/>
      <c r="F2144" s="1"/>
      <c r="G2144" s="5" t="s">
        <v>8971</v>
      </c>
      <c r="H2144" s="1"/>
      <c r="I2144" s="1"/>
      <c r="J2144" s="2"/>
      <c r="K2144" s="5" t="s">
        <v>8971</v>
      </c>
      <c r="M2144" s="18"/>
      <c r="N2144" s="1"/>
      <c r="O2144" s="1"/>
      <c r="P2144" s="21" t="str">
        <f>IF(ISNUMBER(MATCH($C2144,StackableKinds,0)), TRUE, "")</f>
        <v/>
      </c>
    </row>
    <row r="2145" spans="1:17" x14ac:dyDescent="0.2">
      <c r="A2145" s="19" t="str">
        <f>_xlfn.IFNA(VLOOKUP($B2145,Keys!$A:$B,2,FALSE),_xlfn.IFNA(VLOOKUP($B2145,Keys!$D:$E,2,FALSE),VLOOKUP($B2145,Keys!$G:$H,2,FALSE)))</f>
        <v>0x0000001775E22FE7</v>
      </c>
      <c r="B2145" s="5" t="s">
        <v>4222</v>
      </c>
      <c r="C2145" s="5" t="s">
        <v>9351</v>
      </c>
      <c r="D2145" s="5" t="s">
        <v>16860</v>
      </c>
      <c r="E2145" s="5"/>
      <c r="F2145" s="1"/>
      <c r="G2145" s="5" t="s">
        <v>8971</v>
      </c>
      <c r="H2145" s="1"/>
      <c r="I2145" s="1"/>
      <c r="J2145" s="2"/>
      <c r="K2145" s="5" t="s">
        <v>8971</v>
      </c>
      <c r="M2145" s="18"/>
      <c r="N2145" s="1"/>
      <c r="O2145" s="1"/>
      <c r="P2145" s="21" t="str">
        <f>IF(ISNUMBER(MATCH($C2145,StackableKinds,0)), TRUE, "")</f>
        <v/>
      </c>
    </row>
    <row r="2146" spans="1:17" x14ac:dyDescent="0.2">
      <c r="A2146" s="19" t="str">
        <f>_xlfn.IFNA(VLOOKUP($B2146,Keys!$A:$B,2,FALSE),_xlfn.IFNA(VLOOKUP($B2146,Keys!$D:$E,2,FALSE),VLOOKUP($B2146,Keys!$G:$H,2,FALSE)))</f>
        <v>0x000000151994A996</v>
      </c>
      <c r="B2146" s="5" t="s">
        <v>4230</v>
      </c>
      <c r="C2146" s="5" t="s">
        <v>9351</v>
      </c>
      <c r="D2146" s="5" t="s">
        <v>16860</v>
      </c>
      <c r="E2146" s="5"/>
      <c r="F2146" s="1"/>
      <c r="G2146" s="5" t="s">
        <v>8971</v>
      </c>
      <c r="H2146" s="1"/>
      <c r="I2146" s="1"/>
      <c r="J2146" s="2"/>
      <c r="K2146" s="5" t="s">
        <v>8971</v>
      </c>
      <c r="M2146" s="18"/>
      <c r="N2146" s="1"/>
      <c r="O2146" s="1"/>
      <c r="P2146" s="21" t="str">
        <f>IF(ISNUMBER(MATCH($C2146,StackableKinds,0)), TRUE, "")</f>
        <v/>
      </c>
    </row>
    <row r="2147" spans="1:17" x14ac:dyDescent="0.2">
      <c r="A2147" s="19" t="str">
        <f>_xlfn.IFNA(VLOOKUP($B2147,Keys!$A:$B,2,FALSE),_xlfn.IFNA(VLOOKUP($B2147,Keys!$D:$E,2,FALSE),VLOOKUP($B2147,Keys!$G:$H,2,FALSE)))</f>
        <v>0x0000001973DB4E5F</v>
      </c>
      <c r="B2147" s="5" t="s">
        <v>4234</v>
      </c>
      <c r="C2147" s="5" t="s">
        <v>9351</v>
      </c>
      <c r="D2147" s="5" t="s">
        <v>16860</v>
      </c>
      <c r="E2147" s="5"/>
      <c r="F2147" s="1"/>
      <c r="G2147" s="5" t="s">
        <v>8971</v>
      </c>
      <c r="H2147" s="1"/>
      <c r="I2147" s="1"/>
      <c r="J2147" s="2"/>
      <c r="K2147" s="5" t="s">
        <v>8971</v>
      </c>
      <c r="M2147" s="18"/>
      <c r="N2147" s="1"/>
      <c r="O2147" s="1"/>
      <c r="P2147" s="21" t="str">
        <f>IF(ISNUMBER(MATCH($C2147,StackableKinds,0)), TRUE, "")</f>
        <v/>
      </c>
    </row>
    <row r="2148" spans="1:17" x14ac:dyDescent="0.2">
      <c r="A2148" s="19" t="str">
        <f>_xlfn.IFNA(VLOOKUP($B2148,Keys!$A:$B,2,FALSE),_xlfn.IFNA(VLOOKUP($B2148,Keys!$D:$E,2,FALSE),VLOOKUP($B2148,Keys!$G:$H,2,FALSE)))</f>
        <v>0x00000017442BC562</v>
      </c>
      <c r="B2148" s="5" t="s">
        <v>4240</v>
      </c>
      <c r="C2148" s="5" t="s">
        <v>9351</v>
      </c>
      <c r="D2148" s="5" t="s">
        <v>16860</v>
      </c>
      <c r="E2148" s="5"/>
      <c r="F2148" s="1"/>
      <c r="G2148" s="5" t="s">
        <v>8971</v>
      </c>
      <c r="H2148" s="1"/>
      <c r="I2148" s="1"/>
      <c r="J2148" s="2"/>
      <c r="K2148" s="5" t="s">
        <v>8971</v>
      </c>
      <c r="M2148" s="18"/>
      <c r="N2148" s="1"/>
      <c r="O2148" s="1"/>
      <c r="P2148" s="21" t="str">
        <f>IF(ISNUMBER(MATCH($C2148,StackableKinds,0)), TRUE, "")</f>
        <v/>
      </c>
    </row>
    <row r="2149" spans="1:17" x14ac:dyDescent="0.2">
      <c r="A2149" s="19" t="str">
        <f>_xlfn.IFNA(VLOOKUP($B2149,Keys!$A:$B,2,FALSE),_xlfn.IFNA(VLOOKUP($B2149,Keys!$D:$E,2,FALSE),VLOOKUP($B2149,Keys!$G:$H,2,FALSE)))</f>
        <v>0x0000001599883EAE</v>
      </c>
      <c r="B2149" s="5" t="s">
        <v>4246</v>
      </c>
      <c r="C2149" s="5" t="s">
        <v>9351</v>
      </c>
      <c r="D2149" s="5" t="s">
        <v>16860</v>
      </c>
      <c r="E2149" s="5"/>
      <c r="F2149" s="1"/>
      <c r="G2149" s="5" t="s">
        <v>8971</v>
      </c>
      <c r="H2149" s="1"/>
      <c r="I2149" s="1"/>
      <c r="J2149" s="2"/>
      <c r="K2149" s="5" t="s">
        <v>8971</v>
      </c>
      <c r="M2149" s="18"/>
      <c r="N2149" s="1"/>
      <c r="O2149" s="1"/>
      <c r="P2149" s="21" t="str">
        <f>IF(ISNUMBER(MATCH($C2149,StackableKinds,0)), TRUE, "")</f>
        <v/>
      </c>
    </row>
    <row r="2150" spans="1:17" x14ac:dyDescent="0.2">
      <c r="A2150" s="19" t="str">
        <f>_xlfn.IFNA(VLOOKUP($B2150,Keys!$A:$B,2,FALSE),_xlfn.IFNA(VLOOKUP($B2150,Keys!$D:$E,2,FALSE),VLOOKUP($B2150,Keys!$G:$H,2,FALSE)))</f>
        <v>0x000000132058CCB9</v>
      </c>
      <c r="B2150" s="5" t="s">
        <v>1314</v>
      </c>
      <c r="C2150" s="5" t="s">
        <v>9351</v>
      </c>
      <c r="D2150" s="5" t="s">
        <v>16859</v>
      </c>
      <c r="E2150" s="5"/>
      <c r="F2150" s="1"/>
      <c r="G2150" s="5" t="s">
        <v>8971</v>
      </c>
      <c r="H2150" s="1"/>
      <c r="I2150" s="1"/>
      <c r="J2150" s="2"/>
      <c r="K2150" s="5" t="s">
        <v>8971</v>
      </c>
      <c r="M2150" s="18"/>
      <c r="N2150" s="1"/>
      <c r="O2150" s="1"/>
      <c r="P2150" s="21" t="str">
        <f>IF(ISNUMBER(MATCH($C2150,StackableKinds,0)), TRUE, "")</f>
        <v/>
      </c>
      <c r="Q2150" s="2"/>
    </row>
    <row r="2151" spans="1:17" x14ac:dyDescent="0.2">
      <c r="A2151" s="19" t="str">
        <f>_xlfn.IFNA(VLOOKUP($B2151,Keys!$A:$B,2,FALSE),_xlfn.IFNA(VLOOKUP($B2151,Keys!$D:$E,2,FALSE),VLOOKUP($B2151,Keys!$G:$H,2,FALSE)))</f>
        <v>0x00000015B8877FFB</v>
      </c>
      <c r="B2151" s="5" t="s">
        <v>1318</v>
      </c>
      <c r="C2151" s="5" t="s">
        <v>9351</v>
      </c>
      <c r="D2151" s="5" t="s">
        <v>16859</v>
      </c>
      <c r="E2151" s="5"/>
      <c r="F2151" s="1"/>
      <c r="G2151" s="5" t="s">
        <v>8971</v>
      </c>
      <c r="H2151" s="1"/>
      <c r="I2151" s="1"/>
      <c r="J2151" s="2"/>
      <c r="K2151" s="5" t="s">
        <v>8971</v>
      </c>
      <c r="M2151" s="18"/>
      <c r="N2151" s="1"/>
      <c r="O2151" s="1"/>
      <c r="P2151" s="21" t="str">
        <f>IF(ISNUMBER(MATCH($C2151,StackableKinds,0)), TRUE, "")</f>
        <v/>
      </c>
      <c r="Q2151" s="2"/>
    </row>
    <row r="2152" spans="1:17" x14ac:dyDescent="0.2">
      <c r="A2152" s="19" t="str">
        <f>_xlfn.IFNA(VLOOKUP($B2152,Keys!$A:$B,2,FALSE),_xlfn.IFNA(VLOOKUP($B2152,Keys!$D:$E,2,FALSE),VLOOKUP($B2152,Keys!$G:$H,2,FALSE)))</f>
        <v>0x00000017FF7BE210</v>
      </c>
      <c r="B2152" s="5" t="s">
        <v>1322</v>
      </c>
      <c r="C2152" s="5" t="s">
        <v>9351</v>
      </c>
      <c r="D2152" s="5" t="s">
        <v>16859</v>
      </c>
      <c r="E2152" s="5"/>
      <c r="F2152" s="1"/>
      <c r="G2152" s="5" t="s">
        <v>8971</v>
      </c>
      <c r="H2152" s="1"/>
      <c r="I2152" s="1"/>
      <c r="J2152" s="2"/>
      <c r="K2152" s="5" t="s">
        <v>8971</v>
      </c>
      <c r="M2152" s="18"/>
      <c r="N2152" s="1"/>
      <c r="O2152" s="1"/>
      <c r="P2152" s="21" t="str">
        <f>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16859</v>
      </c>
      <c r="E2153" s="5"/>
      <c r="F2153" s="1"/>
      <c r="G2153" s="5" t="s">
        <v>8971</v>
      </c>
      <c r="H2153" s="1"/>
      <c r="I2153" s="1"/>
      <c r="J2153" s="2"/>
      <c r="K2153" s="5" t="s">
        <v>8971</v>
      </c>
      <c r="M2153" s="18"/>
      <c r="N2153" s="1"/>
      <c r="O2153" s="1"/>
      <c r="P2153" s="21" t="str">
        <f>IF(ISNUMBER(MATCH($C2153,StackableKinds,0)), TRUE, "")</f>
        <v/>
      </c>
      <c r="Q2153" s="2"/>
    </row>
    <row r="2154" spans="1:17" x14ac:dyDescent="0.2">
      <c r="A2154" s="19" t="str">
        <f>_xlfn.IFNA(VLOOKUP($B2154,Keys!$A:$B,2,FALSE),_xlfn.IFNA(VLOOKUP($B2154,Keys!$D:$E,2,FALSE),VLOOKUP($B2154,Keys!$G:$H,2,FALSE)))</f>
        <v>0x000000140C0B6F53</v>
      </c>
      <c r="B2154" s="5" t="s">
        <v>1344</v>
      </c>
      <c r="C2154" s="5" t="s">
        <v>9351</v>
      </c>
      <c r="D2154" s="5" t="s">
        <v>16859</v>
      </c>
      <c r="E2154" s="5"/>
      <c r="F2154" s="1"/>
      <c r="G2154" s="5" t="s">
        <v>8971</v>
      </c>
      <c r="H2154" s="1"/>
      <c r="I2154" s="1"/>
      <c r="J2154" s="2"/>
      <c r="K2154" s="5" t="s">
        <v>8971</v>
      </c>
      <c r="M2154" s="18"/>
      <c r="N2154" s="1"/>
      <c r="O2154" s="1"/>
      <c r="P2154" s="21" t="str">
        <f>IF(ISNUMBER(MATCH($C2154,StackableKinds,0)), TRUE, "")</f>
        <v/>
      </c>
      <c r="Q2154" s="2"/>
    </row>
    <row r="2155" spans="1:17" x14ac:dyDescent="0.2">
      <c r="A2155" s="19" t="str">
        <f>_xlfn.IFNA(VLOOKUP($B2155,Keys!$A:$B,2,FALSE),_xlfn.IFNA(VLOOKUP($B2155,Keys!$D:$E,2,FALSE),VLOOKUP($B2155,Keys!$G:$H,2,FALSE)))</f>
        <v>0x000000176BECA6C5</v>
      </c>
      <c r="B2155" s="5" t="s">
        <v>1360</v>
      </c>
      <c r="C2155" s="5" t="s">
        <v>9351</v>
      </c>
      <c r="D2155" s="5" t="s">
        <v>16859</v>
      </c>
      <c r="E2155" s="5"/>
      <c r="F2155" s="1"/>
      <c r="G2155" s="5" t="s">
        <v>8971</v>
      </c>
      <c r="H2155" s="1"/>
      <c r="I2155" s="1"/>
      <c r="J2155" s="2"/>
      <c r="K2155" s="5" t="s">
        <v>8971</v>
      </c>
      <c r="M2155" s="18"/>
      <c r="N2155" s="1"/>
      <c r="O2155" s="1"/>
      <c r="P2155" s="21" t="str">
        <f>IF(ISNUMBER(MATCH($C2155,StackableKinds,0)), TRUE, "")</f>
        <v/>
      </c>
      <c r="Q2155" s="2"/>
    </row>
    <row r="2156" spans="1:17" x14ac:dyDescent="0.2">
      <c r="A2156" s="19" t="str">
        <f>_xlfn.IFNA(VLOOKUP($B2156,Keys!$A:$B,2,FALSE),_xlfn.IFNA(VLOOKUP($B2156,Keys!$D:$E,2,FALSE),VLOOKUP($B2156,Keys!$G:$H,2,FALSE)))</f>
        <v>0x000000184430AD3C</v>
      </c>
      <c r="B2156" s="5" t="s">
        <v>1374</v>
      </c>
      <c r="C2156" s="5" t="s">
        <v>9351</v>
      </c>
      <c r="D2156" s="5" t="s">
        <v>16859</v>
      </c>
      <c r="E2156" s="5"/>
      <c r="F2156" s="1"/>
      <c r="G2156" s="5" t="s">
        <v>8971</v>
      </c>
      <c r="H2156" s="1"/>
      <c r="I2156" s="1"/>
      <c r="J2156" s="2"/>
      <c r="K2156" s="5" t="s">
        <v>8971</v>
      </c>
      <c r="M2156" s="18"/>
      <c r="N2156" s="1"/>
      <c r="O2156" s="1"/>
      <c r="P2156" s="21" t="str">
        <f>IF(ISNUMBER(MATCH($C2156,StackableKinds,0)), TRUE, "")</f>
        <v/>
      </c>
    </row>
    <row r="2157" spans="1:17" x14ac:dyDescent="0.2">
      <c r="A2157" s="19" t="str">
        <f>_xlfn.IFNA(VLOOKUP($B2157,Keys!$A:$B,2,FALSE),_xlfn.IFNA(VLOOKUP($B2157,Keys!$D:$E,2,FALSE),VLOOKUP($B2157,Keys!$G:$H,2,FALSE)))</f>
        <v>0x00000016D98279A3</v>
      </c>
      <c r="B2157" s="5" t="s">
        <v>1382</v>
      </c>
      <c r="C2157" s="5" t="s">
        <v>9351</v>
      </c>
      <c r="D2157" s="5" t="s">
        <v>16859</v>
      </c>
      <c r="E2157" s="5"/>
      <c r="F2157" s="1"/>
      <c r="G2157" s="5" t="s">
        <v>8971</v>
      </c>
      <c r="H2157" s="1"/>
      <c r="I2157" s="1"/>
      <c r="J2157" s="2"/>
      <c r="K2157" s="5" t="s">
        <v>8971</v>
      </c>
      <c r="M2157" s="18"/>
      <c r="N2157" s="1"/>
      <c r="O2157" s="1"/>
      <c r="P2157" s="21" t="str">
        <f>IF(ISNUMBER(MATCH($C2157,StackableKinds,0)), TRUE, "")</f>
        <v/>
      </c>
    </row>
    <row r="2158" spans="1:17" x14ac:dyDescent="0.2">
      <c r="A2158" s="19" t="str">
        <f>_xlfn.IFNA(VLOOKUP($B2158,Keys!$A:$B,2,FALSE),_xlfn.IFNA(VLOOKUP($B2158,Keys!$D:$E,2,FALSE),VLOOKUP($B2158,Keys!$G:$H,2,FALSE)))</f>
        <v>0x0000001848B4AD83</v>
      </c>
      <c r="B2158" s="5" t="s">
        <v>1392</v>
      </c>
      <c r="C2158" s="5" t="s">
        <v>9351</v>
      </c>
      <c r="D2158" s="5" t="s">
        <v>16859</v>
      </c>
      <c r="E2158" s="5"/>
      <c r="F2158" s="1"/>
      <c r="G2158" s="5" t="s">
        <v>8971</v>
      </c>
      <c r="H2158" s="1"/>
      <c r="I2158" s="1"/>
      <c r="J2158" s="2"/>
      <c r="K2158" s="5" t="s">
        <v>8971</v>
      </c>
      <c r="M2158" s="18"/>
      <c r="N2158" s="1"/>
      <c r="O2158" s="1"/>
      <c r="P2158" s="21" t="str">
        <f>IF(ISNUMBER(MATCH($C2158,StackableKinds,0)), TRUE, "")</f>
        <v/>
      </c>
    </row>
    <row r="2159" spans="1:17" x14ac:dyDescent="0.2">
      <c r="A2159" s="19" t="str">
        <f>_xlfn.IFNA(VLOOKUP($B2159,Keys!$A:$B,2,FALSE),_xlfn.IFNA(VLOOKUP($B2159,Keys!$D:$E,2,FALSE),VLOOKUP($B2159,Keys!$G:$H,2,FALSE)))</f>
        <v>0x00000016A8C80539</v>
      </c>
      <c r="B2159" s="5" t="s">
        <v>1394</v>
      </c>
      <c r="C2159" s="5" t="s">
        <v>9351</v>
      </c>
      <c r="D2159" s="5" t="s">
        <v>16859</v>
      </c>
      <c r="E2159" s="5"/>
      <c r="F2159" s="1"/>
      <c r="G2159" s="5" t="s">
        <v>8971</v>
      </c>
      <c r="H2159" s="1"/>
      <c r="I2159" s="1"/>
      <c r="J2159" s="2"/>
      <c r="K2159" s="5" t="s">
        <v>8971</v>
      </c>
      <c r="M2159" s="18"/>
      <c r="N2159" s="1"/>
      <c r="O2159" s="1"/>
      <c r="P2159" s="21" t="str">
        <f>IF(ISNUMBER(MATCH($C2159,StackableKinds,0)), TRUE, "")</f>
        <v/>
      </c>
    </row>
    <row r="2160" spans="1:17" x14ac:dyDescent="0.2">
      <c r="A2160" s="19" t="str">
        <f>_xlfn.IFNA(VLOOKUP($B2160,Keys!$A:$B,2,FALSE),_xlfn.IFNA(VLOOKUP($B2160,Keys!$D:$E,2,FALSE),VLOOKUP($B2160,Keys!$G:$H,2,FALSE)))</f>
        <v>0x000000169B1AFBB1</v>
      </c>
      <c r="B2160" s="5" t="s">
        <v>1398</v>
      </c>
      <c r="C2160" s="5" t="s">
        <v>9351</v>
      </c>
      <c r="D2160" s="5" t="s">
        <v>16859</v>
      </c>
      <c r="E2160" s="5"/>
      <c r="F2160" s="1"/>
      <c r="G2160" s="5" t="s">
        <v>8971</v>
      </c>
      <c r="H2160" s="1"/>
      <c r="I2160" s="1"/>
      <c r="J2160" s="2"/>
      <c r="K2160" s="5" t="s">
        <v>8971</v>
      </c>
      <c r="M2160" s="18"/>
      <c r="N2160" s="1"/>
      <c r="O2160" s="1"/>
      <c r="P2160" s="21" t="str">
        <f>IF(ISNUMBER(MATCH($C2160,StackableKinds,0)), TRUE, "")</f>
        <v/>
      </c>
    </row>
    <row r="2161" spans="1:17" x14ac:dyDescent="0.2">
      <c r="A2161" s="19" t="str">
        <f>_xlfn.IFNA(VLOOKUP($B2161,Keys!$A:$B,2,FALSE),_xlfn.IFNA(VLOOKUP($B2161,Keys!$D:$E,2,FALSE),VLOOKUP($B2161,Keys!$G:$H,2,FALSE)))</f>
        <v>0x00000016F5413C6E</v>
      </c>
      <c r="B2161" s="5" t="s">
        <v>1400</v>
      </c>
      <c r="C2161" s="5" t="s">
        <v>9351</v>
      </c>
      <c r="D2161" s="5" t="s">
        <v>16859</v>
      </c>
      <c r="E2161" s="5"/>
      <c r="F2161" s="1"/>
      <c r="G2161" s="5" t="s">
        <v>8971</v>
      </c>
      <c r="H2161" s="1"/>
      <c r="I2161" s="1"/>
      <c r="J2161" s="2"/>
      <c r="K2161" s="5" t="s">
        <v>8971</v>
      </c>
      <c r="M2161" s="18"/>
      <c r="N2161" s="1"/>
      <c r="O2161" s="1"/>
      <c r="P2161" s="21" t="str">
        <f>IF(ISNUMBER(MATCH($C2161,StackableKinds,0)), TRUE, "")</f>
        <v/>
      </c>
    </row>
    <row r="2162" spans="1:17" x14ac:dyDescent="0.2">
      <c r="A2162" s="19" t="str">
        <f>_xlfn.IFNA(VLOOKUP($B2162,Keys!$A:$B,2,FALSE),_xlfn.IFNA(VLOOKUP($B2162,Keys!$D:$E,2,FALSE),VLOOKUP($B2162,Keys!$G:$H,2,FALSE)))</f>
        <v>0x0000001A7BE96326</v>
      </c>
      <c r="B2162" s="5" t="s">
        <v>1412</v>
      </c>
      <c r="C2162" s="5" t="s">
        <v>9351</v>
      </c>
      <c r="D2162" s="5" t="s">
        <v>16859</v>
      </c>
      <c r="E2162" s="5"/>
      <c r="F2162" s="1"/>
      <c r="G2162" s="5" t="s">
        <v>8971</v>
      </c>
      <c r="H2162" s="1"/>
      <c r="I2162" s="1"/>
      <c r="J2162" s="2"/>
      <c r="K2162" s="5" t="s">
        <v>8971</v>
      </c>
      <c r="M2162" s="18"/>
      <c r="N2162" s="1"/>
      <c r="O2162" s="1"/>
      <c r="P2162" s="21" t="str">
        <f>IF(ISNUMBER(MATCH($C2162,StackableKinds,0)), TRUE, "")</f>
        <v/>
      </c>
    </row>
    <row r="2163" spans="1:17" x14ac:dyDescent="0.2">
      <c r="A2163" s="19" t="str">
        <f>_xlfn.IFNA(VLOOKUP($B2163,Keys!$A:$B,2,FALSE),_xlfn.IFNA(VLOOKUP($B2163,Keys!$D:$E,2,FALSE),VLOOKUP($B2163,Keys!$G:$H,2,FALSE)))</f>
        <v>0x0000001581B95840</v>
      </c>
      <c r="B2163" s="5" t="s">
        <v>1414</v>
      </c>
      <c r="C2163" s="5" t="s">
        <v>9351</v>
      </c>
      <c r="D2163" s="5" t="s">
        <v>16859</v>
      </c>
      <c r="E2163" s="5"/>
      <c r="F2163" s="1"/>
      <c r="G2163" s="5" t="s">
        <v>8971</v>
      </c>
      <c r="H2163" s="1"/>
      <c r="I2163" s="1"/>
      <c r="J2163" s="2"/>
      <c r="K2163" s="5" t="s">
        <v>8971</v>
      </c>
      <c r="M2163" s="18"/>
      <c r="N2163" s="1"/>
      <c r="O2163" s="1"/>
      <c r="P2163" s="21" t="str">
        <f>IF(ISNUMBER(MATCH($C2163,StackableKinds,0)), TRUE, "")</f>
        <v/>
      </c>
    </row>
    <row r="2164" spans="1:17" x14ac:dyDescent="0.2">
      <c r="A2164" s="19" t="str">
        <f>_xlfn.IFNA(VLOOKUP($B2164,Keys!$A:$B,2,FALSE),_xlfn.IFNA(VLOOKUP($B2164,Keys!$D:$E,2,FALSE),VLOOKUP($B2164,Keys!$G:$H,2,FALSE)))</f>
        <v>0x000000191A1CF064</v>
      </c>
      <c r="B2164" s="5" t="s">
        <v>1418</v>
      </c>
      <c r="C2164" s="5" t="s">
        <v>9351</v>
      </c>
      <c r="D2164" s="5" t="s">
        <v>16859</v>
      </c>
      <c r="E2164" s="5"/>
      <c r="F2164" s="1"/>
      <c r="G2164" s="5" t="s">
        <v>8971</v>
      </c>
      <c r="H2164" s="1"/>
      <c r="I2164" s="1"/>
      <c r="J2164" s="2"/>
      <c r="K2164" s="5" t="s">
        <v>8971</v>
      </c>
      <c r="M2164" s="18"/>
      <c r="N2164" s="1"/>
      <c r="O2164" s="1"/>
      <c r="P2164" s="21" t="str">
        <f>IF(ISNUMBER(MATCH($C2164,StackableKinds,0)), TRUE, "")</f>
        <v/>
      </c>
    </row>
    <row r="2165" spans="1:17" x14ac:dyDescent="0.2">
      <c r="A2165" s="19" t="str">
        <f>_xlfn.IFNA(VLOOKUP($B2165,Keys!$A:$B,2,FALSE),_xlfn.IFNA(VLOOKUP($B2165,Keys!$D:$E,2,FALSE),VLOOKUP($B2165,Keys!$G:$H,2,FALSE)))</f>
        <v>0x00000018201CA837</v>
      </c>
      <c r="B2165" s="5" t="s">
        <v>1432</v>
      </c>
      <c r="C2165" s="5" t="s">
        <v>9351</v>
      </c>
      <c r="D2165" s="5" t="s">
        <v>16859</v>
      </c>
      <c r="E2165" s="5"/>
      <c r="F2165" s="1"/>
      <c r="G2165" s="5" t="s">
        <v>8971</v>
      </c>
      <c r="H2165" s="1"/>
      <c r="I2165" s="1"/>
      <c r="J2165" s="2"/>
      <c r="K2165" s="5" t="s">
        <v>8971</v>
      </c>
      <c r="M2165" s="18"/>
      <c r="N2165" s="1"/>
      <c r="O2165" s="1"/>
      <c r="P2165" s="21" t="str">
        <f>IF(ISNUMBER(MATCH($C2165,StackableKinds,0)), TRUE, "")</f>
        <v/>
      </c>
    </row>
    <row r="2166" spans="1:17" x14ac:dyDescent="0.2">
      <c r="A2166" s="19" t="str">
        <f>_xlfn.IFNA(VLOOKUP($B2166,Keys!$A:$B,2,FALSE),_xlfn.IFNA(VLOOKUP($B2166,Keys!$D:$E,2,FALSE),VLOOKUP($B2166,Keys!$G:$H,2,FALSE)))</f>
        <v>0x0000001D31E66780</v>
      </c>
      <c r="B2166" s="5" t="s">
        <v>2450</v>
      </c>
      <c r="C2166" s="5" t="s">
        <v>9351</v>
      </c>
      <c r="D2166" s="5" t="s">
        <v>16858</v>
      </c>
      <c r="E2166" s="5"/>
      <c r="F2166" s="1"/>
      <c r="G2166" s="5" t="s">
        <v>8971</v>
      </c>
      <c r="H2166" s="1"/>
      <c r="I2166" s="1"/>
      <c r="J2166" s="2"/>
      <c r="K2166" s="5" t="s">
        <v>8971</v>
      </c>
      <c r="M2166" s="18"/>
      <c r="N2166" s="1"/>
      <c r="O2166" s="1"/>
      <c r="P2166" s="21" t="str">
        <f>IF(ISNUMBER(MATCH($C2166,StackableKinds,0)), TRUE, "")</f>
        <v/>
      </c>
      <c r="Q2166" s="2"/>
    </row>
    <row r="2167" spans="1:17" x14ac:dyDescent="0.2">
      <c r="A2167" s="19" t="str">
        <f>_xlfn.IFNA(VLOOKUP($B2167,Keys!$A:$B,2,FALSE),_xlfn.IFNA(VLOOKUP($B2167,Keys!$D:$E,2,FALSE),VLOOKUP($B2167,Keys!$G:$H,2,FALSE)))</f>
        <v>0x000000196404E122</v>
      </c>
      <c r="B2167" s="5" t="s">
        <v>2452</v>
      </c>
      <c r="C2167" s="5" t="s">
        <v>9351</v>
      </c>
      <c r="D2167" s="5" t="s">
        <v>16858</v>
      </c>
      <c r="E2167" s="5"/>
      <c r="F2167" s="1"/>
      <c r="G2167" s="5" t="s">
        <v>8971</v>
      </c>
      <c r="H2167" s="1"/>
      <c r="I2167" s="1"/>
      <c r="J2167" s="2"/>
      <c r="K2167" s="5" t="s">
        <v>8971</v>
      </c>
      <c r="M2167" s="18"/>
      <c r="N2167" s="1"/>
      <c r="O2167" s="1"/>
      <c r="P2167" s="21" t="str">
        <f>IF(ISNUMBER(MATCH($C2167,StackableKinds,0)), TRUE, "")</f>
        <v/>
      </c>
      <c r="Q2167" s="2"/>
    </row>
    <row r="2168" spans="1:17" x14ac:dyDescent="0.2">
      <c r="A2168" s="19" t="str">
        <f>_xlfn.IFNA(VLOOKUP($B2168,Keys!$A:$B,2,FALSE),_xlfn.IFNA(VLOOKUP($B2168,Keys!$D:$E,2,FALSE),VLOOKUP($B2168,Keys!$G:$H,2,FALSE)))</f>
        <v>0x0000001BB739469E</v>
      </c>
      <c r="B2168" s="5" t="s">
        <v>2454</v>
      </c>
      <c r="C2168" s="5" t="s">
        <v>9351</v>
      </c>
      <c r="D2168" s="5" t="s">
        <v>16858</v>
      </c>
      <c r="E2168" s="5"/>
      <c r="F2168" s="1"/>
      <c r="G2168" s="5" t="s">
        <v>8971</v>
      </c>
      <c r="H2168" s="1"/>
      <c r="I2168" s="1"/>
      <c r="J2168" s="2"/>
      <c r="K2168" s="5" t="s">
        <v>8971</v>
      </c>
      <c r="M2168" s="18"/>
      <c r="N2168" s="1"/>
      <c r="O2168" s="1"/>
      <c r="P2168" s="21" t="str">
        <f>IF(ISNUMBER(MATCH($C2168,StackableKinds,0)), TRUE, "")</f>
        <v/>
      </c>
      <c r="Q2168" s="2"/>
    </row>
    <row r="2169" spans="1:17" x14ac:dyDescent="0.2">
      <c r="A2169" s="19" t="str">
        <f>_xlfn.IFNA(VLOOKUP($B2169,Keys!$A:$B,2,FALSE),_xlfn.IFNA(VLOOKUP($B2169,Keys!$D:$E,2,FALSE),VLOOKUP($B2169,Keys!$G:$H,2,FALSE)))</f>
        <v>0x000000185A35D49F</v>
      </c>
      <c r="B2169" s="5" t="s">
        <v>2456</v>
      </c>
      <c r="C2169" s="5" t="s">
        <v>9351</v>
      </c>
      <c r="D2169" s="5" t="s">
        <v>16858</v>
      </c>
      <c r="E2169" s="5"/>
      <c r="F2169" s="1"/>
      <c r="G2169" s="5" t="s">
        <v>8971</v>
      </c>
      <c r="H2169" s="1"/>
      <c r="I2169" s="1"/>
      <c r="J2169" s="2"/>
      <c r="K2169" s="5" t="s">
        <v>8971</v>
      </c>
      <c r="M2169" s="18"/>
      <c r="N2169" s="1"/>
      <c r="O2169" s="1"/>
      <c r="P2169" s="21" t="str">
        <f>IF(ISNUMBER(MATCH($C2169,StackableKinds,0)), TRUE, "")</f>
        <v/>
      </c>
    </row>
    <row r="2170" spans="1:17" x14ac:dyDescent="0.2">
      <c r="A2170" s="19" t="str">
        <f>_xlfn.IFNA(VLOOKUP($B2170,Keys!$A:$B,2,FALSE),_xlfn.IFNA(VLOOKUP($B2170,Keys!$D:$E,2,FALSE),VLOOKUP($B2170,Keys!$G:$H,2,FALSE)))</f>
        <v>0x0000001A68351EE4</v>
      </c>
      <c r="B2170" s="5" t="s">
        <v>2460</v>
      </c>
      <c r="C2170" s="5" t="s">
        <v>9351</v>
      </c>
      <c r="D2170" s="5" t="s">
        <v>16858</v>
      </c>
      <c r="E2170" s="5"/>
      <c r="F2170" s="1"/>
      <c r="G2170" s="5" t="s">
        <v>8971</v>
      </c>
      <c r="H2170" s="1"/>
      <c r="I2170" s="1"/>
      <c r="J2170" s="2"/>
      <c r="K2170" s="5" t="s">
        <v>8971</v>
      </c>
      <c r="M2170" s="18"/>
      <c r="N2170" s="1"/>
      <c r="O2170" s="1"/>
      <c r="P2170" s="21" t="str">
        <f>IF(ISNUMBER(MATCH($C2170,StackableKinds,0)), TRUE, "")</f>
        <v/>
      </c>
    </row>
    <row r="2171" spans="1:17" x14ac:dyDescent="0.2">
      <c r="A2171" s="19" t="str">
        <f>_xlfn.IFNA(VLOOKUP($B2171,Keys!$A:$B,2,FALSE),_xlfn.IFNA(VLOOKUP($B2171,Keys!$D:$E,2,FALSE),VLOOKUP($B2171,Keys!$G:$H,2,FALSE)))</f>
        <v>0x0000001C08946DF2</v>
      </c>
      <c r="B2171" s="5" t="s">
        <v>2464</v>
      </c>
      <c r="C2171" s="5" t="s">
        <v>9351</v>
      </c>
      <c r="D2171" s="5" t="s">
        <v>16858</v>
      </c>
      <c r="E2171" s="5"/>
      <c r="F2171" s="1"/>
      <c r="G2171" s="5" t="s">
        <v>8971</v>
      </c>
      <c r="H2171" s="1"/>
      <c r="I2171" s="1"/>
      <c r="J2171" s="2"/>
      <c r="K2171" s="5" t="s">
        <v>8971</v>
      </c>
      <c r="M2171" s="18"/>
      <c r="N2171" s="1"/>
      <c r="O2171" s="1"/>
      <c r="P2171" s="21" t="str">
        <f>IF(ISNUMBER(MATCH($C2171,StackableKinds,0)), TRUE, "")</f>
        <v/>
      </c>
    </row>
    <row r="2172" spans="1:17" x14ac:dyDescent="0.2">
      <c r="A2172" s="19" t="str">
        <f>_xlfn.IFNA(VLOOKUP($B2172,Keys!$A:$B,2,FALSE),_xlfn.IFNA(VLOOKUP($B2172,Keys!$D:$E,2,FALSE),VLOOKUP($B2172,Keys!$G:$H,2,FALSE)))</f>
        <v>0x00000019EC7EBBD9</v>
      </c>
      <c r="B2172" s="5" t="s">
        <v>2468</v>
      </c>
      <c r="C2172" s="5" t="s">
        <v>9351</v>
      </c>
      <c r="D2172" s="5" t="s">
        <v>16858</v>
      </c>
      <c r="E2172" s="5"/>
      <c r="F2172" s="1"/>
      <c r="G2172" s="5" t="s">
        <v>8971</v>
      </c>
      <c r="H2172" s="1"/>
      <c r="I2172" s="1"/>
      <c r="J2172" s="2"/>
      <c r="K2172" s="5" t="s">
        <v>8971</v>
      </c>
      <c r="M2172" s="18"/>
      <c r="N2172" s="1"/>
      <c r="O2172" s="1"/>
      <c r="P2172" s="21" t="str">
        <f>IF(ISNUMBER(MATCH($C2172,StackableKinds,0)), TRUE, "")</f>
        <v/>
      </c>
    </row>
    <row r="2173" spans="1:17" x14ac:dyDescent="0.2">
      <c r="A2173" s="19" t="str">
        <f>_xlfn.IFNA(VLOOKUP($B2173,Keys!$A:$B,2,FALSE),_xlfn.IFNA(VLOOKUP($B2173,Keys!$D:$E,2,FALSE),VLOOKUP($B2173,Keys!$G:$H,2,FALSE)))</f>
        <v>0x0000001FB81FA346</v>
      </c>
      <c r="B2173" s="5" t="s">
        <v>2470</v>
      </c>
      <c r="C2173" s="5" t="s">
        <v>9351</v>
      </c>
      <c r="D2173" s="5" t="s">
        <v>16858</v>
      </c>
      <c r="E2173" s="5"/>
      <c r="F2173" s="1"/>
      <c r="G2173" s="5" t="s">
        <v>8971</v>
      </c>
      <c r="H2173" s="1"/>
      <c r="I2173" s="1"/>
      <c r="J2173" s="2"/>
      <c r="K2173" s="5" t="s">
        <v>8971</v>
      </c>
      <c r="M2173" s="18"/>
      <c r="N2173" s="1"/>
      <c r="O2173" s="1"/>
      <c r="P2173" s="21" t="str">
        <f>IF(ISNUMBER(MATCH($C2173,StackableKinds,0)), TRUE, "")</f>
        <v/>
      </c>
    </row>
    <row r="2174" spans="1:17" x14ac:dyDescent="0.2">
      <c r="A2174" s="19" t="str">
        <f>_xlfn.IFNA(VLOOKUP($B2174,Keys!$A:$B,2,FALSE),_xlfn.IFNA(VLOOKUP($B2174,Keys!$D:$E,2,FALSE),VLOOKUP($B2174,Keys!$G:$H,2,FALSE)))</f>
        <v>0x0000001CC4865E43</v>
      </c>
      <c r="B2174" s="5" t="s">
        <v>2472</v>
      </c>
      <c r="C2174" s="5" t="s">
        <v>9351</v>
      </c>
      <c r="D2174" s="5" t="s">
        <v>16858</v>
      </c>
      <c r="E2174" s="5"/>
      <c r="F2174" s="1"/>
      <c r="G2174" s="5" t="s">
        <v>8971</v>
      </c>
      <c r="H2174" s="1"/>
      <c r="I2174" s="1"/>
      <c r="J2174" s="2"/>
      <c r="K2174" s="5" t="s">
        <v>8971</v>
      </c>
      <c r="M2174" s="18"/>
      <c r="N2174" s="1"/>
      <c r="O2174" s="1"/>
      <c r="P2174" s="21" t="str">
        <f>IF(ISNUMBER(MATCH($C2174,StackableKinds,0)), TRUE, "")</f>
        <v/>
      </c>
    </row>
    <row r="2175" spans="1:17" x14ac:dyDescent="0.2">
      <c r="A2175" s="19" t="str">
        <f>_xlfn.IFNA(VLOOKUP($B2175,Keys!$A:$B,2,FALSE),_xlfn.IFNA(VLOOKUP($B2175,Keys!$D:$E,2,FALSE),VLOOKUP($B2175,Keys!$G:$H,2,FALSE)))</f>
        <v>0x00000019BFAEBF57</v>
      </c>
      <c r="B2175" s="5" t="s">
        <v>2474</v>
      </c>
      <c r="C2175" s="5" t="s">
        <v>9351</v>
      </c>
      <c r="D2175" s="5" t="s">
        <v>16858</v>
      </c>
      <c r="E2175" s="5"/>
      <c r="F2175" s="1"/>
      <c r="G2175" s="5" t="s">
        <v>8971</v>
      </c>
      <c r="H2175" s="1"/>
      <c r="I2175" s="1"/>
      <c r="J2175" s="2"/>
      <c r="K2175" s="5" t="s">
        <v>8971</v>
      </c>
      <c r="M2175" s="18"/>
      <c r="N2175" s="1"/>
      <c r="O2175" s="1"/>
      <c r="P2175" s="21" t="str">
        <f>IF(ISNUMBER(MATCH($C2175,StackableKinds,0)), TRUE, "")</f>
        <v/>
      </c>
    </row>
    <row r="2176" spans="1:17" x14ac:dyDescent="0.2">
      <c r="A2176" s="19" t="str">
        <f>_xlfn.IFNA(VLOOKUP($B2176,Keys!$A:$B,2,FALSE),_xlfn.IFNA(VLOOKUP($B2176,Keys!$D:$E,2,FALSE),VLOOKUP($B2176,Keys!$G:$H,2,FALSE)))</f>
        <v>0x00000019DE7C87B6</v>
      </c>
      <c r="B2176" s="5" t="s">
        <v>2484</v>
      </c>
      <c r="C2176" s="5" t="s">
        <v>9351</v>
      </c>
      <c r="D2176" s="5" t="s">
        <v>16858</v>
      </c>
      <c r="E2176" s="5"/>
      <c r="F2176" s="1"/>
      <c r="G2176" s="5" t="s">
        <v>8971</v>
      </c>
      <c r="H2176" s="1"/>
      <c r="I2176" s="1"/>
      <c r="J2176" s="2"/>
      <c r="K2176" s="5" t="s">
        <v>8971</v>
      </c>
      <c r="M2176" s="18"/>
      <c r="N2176" s="1"/>
      <c r="O2176" s="1"/>
      <c r="P2176" s="21" t="str">
        <f>IF(ISNUMBER(MATCH($C2176,StackableKinds,0)), TRUE, "")</f>
        <v/>
      </c>
    </row>
    <row r="2177" spans="1:16" x14ac:dyDescent="0.2">
      <c r="A2177" s="19" t="str">
        <f>_xlfn.IFNA(VLOOKUP($B2177,Keys!$A:$B,2,FALSE),_xlfn.IFNA(VLOOKUP($B2177,Keys!$D:$E,2,FALSE),VLOOKUP($B2177,Keys!$G:$H,2,FALSE)))</f>
        <v>0x0000001B0D739449</v>
      </c>
      <c r="B2177" s="5" t="s">
        <v>2486</v>
      </c>
      <c r="C2177" s="5" t="s">
        <v>9351</v>
      </c>
      <c r="D2177" s="5" t="s">
        <v>16858</v>
      </c>
      <c r="E2177" s="5"/>
      <c r="F2177" s="1"/>
      <c r="G2177" s="5" t="s">
        <v>8971</v>
      </c>
      <c r="H2177" s="1"/>
      <c r="I2177" s="1"/>
      <c r="J2177" s="2"/>
      <c r="K2177" s="5" t="s">
        <v>8971</v>
      </c>
      <c r="M2177" s="18"/>
      <c r="N2177" s="1"/>
      <c r="O2177" s="1"/>
      <c r="P2177" s="21" t="str">
        <f>IF(ISNUMBER(MATCH($C2177,StackableKinds,0)), TRUE, "")</f>
        <v/>
      </c>
    </row>
    <row r="2178" spans="1:16" x14ac:dyDescent="0.2">
      <c r="A2178" s="19" t="str">
        <f>_xlfn.IFNA(VLOOKUP($B2178,Keys!$A:$B,2,FALSE),_xlfn.IFNA(VLOOKUP($B2178,Keys!$D:$E,2,FALSE),VLOOKUP($B2178,Keys!$G:$H,2,FALSE)))</f>
        <v>0x00000019EFDF8A4D</v>
      </c>
      <c r="B2178" s="5" t="s">
        <v>2490</v>
      </c>
      <c r="C2178" s="5" t="s">
        <v>9351</v>
      </c>
      <c r="D2178" s="5" t="s">
        <v>16858</v>
      </c>
      <c r="E2178" s="5"/>
      <c r="F2178" s="1"/>
      <c r="G2178" s="5" t="s">
        <v>8971</v>
      </c>
      <c r="H2178" s="1"/>
      <c r="I2178" s="1"/>
      <c r="J2178" s="2"/>
      <c r="K2178" s="5" t="s">
        <v>8971</v>
      </c>
      <c r="M2178" s="18"/>
      <c r="N2178" s="1"/>
      <c r="O2178" s="1"/>
      <c r="P2178" s="21" t="str">
        <f>IF(ISNUMBER(MATCH($C2178,StackableKinds,0)), TRUE, "")</f>
        <v/>
      </c>
    </row>
    <row r="2179" spans="1:16" x14ac:dyDescent="0.2">
      <c r="A2179" s="19" t="str">
        <f>_xlfn.IFNA(VLOOKUP($B2179,Keys!$A:$B,2,FALSE),_xlfn.IFNA(VLOOKUP($B2179,Keys!$D:$E,2,FALSE),VLOOKUP($B2179,Keys!$G:$H,2,FALSE)))</f>
        <v>0x0000001D3E804BA7</v>
      </c>
      <c r="B2179" s="5" t="s">
        <v>2492</v>
      </c>
      <c r="C2179" s="5" t="s">
        <v>9351</v>
      </c>
      <c r="D2179" s="5" t="s">
        <v>16858</v>
      </c>
      <c r="E2179" s="5"/>
      <c r="F2179" s="1"/>
      <c r="G2179" s="5" t="s">
        <v>8971</v>
      </c>
      <c r="H2179" s="1"/>
      <c r="I2179" s="1"/>
      <c r="J2179" s="2"/>
      <c r="K2179" s="5" t="s">
        <v>8971</v>
      </c>
      <c r="M2179" s="18"/>
      <c r="N2179" s="1"/>
      <c r="O2179" s="1"/>
      <c r="P2179" s="21" t="str">
        <f>IF(ISNUMBER(MATCH($C2179,StackableKinds,0)), TRUE, "")</f>
        <v/>
      </c>
    </row>
    <row r="2180" spans="1:16" x14ac:dyDescent="0.2">
      <c r="A2180" s="19" t="str">
        <f>_xlfn.IFNA(VLOOKUP($B2180,Keys!$A:$B,2,FALSE),_xlfn.IFNA(VLOOKUP($B2180,Keys!$D:$E,2,FALSE),VLOOKUP($B2180,Keys!$G:$H,2,FALSE)))</f>
        <v>0x0000001B7B22FAB9</v>
      </c>
      <c r="B2180" s="5" t="s">
        <v>2498</v>
      </c>
      <c r="C2180" s="5" t="s">
        <v>9351</v>
      </c>
      <c r="D2180" s="5" t="s">
        <v>16858</v>
      </c>
      <c r="E2180" s="5"/>
      <c r="F2180" s="1"/>
      <c r="G2180" s="5" t="s">
        <v>8971</v>
      </c>
      <c r="H2180" s="1"/>
      <c r="I2180" s="1"/>
      <c r="J2180" s="2"/>
      <c r="K2180" s="5" t="s">
        <v>8971</v>
      </c>
      <c r="M2180" s="18"/>
      <c r="N2180" s="1"/>
      <c r="O2180" s="1"/>
      <c r="P2180" s="21" t="str">
        <f>IF(ISNUMBER(MATCH($C2180,StackableKinds,0)), TRUE, "")</f>
        <v/>
      </c>
    </row>
    <row r="2181" spans="1:16" x14ac:dyDescent="0.2">
      <c r="A2181" s="19" t="str">
        <f>_xlfn.IFNA(VLOOKUP($B2181,Keys!$A:$B,2,FALSE),_xlfn.IFNA(VLOOKUP($B2181,Keys!$D:$E,2,FALSE),VLOOKUP($B2181,Keys!$G:$H,2,FALSE)))</f>
        <v>0x0000001B4C3E858A</v>
      </c>
      <c r="B2181" s="5" t="s">
        <v>2500</v>
      </c>
      <c r="C2181" s="5" t="s">
        <v>9351</v>
      </c>
      <c r="D2181" s="5" t="s">
        <v>16858</v>
      </c>
      <c r="E2181" s="5"/>
      <c r="F2181" s="1"/>
      <c r="G2181" s="5" t="s">
        <v>8971</v>
      </c>
      <c r="H2181" s="1"/>
      <c r="I2181" s="1"/>
      <c r="J2181" s="2"/>
      <c r="K2181" s="5" t="s">
        <v>8971</v>
      </c>
      <c r="M2181" s="18"/>
      <c r="N2181" s="1"/>
      <c r="O2181" s="1"/>
      <c r="P2181" s="21" t="str">
        <f>IF(ISNUMBER(MATCH($C2181,StackableKinds,0)), TRUE, "")</f>
        <v/>
      </c>
    </row>
    <row r="2182" spans="1:16" x14ac:dyDescent="0.2">
      <c r="A2182" s="19" t="str">
        <f>_xlfn.IFNA(VLOOKUP($B2182,Keys!$A:$B,2,FALSE),_xlfn.IFNA(VLOOKUP($B2182,Keys!$D:$E,2,FALSE),VLOOKUP($B2182,Keys!$G:$H,2,FALSE)))</f>
        <v>0x0000001C9C032927</v>
      </c>
      <c r="B2182" s="5" t="s">
        <v>2502</v>
      </c>
      <c r="C2182" s="5" t="s">
        <v>9351</v>
      </c>
      <c r="D2182" s="5" t="s">
        <v>16858</v>
      </c>
      <c r="E2182" s="5"/>
      <c r="F2182" s="1"/>
      <c r="G2182" s="5" t="s">
        <v>8971</v>
      </c>
      <c r="H2182" s="1"/>
      <c r="I2182" s="1"/>
      <c r="J2182" s="2"/>
      <c r="K2182" s="5" t="s">
        <v>8971</v>
      </c>
      <c r="M2182" s="18"/>
      <c r="N2182" s="1"/>
      <c r="O2182" s="1"/>
      <c r="P2182" s="21" t="str">
        <f>IF(ISNUMBER(MATCH($C2182,StackableKinds,0)), TRUE, "")</f>
        <v/>
      </c>
    </row>
    <row r="2183" spans="1:16" x14ac:dyDescent="0.2">
      <c r="A2183" s="19" t="str">
        <f>_xlfn.IFNA(VLOOKUP($B2183,Keys!$A:$B,2,FALSE),_xlfn.IFNA(VLOOKUP($B2183,Keys!$D:$E,2,FALSE),VLOOKUP($B2183,Keys!$G:$H,2,FALSE)))</f>
        <v>0x0000001AB3778146</v>
      </c>
      <c r="B2183" s="5" t="s">
        <v>2504</v>
      </c>
      <c r="C2183" s="5" t="s">
        <v>9351</v>
      </c>
      <c r="D2183" s="5" t="s">
        <v>16858</v>
      </c>
      <c r="E2183" s="5"/>
      <c r="F2183" s="1"/>
      <c r="G2183" s="5" t="s">
        <v>8971</v>
      </c>
      <c r="H2183" s="1"/>
      <c r="I2183" s="1"/>
      <c r="J2183" s="2"/>
      <c r="K2183" s="5" t="s">
        <v>8971</v>
      </c>
      <c r="M2183" s="18"/>
      <c r="N2183" s="1"/>
      <c r="O2183" s="1"/>
      <c r="P2183" s="21" t="str">
        <f>IF(ISNUMBER(MATCH($C2183,StackableKinds,0)), TRUE, "")</f>
        <v/>
      </c>
    </row>
    <row r="2184" spans="1:16" x14ac:dyDescent="0.2">
      <c r="A2184" s="19" t="str">
        <f>_xlfn.IFNA(VLOOKUP($B2184,Keys!$A:$B,2,FALSE),_xlfn.IFNA(VLOOKUP($B2184,Keys!$D:$E,2,FALSE),VLOOKUP($B2184,Keys!$G:$H,2,FALSE)))</f>
        <v>0x0000001A7D9E867A</v>
      </c>
      <c r="B2184" s="5" t="s">
        <v>2506</v>
      </c>
      <c r="C2184" s="5" t="s">
        <v>9351</v>
      </c>
      <c r="D2184" s="5" t="s">
        <v>16858</v>
      </c>
      <c r="E2184" s="5"/>
      <c r="F2184" s="1"/>
      <c r="G2184" s="5" t="s">
        <v>8971</v>
      </c>
      <c r="H2184" s="1"/>
      <c r="I2184" s="1"/>
      <c r="J2184" s="2"/>
      <c r="K2184" s="5" t="s">
        <v>8971</v>
      </c>
      <c r="M2184" s="18"/>
      <c r="N2184" s="1"/>
      <c r="O2184" s="1"/>
      <c r="P2184" s="21" t="str">
        <f>IF(ISNUMBER(MATCH($C2184,StackableKinds,0)), TRUE, "")</f>
        <v/>
      </c>
    </row>
    <row r="2185" spans="1:16" x14ac:dyDescent="0.2">
      <c r="A2185" s="19" t="str">
        <f>_xlfn.IFNA(VLOOKUP($B2185,Keys!$A:$B,2,FALSE),_xlfn.IFNA(VLOOKUP($B2185,Keys!$D:$E,2,FALSE),VLOOKUP($B2185,Keys!$G:$H,2,FALSE)))</f>
        <v>0x0000001E30B82301</v>
      </c>
      <c r="B2185" s="5" t="s">
        <v>2508</v>
      </c>
      <c r="C2185" s="5" t="s">
        <v>9351</v>
      </c>
      <c r="D2185" s="5" t="s">
        <v>16858</v>
      </c>
      <c r="E2185" s="5"/>
      <c r="F2185" s="1"/>
      <c r="G2185" s="5" t="s">
        <v>8971</v>
      </c>
      <c r="H2185" s="1"/>
      <c r="I2185" s="1"/>
      <c r="J2185" s="2"/>
      <c r="K2185" s="5" t="s">
        <v>8971</v>
      </c>
      <c r="M2185" s="18"/>
      <c r="N2185" s="1"/>
      <c r="O2185" s="1"/>
      <c r="P2185" s="21" t="str">
        <f>IF(ISNUMBER(MATCH($C2185,StackableKinds,0)), TRUE, "")</f>
        <v/>
      </c>
    </row>
    <row r="2186" spans="1:16" x14ac:dyDescent="0.2">
      <c r="A2186" s="19" t="str">
        <f>_xlfn.IFNA(VLOOKUP($B2186,Keys!$A:$B,2,FALSE),_xlfn.IFNA(VLOOKUP($B2186,Keys!$D:$E,2,FALSE),VLOOKUP($B2186,Keys!$G:$H,2,FALSE)))</f>
        <v>0x0000001CB8F94FC3</v>
      </c>
      <c r="B2186" s="5" t="s">
        <v>2510</v>
      </c>
      <c r="C2186" s="5" t="s">
        <v>9351</v>
      </c>
      <c r="D2186" s="5" t="s">
        <v>16858</v>
      </c>
      <c r="E2186" s="5"/>
      <c r="F2186" s="1"/>
      <c r="G2186" s="5" t="s">
        <v>8971</v>
      </c>
      <c r="H2186" s="1"/>
      <c r="I2186" s="1"/>
      <c r="J2186" s="2"/>
      <c r="K2186" s="5" t="s">
        <v>8971</v>
      </c>
      <c r="M2186" s="18"/>
      <c r="N2186" s="1"/>
      <c r="O2186" s="1"/>
      <c r="P2186" s="21" t="str">
        <f>IF(ISNUMBER(MATCH($C2186,StackableKinds,0)), TRUE, "")</f>
        <v/>
      </c>
    </row>
    <row r="2187" spans="1:16" x14ac:dyDescent="0.2">
      <c r="A2187" s="19" t="str">
        <f>_xlfn.IFNA(VLOOKUP($B2187,Keys!$A:$B,2,FALSE),_xlfn.IFNA(VLOOKUP($B2187,Keys!$D:$E,2,FALSE),VLOOKUP($B2187,Keys!$G:$H,2,FALSE)))</f>
        <v>0x0000001C3FCC6DCA</v>
      </c>
      <c r="B2187" s="5" t="s">
        <v>2512</v>
      </c>
      <c r="C2187" s="5" t="s">
        <v>9351</v>
      </c>
      <c r="D2187" s="5" t="s">
        <v>16858</v>
      </c>
      <c r="E2187" s="5"/>
      <c r="F2187" s="1"/>
      <c r="G2187" s="5" t="s">
        <v>8971</v>
      </c>
      <c r="H2187" s="1"/>
      <c r="I2187" s="1"/>
      <c r="J2187" s="2"/>
      <c r="K2187" s="5" t="s">
        <v>8971</v>
      </c>
      <c r="M2187" s="18"/>
      <c r="N2187" s="1"/>
      <c r="O2187" s="1"/>
      <c r="P2187" s="21" t="str">
        <f>IF(ISNUMBER(MATCH($C2187,StackableKinds,0)), TRUE, "")</f>
        <v/>
      </c>
    </row>
    <row r="2188" spans="1:16" x14ac:dyDescent="0.2">
      <c r="A2188" s="19" t="str">
        <f>_xlfn.IFNA(VLOOKUP($B2188,Keys!$A:$B,2,FALSE),_xlfn.IFNA(VLOOKUP($B2188,Keys!$D:$E,2,FALSE),VLOOKUP($B2188,Keys!$G:$H,2,FALSE)))</f>
        <v>0x0000001D0AC3C1E7</v>
      </c>
      <c r="B2188" s="5" t="s">
        <v>2514</v>
      </c>
      <c r="C2188" s="5" t="s">
        <v>9351</v>
      </c>
      <c r="D2188" s="5" t="s">
        <v>16858</v>
      </c>
      <c r="E2188" s="5"/>
      <c r="F2188" s="1"/>
      <c r="G2188" s="5" t="s">
        <v>8971</v>
      </c>
      <c r="H2188" s="1"/>
      <c r="I2188" s="1"/>
      <c r="J2188" s="2"/>
      <c r="K2188" s="5" t="s">
        <v>8971</v>
      </c>
      <c r="M2188" s="18"/>
      <c r="N2188" s="1"/>
      <c r="O2188" s="1"/>
      <c r="P2188" s="21" t="str">
        <f>IF(ISNUMBER(MATCH($C2188,StackableKinds,0)), TRUE, "")</f>
        <v/>
      </c>
    </row>
    <row r="2189" spans="1:16" x14ac:dyDescent="0.2">
      <c r="A2189" s="19" t="str">
        <f>_xlfn.IFNA(VLOOKUP($B2189,Keys!$A:$B,2,FALSE),_xlfn.IFNA(VLOOKUP($B2189,Keys!$D:$E,2,FALSE),VLOOKUP($B2189,Keys!$G:$H,2,FALSE)))</f>
        <v>0x0000001B545AC637</v>
      </c>
      <c r="B2189" s="5" t="s">
        <v>2520</v>
      </c>
      <c r="C2189" s="5" t="s">
        <v>9351</v>
      </c>
      <c r="D2189" s="5" t="s">
        <v>16858</v>
      </c>
      <c r="E2189" s="5"/>
      <c r="F2189" s="1"/>
      <c r="G2189" s="5" t="s">
        <v>8971</v>
      </c>
      <c r="H2189" s="1"/>
      <c r="I2189" s="1"/>
      <c r="J2189" s="2"/>
      <c r="K2189" s="5" t="s">
        <v>8971</v>
      </c>
      <c r="M2189" s="18"/>
      <c r="N2189" s="1"/>
      <c r="O2189" s="1"/>
      <c r="P2189" s="21" t="str">
        <f>IF(ISNUMBER(MATCH($C2189,StackableKinds,0)), TRUE, "")</f>
        <v/>
      </c>
    </row>
    <row r="2190" spans="1:16" x14ac:dyDescent="0.2">
      <c r="A2190" s="19" t="str">
        <f>_xlfn.IFNA(VLOOKUP($B2190,Keys!$A:$B,2,FALSE),_xlfn.IFNA(VLOOKUP($B2190,Keys!$D:$E,2,FALSE),VLOOKUP($B2190,Keys!$G:$H,2,FALSE)))</f>
        <v>0x0000001D06612423</v>
      </c>
      <c r="B2190" s="5" t="s">
        <v>2522</v>
      </c>
      <c r="C2190" s="5" t="s">
        <v>9351</v>
      </c>
      <c r="D2190" s="5" t="s">
        <v>16858</v>
      </c>
      <c r="E2190" s="5"/>
      <c r="F2190" s="1"/>
      <c r="G2190" s="5" t="s">
        <v>8971</v>
      </c>
      <c r="H2190" s="1"/>
      <c r="I2190" s="1"/>
      <c r="J2190" s="2"/>
      <c r="K2190" s="5" t="s">
        <v>8971</v>
      </c>
      <c r="M2190" s="18"/>
      <c r="N2190" s="1"/>
      <c r="O2190" s="1"/>
      <c r="P2190" s="21" t="str">
        <f>IF(ISNUMBER(MATCH($C2190,StackableKinds,0)), TRUE, "")</f>
        <v/>
      </c>
    </row>
    <row r="2191" spans="1:16" x14ac:dyDescent="0.2">
      <c r="A2191" s="19" t="str">
        <f>_xlfn.IFNA(VLOOKUP($B2191,Keys!$A:$B,2,FALSE),_xlfn.IFNA(VLOOKUP($B2191,Keys!$D:$E,2,FALSE),VLOOKUP($B2191,Keys!$G:$H,2,FALSE)))</f>
        <v>0x000000195BA01ECF</v>
      </c>
      <c r="B2191" s="5" t="s">
        <v>2524</v>
      </c>
      <c r="C2191" s="5" t="s">
        <v>9351</v>
      </c>
      <c r="D2191" s="5" t="s">
        <v>16858</v>
      </c>
      <c r="E2191" s="5"/>
      <c r="F2191" s="1"/>
      <c r="G2191" s="5" t="s">
        <v>8971</v>
      </c>
      <c r="H2191" s="1"/>
      <c r="I2191" s="1"/>
      <c r="J2191" s="2"/>
      <c r="K2191" s="5" t="s">
        <v>8971</v>
      </c>
      <c r="M2191" s="18"/>
      <c r="N2191" s="1"/>
      <c r="O2191" s="1"/>
      <c r="P2191" s="21" t="str">
        <f>IF(ISNUMBER(MATCH($C2191,StackableKinds,0)), TRUE, "")</f>
        <v/>
      </c>
    </row>
    <row r="2192" spans="1:16" x14ac:dyDescent="0.2">
      <c r="A2192" s="19" t="str">
        <f>_xlfn.IFNA(VLOOKUP($B2192,Keys!$A:$B,2,FALSE),_xlfn.IFNA(VLOOKUP($B2192,Keys!$D:$E,2,FALSE),VLOOKUP($B2192,Keys!$G:$H,2,FALSE)))</f>
        <v>0x0000001885598F20</v>
      </c>
      <c r="B2192" s="5" t="s">
        <v>2526</v>
      </c>
      <c r="C2192" s="5" t="s">
        <v>9351</v>
      </c>
      <c r="D2192" s="5" t="s">
        <v>16858</v>
      </c>
      <c r="E2192" s="5"/>
      <c r="F2192" s="1"/>
      <c r="G2192" s="5" t="s">
        <v>8971</v>
      </c>
      <c r="H2192" s="1"/>
      <c r="I2192" s="1"/>
      <c r="J2192" s="2"/>
      <c r="K2192" s="5" t="s">
        <v>8971</v>
      </c>
      <c r="M2192" s="18"/>
      <c r="N2192" s="1"/>
      <c r="O2192" s="1"/>
      <c r="P2192" s="21" t="str">
        <f>IF(ISNUMBER(MATCH($C2192,StackableKinds,0)), TRUE, "")</f>
        <v/>
      </c>
    </row>
    <row r="2193" spans="1:17" x14ac:dyDescent="0.2">
      <c r="A2193" s="19" t="str">
        <f>_xlfn.IFNA(VLOOKUP($B2193,Keys!$A:$B,2,FALSE),_xlfn.IFNA(VLOOKUP($B2193,Keys!$D:$E,2,FALSE),VLOOKUP($B2193,Keys!$G:$H,2,FALSE)))</f>
        <v>0x0000001AB284DDFE</v>
      </c>
      <c r="B2193" s="5" t="s">
        <v>2528</v>
      </c>
      <c r="C2193" s="5" t="s">
        <v>9351</v>
      </c>
      <c r="D2193" s="5" t="s">
        <v>16858</v>
      </c>
      <c r="E2193" s="5"/>
      <c r="F2193" s="1"/>
      <c r="G2193" s="5" t="s">
        <v>8971</v>
      </c>
      <c r="H2193" s="1"/>
      <c r="I2193" s="1"/>
      <c r="J2193" s="2"/>
      <c r="K2193" s="5" t="s">
        <v>8971</v>
      </c>
      <c r="M2193" s="18"/>
      <c r="N2193" s="1"/>
      <c r="O2193" s="1"/>
      <c r="P2193" s="21" t="str">
        <f>IF(ISNUMBER(MATCH($C2193,StackableKinds,0)), TRUE, "")</f>
        <v/>
      </c>
    </row>
    <row r="2194" spans="1:17" x14ac:dyDescent="0.2">
      <c r="A2194" s="19" t="str">
        <f>_xlfn.IFNA(VLOOKUP($B2194,Keys!$A:$B,2,FALSE),_xlfn.IFNA(VLOOKUP($B2194,Keys!$D:$E,2,FALSE),VLOOKUP($B2194,Keys!$G:$H,2,FALSE)))</f>
        <v>0x0000001D0647C158</v>
      </c>
      <c r="B2194" s="5" t="s">
        <v>2530</v>
      </c>
      <c r="C2194" s="5" t="s">
        <v>9351</v>
      </c>
      <c r="D2194" s="5" t="s">
        <v>16858</v>
      </c>
      <c r="E2194" s="5"/>
      <c r="F2194" s="1"/>
      <c r="G2194" s="5" t="s">
        <v>8971</v>
      </c>
      <c r="H2194" s="1"/>
      <c r="I2194" s="1"/>
      <c r="J2194" s="2"/>
      <c r="K2194" s="5" t="s">
        <v>8971</v>
      </c>
      <c r="M2194" s="18"/>
      <c r="N2194" s="1"/>
      <c r="O2194" s="1"/>
      <c r="P2194" s="21" t="str">
        <f>IF(ISNUMBER(MATCH($C2194,StackableKinds,0)), TRUE, "")</f>
        <v/>
      </c>
    </row>
    <row r="2195" spans="1:17" x14ac:dyDescent="0.2">
      <c r="A2195" s="19" t="str">
        <f>_xlfn.IFNA(VLOOKUP($B2195,Keys!$A:$B,2,FALSE),_xlfn.IFNA(VLOOKUP($B2195,Keys!$D:$E,2,FALSE),VLOOKUP($B2195,Keys!$G:$H,2,FALSE)))</f>
        <v>0x0000001B2510BAAD</v>
      </c>
      <c r="B2195" s="5" t="s">
        <v>2532</v>
      </c>
      <c r="C2195" s="5" t="s">
        <v>9351</v>
      </c>
      <c r="D2195" s="5" t="s">
        <v>16858</v>
      </c>
      <c r="E2195" s="5"/>
      <c r="F2195" s="1"/>
      <c r="G2195" s="5" t="s">
        <v>8971</v>
      </c>
      <c r="H2195" s="1"/>
      <c r="I2195" s="1"/>
      <c r="J2195" s="2"/>
      <c r="K2195" s="5" t="s">
        <v>8971</v>
      </c>
      <c r="M2195" s="18"/>
      <c r="N2195" s="1"/>
      <c r="O2195" s="1"/>
      <c r="P2195" s="21" t="str">
        <f>IF(ISNUMBER(MATCH($C2195,StackableKinds,0)), TRUE, "")</f>
        <v/>
      </c>
    </row>
    <row r="2196" spans="1:17" x14ac:dyDescent="0.2">
      <c r="A2196" s="19" t="str">
        <f>_xlfn.IFNA(VLOOKUP($B2196,Keys!$A:$B,2,FALSE),_xlfn.IFNA(VLOOKUP($B2196,Keys!$D:$E,2,FALSE),VLOOKUP($B2196,Keys!$G:$H,2,FALSE)))</f>
        <v>0x0000001B789983FA</v>
      </c>
      <c r="B2196" s="5" t="s">
        <v>2538</v>
      </c>
      <c r="C2196" s="5" t="s">
        <v>9351</v>
      </c>
      <c r="D2196" s="5" t="s">
        <v>16858</v>
      </c>
      <c r="E2196" s="5"/>
      <c r="F2196" s="1"/>
      <c r="G2196" s="5" t="s">
        <v>8971</v>
      </c>
      <c r="H2196" s="1"/>
      <c r="I2196" s="1"/>
      <c r="J2196" s="2"/>
      <c r="K2196" s="5" t="s">
        <v>8971</v>
      </c>
      <c r="M2196" s="18"/>
      <c r="N2196" s="1"/>
      <c r="O2196" s="1"/>
      <c r="P2196" s="21" t="str">
        <f>IF(ISNUMBER(MATCH($C2196,StackableKinds,0)), TRUE, "")</f>
        <v/>
      </c>
    </row>
    <row r="2197" spans="1:17" x14ac:dyDescent="0.2">
      <c r="A2197" s="19" t="str">
        <f>_xlfn.IFNA(VLOOKUP($B2197,Keys!$A:$B,2,FALSE),_xlfn.IFNA(VLOOKUP($B2197,Keys!$D:$E,2,FALSE),VLOOKUP($B2197,Keys!$G:$H,2,FALSE)))</f>
        <v>0x0000001D351AB991</v>
      </c>
      <c r="B2197" s="5" t="s">
        <v>2540</v>
      </c>
      <c r="C2197" s="5" t="s">
        <v>9351</v>
      </c>
      <c r="D2197" s="5" t="s">
        <v>16858</v>
      </c>
      <c r="E2197" s="5"/>
      <c r="F2197" s="1"/>
      <c r="G2197" s="5" t="s">
        <v>8971</v>
      </c>
      <c r="H2197" s="1"/>
      <c r="I2197" s="1"/>
      <c r="J2197" s="2"/>
      <c r="K2197" s="5" t="s">
        <v>8971</v>
      </c>
      <c r="M2197" s="18"/>
      <c r="N2197" s="1"/>
      <c r="O2197" s="1"/>
      <c r="P2197" s="21" t="str">
        <f>IF(ISNUMBER(MATCH($C2197,StackableKinds,0)), TRUE, "")</f>
        <v/>
      </c>
    </row>
    <row r="2198" spans="1:17" x14ac:dyDescent="0.2">
      <c r="A2198" s="19" t="str">
        <f>_xlfn.IFNA(VLOOKUP($B2198,Keys!$A:$B,2,FALSE),_xlfn.IFNA(VLOOKUP($B2198,Keys!$D:$E,2,FALSE),VLOOKUP($B2198,Keys!$G:$H,2,FALSE)))</f>
        <v>0x0000001C9FD5983B</v>
      </c>
      <c r="B2198" s="5" t="s">
        <v>2546</v>
      </c>
      <c r="C2198" s="5" t="s">
        <v>9351</v>
      </c>
      <c r="D2198" s="5" t="s">
        <v>16858</v>
      </c>
      <c r="E2198" s="5"/>
      <c r="F2198" s="1"/>
      <c r="G2198" s="5" t="s">
        <v>8971</v>
      </c>
      <c r="H2198" s="1"/>
      <c r="I2198" s="1"/>
      <c r="J2198" s="2"/>
      <c r="K2198" s="5" t="s">
        <v>8971</v>
      </c>
      <c r="M2198" s="18"/>
      <c r="N2198" s="1"/>
      <c r="O2198" s="1"/>
      <c r="P2198" s="21" t="str">
        <f>IF(ISNUMBER(MATCH($C2198,StackableKinds,0)), TRUE, "")</f>
        <v/>
      </c>
    </row>
    <row r="2199" spans="1:17" x14ac:dyDescent="0.2">
      <c r="A2199" s="19" t="str">
        <f>_xlfn.IFNA(VLOOKUP($B2199,Keys!$A:$B,2,FALSE),_xlfn.IFNA(VLOOKUP($B2199,Keys!$D:$E,2,FALSE),VLOOKUP($B2199,Keys!$G:$H,2,FALSE)))</f>
        <v>0x0000001F5D211C72</v>
      </c>
      <c r="B2199" s="5" t="s">
        <v>2552</v>
      </c>
      <c r="C2199" s="5" t="s">
        <v>9351</v>
      </c>
      <c r="D2199" s="5" t="s">
        <v>16858</v>
      </c>
      <c r="E2199" s="5"/>
      <c r="F2199" s="1"/>
      <c r="G2199" s="5" t="s">
        <v>8971</v>
      </c>
      <c r="H2199" s="1"/>
      <c r="I2199" s="1"/>
      <c r="J2199" s="2"/>
      <c r="K2199" s="5" t="s">
        <v>8971</v>
      </c>
      <c r="M2199" s="18"/>
      <c r="N2199" s="1"/>
      <c r="O2199" s="1"/>
      <c r="P2199" s="21" t="str">
        <f>IF(ISNUMBER(MATCH($C2199,StackableKinds,0)), TRUE, "")</f>
        <v/>
      </c>
      <c r="Q2199" s="2"/>
    </row>
    <row r="2200" spans="1:17" x14ac:dyDescent="0.2">
      <c r="A2200" s="19" t="str">
        <f>_xlfn.IFNA(VLOOKUP($B2200,Keys!$A:$B,2,FALSE),_xlfn.IFNA(VLOOKUP($B2200,Keys!$D:$E,2,FALSE),VLOOKUP($B2200,Keys!$G:$H,2,FALSE)))</f>
        <v>0x0000001A510B395F</v>
      </c>
      <c r="B2200" s="5" t="s">
        <v>2554</v>
      </c>
      <c r="C2200" s="5" t="s">
        <v>9351</v>
      </c>
      <c r="D2200" s="5" t="s">
        <v>16858</v>
      </c>
      <c r="E2200" s="5"/>
      <c r="F2200" s="1"/>
      <c r="G2200" s="5" t="s">
        <v>8971</v>
      </c>
      <c r="H2200" s="1"/>
      <c r="I2200" s="1"/>
      <c r="J2200" s="2"/>
      <c r="K2200" s="5" t="s">
        <v>8971</v>
      </c>
      <c r="M2200" s="18"/>
      <c r="N2200" s="1"/>
      <c r="O2200" s="1"/>
      <c r="P2200" s="21" t="str">
        <f>IF(ISNUMBER(MATCH($C2200,StackableKinds,0)), TRUE, "")</f>
        <v/>
      </c>
      <c r="Q2200" s="2"/>
    </row>
    <row r="2201" spans="1:17" x14ac:dyDescent="0.2">
      <c r="A2201" s="19" t="str">
        <f>_xlfn.IFNA(VLOOKUP($B2201,Keys!$A:$B,2,FALSE),_xlfn.IFNA(VLOOKUP($B2201,Keys!$D:$E,2,FALSE),VLOOKUP($B2201,Keys!$G:$H,2,FALSE)))</f>
        <v>0x0000001E0B530854</v>
      </c>
      <c r="B2201" s="5" t="s">
        <v>2558</v>
      </c>
      <c r="C2201" s="5" t="s">
        <v>9351</v>
      </c>
      <c r="D2201" s="5" t="s">
        <v>16858</v>
      </c>
      <c r="E2201" s="5"/>
      <c r="F2201" s="1"/>
      <c r="G2201" s="5" t="s">
        <v>8971</v>
      </c>
      <c r="H2201" s="1"/>
      <c r="I2201" s="1"/>
      <c r="J2201" s="2"/>
      <c r="K2201" s="5" t="s">
        <v>8971</v>
      </c>
      <c r="M2201" s="18"/>
      <c r="N2201" s="1"/>
      <c r="O2201" s="1"/>
      <c r="P2201" s="21" t="str">
        <f>IF(ISNUMBER(MATCH($C2201,StackableKinds,0)), TRUE, "")</f>
        <v/>
      </c>
      <c r="Q2201" s="2"/>
    </row>
    <row r="2202" spans="1:17" x14ac:dyDescent="0.2">
      <c r="A2202" s="19" t="str">
        <f>_xlfn.IFNA(VLOOKUP($B2202,Keys!$A:$B,2,FALSE),_xlfn.IFNA(VLOOKUP($B2202,Keys!$D:$E,2,FALSE),VLOOKUP($B2202,Keys!$G:$H,2,FALSE)))</f>
        <v>0x0000001A81FDEE17</v>
      </c>
      <c r="B2202" s="5" t="s">
        <v>2560</v>
      </c>
      <c r="C2202" s="5" t="s">
        <v>9351</v>
      </c>
      <c r="D2202" s="5" t="s">
        <v>16858</v>
      </c>
      <c r="E2202" s="5"/>
      <c r="F2202" s="1"/>
      <c r="G2202" s="5" t="s">
        <v>8971</v>
      </c>
      <c r="H2202" s="1"/>
      <c r="I2202" s="1"/>
      <c r="J2202" s="2"/>
      <c r="K2202" s="5" t="s">
        <v>8971</v>
      </c>
      <c r="M2202" s="18"/>
      <c r="N2202" s="1"/>
      <c r="O2202" s="1"/>
      <c r="P2202" s="21" t="str">
        <f>IF(ISNUMBER(MATCH($C2202,StackableKinds,0)), TRUE, "")</f>
        <v/>
      </c>
      <c r="Q2202" s="2"/>
    </row>
    <row r="2203" spans="1:17" x14ac:dyDescent="0.2">
      <c r="A2203" s="19" t="str">
        <f>_xlfn.IFNA(VLOOKUP($B2203,Keys!$A:$B,2,FALSE),_xlfn.IFNA(VLOOKUP($B2203,Keys!$D:$E,2,FALSE),VLOOKUP($B2203,Keys!$G:$H,2,FALSE)))</f>
        <v>0x0000001CAE1C72BE</v>
      </c>
      <c r="B2203" s="5" t="s">
        <v>2564</v>
      </c>
      <c r="C2203" s="5" t="s">
        <v>9351</v>
      </c>
      <c r="D2203" s="5" t="s">
        <v>16858</v>
      </c>
      <c r="E2203" s="5"/>
      <c r="F2203" s="1"/>
      <c r="G2203" s="5" t="s">
        <v>8971</v>
      </c>
      <c r="H2203" s="1"/>
      <c r="I2203" s="1"/>
      <c r="J2203" s="2"/>
      <c r="K2203" s="5" t="s">
        <v>8971</v>
      </c>
      <c r="M2203" s="18"/>
      <c r="N2203" s="1"/>
      <c r="O2203" s="1"/>
      <c r="P2203" s="21" t="str">
        <f>IF(ISNUMBER(MATCH($C2203,StackableKinds,0)), TRUE, "")</f>
        <v/>
      </c>
      <c r="Q2203" s="2"/>
    </row>
    <row r="2204" spans="1:17" x14ac:dyDescent="0.2">
      <c r="A2204" s="19" t="str">
        <f>_xlfn.IFNA(VLOOKUP($B2204,Keys!$A:$B,2,FALSE),_xlfn.IFNA(VLOOKUP($B2204,Keys!$D:$E,2,FALSE),VLOOKUP($B2204,Keys!$G:$H,2,FALSE)))</f>
        <v>0x0000001D5F22744C</v>
      </c>
      <c r="B2204" s="5" t="s">
        <v>2568</v>
      </c>
      <c r="C2204" s="5" t="s">
        <v>9351</v>
      </c>
      <c r="D2204" s="5" t="s">
        <v>16858</v>
      </c>
      <c r="E2204" s="5"/>
      <c r="F2204" s="1"/>
      <c r="G2204" s="5" t="s">
        <v>8971</v>
      </c>
      <c r="H2204" s="1"/>
      <c r="I2204" s="1"/>
      <c r="J2204" s="2"/>
      <c r="K2204" s="5" t="s">
        <v>8971</v>
      </c>
      <c r="M2204" s="18"/>
      <c r="N2204" s="1"/>
      <c r="O2204" s="1"/>
      <c r="P2204" s="21" t="str">
        <f>IF(ISNUMBER(MATCH($C2204,StackableKinds,0)), TRUE, "")</f>
        <v/>
      </c>
      <c r="Q2204" s="2"/>
    </row>
    <row r="2205" spans="1:17" x14ac:dyDescent="0.2">
      <c r="A2205" s="19" t="str">
        <f>_xlfn.IFNA(VLOOKUP($B2205,Keys!$A:$B,2,FALSE),_xlfn.IFNA(VLOOKUP($B2205,Keys!$D:$E,2,FALSE),VLOOKUP($B2205,Keys!$G:$H,2,FALSE)))</f>
        <v>0x0000001D6EEFC4EC</v>
      </c>
      <c r="B2205" s="5" t="s">
        <v>2576</v>
      </c>
      <c r="C2205" s="5" t="s">
        <v>9351</v>
      </c>
      <c r="D2205" s="5" t="s">
        <v>16858</v>
      </c>
      <c r="E2205" s="5"/>
      <c r="F2205" s="1"/>
      <c r="G2205" s="5" t="s">
        <v>8971</v>
      </c>
      <c r="H2205" s="1"/>
      <c r="I2205" s="1"/>
      <c r="J2205" s="2"/>
      <c r="K2205" s="5" t="s">
        <v>8971</v>
      </c>
      <c r="M2205" s="18"/>
      <c r="N2205" s="1"/>
      <c r="O2205" s="1"/>
      <c r="P2205" s="21" t="str">
        <f>IF(ISNUMBER(MATCH($C2205,StackableKinds,0)), TRUE, "")</f>
        <v/>
      </c>
      <c r="Q2205" s="2"/>
    </row>
    <row r="2206" spans="1:17" x14ac:dyDescent="0.2">
      <c r="A2206" s="19" t="str">
        <f>_xlfn.IFNA(VLOOKUP($B2206,Keys!$A:$B,2,FALSE),_xlfn.IFNA(VLOOKUP($B2206,Keys!$D:$E,2,FALSE),VLOOKUP($B2206,Keys!$G:$H,2,FALSE)))</f>
        <v>0x00000019CF342E2A</v>
      </c>
      <c r="B2206" s="5" t="s">
        <v>2578</v>
      </c>
      <c r="C2206" s="5" t="s">
        <v>9351</v>
      </c>
      <c r="D2206" s="5" t="s">
        <v>16858</v>
      </c>
      <c r="E2206" s="5"/>
      <c r="F2206" s="1"/>
      <c r="G2206" s="5" t="s">
        <v>8971</v>
      </c>
      <c r="H2206" s="1"/>
      <c r="I2206" s="1"/>
      <c r="J2206" s="2"/>
      <c r="K2206" s="5" t="s">
        <v>8971</v>
      </c>
      <c r="M2206" s="18"/>
      <c r="N2206" s="1"/>
      <c r="O2206" s="1"/>
      <c r="P2206" s="21" t="str">
        <f>IF(ISNUMBER(MATCH($C2206,StackableKinds,0)), TRUE, "")</f>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IF(ISNUMBER(MATCH($C2207,StackableKinds,0)), TRUE, "")</f>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IF(ISNUMBER(MATCH($C2208,StackableKinds,0)), TRUE, "")</f>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IF(ISNUMBER(MATCH($C2209,StackableKinds,0)), TRUE, "")</f>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IF(ISNUMBER(MATCH($C2210,StackableKinds,0)), TRUE, "")</f>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IF(ISNUMBER(MATCH($C2211,StackableKinds,0)), TRUE, "")</f>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IF(ISNUMBER(MATCH($C2212,StackableKinds,0)), TRUE, "")</f>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IF(ISNUMBER(MATCH($C2213,StackableKinds,0)), TRUE, "")</f>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IF(ISNUMBER(MATCH($C2214,StackableKinds,0)), TRUE, "")</f>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IF(ISNUMBER(MATCH($C2215,StackableKinds,0)), TRUE, "")</f>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IF(ISNUMBER(MATCH($C2217,StackableKinds,0)), TRUE, "")</f>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IF(ISNUMBER(MATCH($C2218,StackableKinds,0)), TRUE, "")</f>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IF(ISNUMBER(MATCH($C2219,StackableKinds,0)), TRUE, "")</f>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IF(ISNUMBER(MATCH($C2220,StackableKinds,0)), TRUE, "")</f>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IF(ISNUMBER(MATCH($C2221,StackableKinds,0)), TRUE, "")</f>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IF(ISNUMBER(MATCH($C2222,StackableKinds,0)), TRUE, "")</f>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IF(ISNUMBER(MATCH($C2223,StackableKinds,0)), TRUE, "")</f>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IF(ISNUMBER(MATCH($C2224,StackableKinds,0)), TRUE, "")</f>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IF(ISNUMBER(MATCH($C2225,StackableKinds,0)), TRUE, "")</f>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IF(ISNUMBER(MATCH($C2226,StackableKinds,0)), TRUE, "")</f>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IF(ISNUMBER(MATCH($C2227,StackableKinds,0)), TRUE, "")</f>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IF(ISNUMBER(MATCH($C2228,StackableKinds,0)), TRUE, "")</f>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IF(ISNUMBER(MATCH($C2229,StackableKinds,0)), TRUE, "")</f>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IF(ISNUMBER(MATCH($C2230,StackableKinds,0)), TRUE, "")</f>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IF(ISNUMBER(MATCH($C2231,StackableKinds,0)), TRUE, "")</f>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IF(ISNUMBER(MATCH($C2232,StackableKinds,0)), TRUE, "")</f>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IF(ISNUMBER(MATCH($C2233,StackableKinds,0)), TRUE, "")</f>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IF(ISNUMBER(MATCH($C2234,StackableKinds,0)), TRUE, "")</f>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IF(ISNUMBER(MATCH($C2235,StackableKinds,0)), TRUE, "")</f>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IF(ISNUMBER(MATCH($C2236,StackableKinds,0)), TRUE, "")</f>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IF(ISNUMBER(MATCH($C2237,StackableKinds,0)), TRUE, "")</f>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IF(ISNUMBER(MATCH($C2238,StackableKinds,0)), TRUE, "")</f>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IF(ISNUMBER(MATCH($C2239,StackableKinds,0)), TRUE, "")</f>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IF(ISNUMBER(MATCH($C2240,StackableKinds,0)), TRUE, "")</f>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IF(ISNUMBER(MATCH($C2241,StackableKinds,0)), TRUE, "")</f>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IF(ISNUMBER(MATCH($C2242,StackableKinds,0)), TRUE, "")</f>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IF(ISNUMBER(MATCH($C2243,StackableKinds,0)), TRUE, "")</f>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IF(ISNUMBER(MATCH($C2244,StackableKinds,0)), TRUE, "")</f>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IF(ISNUMBER(MATCH($C2245,StackableKinds,0)), TRUE, "")</f>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IF(ISNUMBER(MATCH($C2246,StackableKinds,0)), TRUE, "")</f>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IF(ISNUMBER(MATCH($C2247,StackableKinds,0)), TRUE, "")</f>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IF(ISNUMBER(MATCH($C2248,StackableKinds,0)), TRUE, "")</f>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IF(ISNUMBER(MATCH($C2249,StackableKinds,0)), TRUE, "")</f>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IF(ISNUMBER(MATCH($C2250,StackableKinds,0)), TRUE, "")</f>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IF(ISNUMBER(MATCH($C2251,StackableKinds,0)), TRUE, "")</f>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IF(ISNUMBER(MATCH($C2252,StackableKinds,0)), TRUE, "")</f>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IF(ISNUMBER(MATCH($C2253,StackableKinds,0)), TRUE, "")</f>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IF(ISNUMBER(MATCH($C2254,StackableKinds,0)), TRUE, "")</f>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IF(ISNUMBER(MATCH($C2255,StackableKinds,0)), TRUE, "")</f>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IF(ISNUMBER(MATCH($C2256,StackableKinds,0)), TRUE, "")</f>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IF(ISNUMBER(MATCH($C2257,StackableKinds,0)), TRUE, "")</f>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IF(ISNUMBER(MATCH($C2258,StackableKinds,0)), TRUE, "")</f>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IF(ISNUMBER(MATCH($C2259,StackableKinds,0)), TRUE, "")</f>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IF(ISNUMBER(MATCH($C2260,StackableKinds,0)), TRUE, "")</f>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IF(ISNUMBER(MATCH($C2261,StackableKinds,0)), TRUE, "")</f>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IF(ISNUMBER(MATCH($C2262,StackableKinds,0)), TRUE, "")</f>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IF(ISNUMBER(MATCH($C2263,StackableKinds,0)), TRUE, "")</f>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IF(ISNUMBER(MATCH($C2264,StackableKinds,0)), TRUE, "")</f>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IF(ISNUMBER(MATCH($C2265,StackableKinds,0)), TRUE, "")</f>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IF(ISNUMBER(MATCH($C2266,StackableKinds,0)), TRUE, "")</f>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IF(ISNUMBER(MATCH($C2267,StackableKinds,0)), TRUE, "")</f>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IF(ISNUMBER(MATCH($C2268,StackableKinds,0)), TRUE, "")</f>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IF(ISNUMBER(MATCH($C2269,StackableKinds,0)), TRUE, "")</f>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IF(ISNUMBER(MATCH($C2270,StackableKinds,0)), TRUE, "")</f>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IF(ISNUMBER(MATCH($C2271,StackableKinds,0)), TRUE, "")</f>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IF(ISNUMBER(MATCH($C2272,StackableKinds,0)), TRUE, "")</f>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IF(ISNUMBER(MATCH($C2273,StackableKinds,0)), TRUE, "")</f>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IF(ISNUMBER(MATCH($C2274,StackableKinds,0)), TRUE, "")</f>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IF(ISNUMBER(MATCH($C2275,StackableKinds,0)), TRUE, "")</f>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IF(ISNUMBER(MATCH($C2276,StackableKinds,0)), TRUE, "")</f>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IF(ISNUMBER(MATCH($C2277,StackableKinds,0)), TRUE, "")</f>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IF(ISNUMBER(MATCH($C2278,StackableKinds,0)), TRUE, "")</f>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IF(ISNUMBER(MATCH($C2279,StackableKinds,0)), TRUE, "")</f>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IF(ISNUMBER(MATCH($C2281,StackableKinds,0)), TRUE, "")</f>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IF(ISNUMBER(MATCH($C2282,StackableKinds,0)), TRUE, "")</f>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IF(ISNUMBER(MATCH($C2283,StackableKinds,0)), TRUE, "")</f>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IF(ISNUMBER(MATCH($C2284,StackableKinds,0)), TRUE, "")</f>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IF(ISNUMBER(MATCH($C2285,StackableKinds,0)), TRUE, "")</f>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IF(ISNUMBER(MATCH($C2286,StackableKinds,0)), TRUE, "")</f>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IF(ISNUMBER(MATCH($C2287,StackableKinds,0)), TRUE, "")</f>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IF(ISNUMBER(MATCH($C2288,StackableKinds,0)), TRUE, "")</f>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IF(ISNUMBER(MATCH($C2289,StackableKinds,0)), TRUE, "")</f>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IF(ISNUMBER(MATCH($C2290,StackableKinds,0)), TRUE, "")</f>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IF(ISNUMBER(MATCH($C2291,StackableKinds,0)), TRUE, "")</f>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IF(ISNUMBER(MATCH($C2292,StackableKinds,0)), TRUE, "")</f>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IF(ISNUMBER(MATCH($C2293,StackableKinds,0)), TRUE, "")</f>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IF(ISNUMBER(MATCH($C2294,StackableKinds,0)), TRUE, "")</f>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IF(ISNUMBER(MATCH($C2295,StackableKinds,0)), TRUE, "")</f>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IF(ISNUMBER(MATCH($C2296,StackableKinds,0)), TRUE, "")</f>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IF(ISNUMBER(MATCH($C2297,StackableKinds,0)), TRUE, "")</f>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IF(ISNUMBER(MATCH($C2298,StackableKinds,0)), TRUE, "")</f>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IF(ISNUMBER(MATCH($C2299,StackableKinds,0)), TRUE, "")</f>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IF(ISNUMBER(MATCH($C2300,StackableKinds,0)), TRUE, "")</f>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IF(ISNUMBER(MATCH($C2301,StackableKinds,0)), TRUE, "")</f>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IF(ISNUMBER(MATCH($C2302,StackableKinds,0)), TRUE, "")</f>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IF(ISNUMBER(MATCH($C2303,StackableKinds,0)), TRUE, "")</f>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IF(ISNUMBER(MATCH($C2304,StackableKinds,0)), TRUE, "")</f>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IF(ISNUMBER(MATCH($C2305,StackableKinds,0)), TRUE, "")</f>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IF(ISNUMBER(MATCH($C2306,StackableKinds,0)), TRUE, "")</f>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IF(ISNUMBER(MATCH($C2307,StackableKinds,0)), TRUE, "")</f>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IF(ISNUMBER(MATCH($C2308,StackableKinds,0)), TRUE, "")</f>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IF(ISNUMBER(MATCH($C2309,StackableKinds,0)), TRUE, "")</f>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IF(ISNUMBER(MATCH($C2310,StackableKinds,0)), TRUE, "")</f>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IF(ISNUMBER(MATCH($C2311,StackableKinds,0)), TRUE, "")</f>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IF(ISNUMBER(MATCH($C2312,StackableKinds,0)), TRUE, "")</f>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IF(ISNUMBER(MATCH($C2313,StackableKinds,0)), TRUE, "")</f>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IF(ISNUMBER(MATCH($C2314,StackableKinds,0)), TRUE, "")</f>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IF(ISNUMBER(MATCH($C2315,StackableKinds,0)), TRUE, "")</f>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IF(ISNUMBER(MATCH($C2316,StackableKinds,0)), TRUE, "")</f>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IF(ISNUMBER(MATCH($C2317,StackableKinds,0)), TRUE, "")</f>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IF(ISNUMBER(MATCH($C2318,StackableKinds,0)), TRUE, "")</f>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IF(ISNUMBER(MATCH($C2319,StackableKinds,0)), TRUE, "")</f>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IF(ISNUMBER(MATCH($C2320,StackableKinds,0)), TRUE, "")</f>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IF(ISNUMBER(MATCH($C2321,StackableKinds,0)), TRUE, "")</f>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IF(ISNUMBER(MATCH($C2322,StackableKinds,0)), TRUE, "")</f>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IF(ISNUMBER(MATCH($C2323,StackableKinds,0)), TRUE, "")</f>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IF(ISNUMBER(MATCH($C2324,StackableKinds,0)), TRUE, "")</f>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IF(ISNUMBER(MATCH($C2325,StackableKinds,0)), TRUE, "")</f>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IF(ISNUMBER(MATCH($C2326,StackableKinds,0)), TRUE, "")</f>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IF(ISNUMBER(MATCH($C2327,StackableKinds,0)), TRUE, "")</f>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IF(ISNUMBER(MATCH($C2328,StackableKinds,0)), TRUE, "")</f>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IF(ISNUMBER(MATCH($C2329,StackableKinds,0)), TRUE, "")</f>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IF(ISNUMBER(MATCH($C2330,StackableKinds,0)), TRUE, "")</f>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IF(ISNUMBER(MATCH($C2331,StackableKinds,0)), TRUE, "")</f>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IF(ISNUMBER(MATCH($C2332,StackableKinds,0)), TRUE, "")</f>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IF(ISNUMBER(MATCH($C2333,StackableKinds,0)), TRUE, "")</f>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IF(ISNUMBER(MATCH($C2334,StackableKinds,0)), TRUE, "")</f>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IF(ISNUMBER(MATCH($C2335,StackableKinds,0)), TRUE, "")</f>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IF(ISNUMBER(MATCH($C2336,StackableKinds,0)), TRUE, "")</f>
        <v/>
      </c>
      <c r="Q2336" s="2"/>
    </row>
    <row r="2337" spans="1:16" x14ac:dyDescent="0.2">
      <c r="A2337" s="19" t="str">
        <f>_xlfn.IFNA(VLOOKUP($B2337,Keys!$A:$B,2,FALSE),_xlfn.IFNA(VLOOKUP($B2337,Keys!$D:$E,2,FALSE),VLOOKUP($B2337,Keys!$G:$H,2,FALSE)))</f>
        <v>0x0000001E719FE00F</v>
      </c>
      <c r="B2337" s="5" t="s">
        <v>4767</v>
      </c>
      <c r="C2337" s="5" t="s">
        <v>9351</v>
      </c>
      <c r="D2337" s="5" t="s">
        <v>16860</v>
      </c>
      <c r="E2337" s="5"/>
      <c r="F2337" s="5"/>
      <c r="G2337" s="5"/>
      <c r="H2337" s="1"/>
      <c r="I2337" s="1"/>
      <c r="J2337" s="2"/>
      <c r="K2337" s="5"/>
      <c r="M2337" s="20"/>
      <c r="N2337" s="1"/>
      <c r="O2337" s="1"/>
      <c r="P2337" s="21" t="str">
        <f>IF(ISNUMBER(MATCH($C2337,StackableKinds,0)), TRUE, "")</f>
        <v/>
      </c>
    </row>
    <row r="2338" spans="1:16" x14ac:dyDescent="0.2">
      <c r="A2338" s="19" t="str">
        <f>_xlfn.IFNA(VLOOKUP($B2338,Keys!$A:$B,2,FALSE),_xlfn.IFNA(VLOOKUP($B2338,Keys!$D:$E,2,FALSE),VLOOKUP($B2338,Keys!$G:$H,2,FALSE)))</f>
        <v>0x00000025D90C2F7E</v>
      </c>
      <c r="B2338" s="5" t="s">
        <v>4523</v>
      </c>
      <c r="C2338" s="5" t="s">
        <v>9351</v>
      </c>
      <c r="D2338" s="5" t="s">
        <v>16859</v>
      </c>
      <c r="E2338" s="5"/>
      <c r="F2338" s="5"/>
      <c r="G2338" s="5"/>
      <c r="H2338" s="1"/>
      <c r="I2338" s="1"/>
      <c r="J2338" s="2"/>
      <c r="K2338" s="5"/>
      <c r="M2338" s="20"/>
      <c r="N2338" s="1"/>
      <c r="O2338" s="1"/>
      <c r="P2338" s="21" t="str">
        <f>IF(ISNUMBER(MATCH($C2338,StackableKinds,0)), TRUE, "")</f>
        <v/>
      </c>
    </row>
    <row r="2339" spans="1:16" x14ac:dyDescent="0.2">
      <c r="A2339" s="19" t="str">
        <f>_xlfn.IFNA(VLOOKUP($B2339,Keys!$A:$B,2,FALSE),_xlfn.IFNA(VLOOKUP($B2339,Keys!$D:$E,2,FALSE),VLOOKUP($B2339,Keys!$G:$H,2,FALSE)))</f>
        <v>0x00000025306F8A4B</v>
      </c>
      <c r="B2339" s="5" t="s">
        <v>4527</v>
      </c>
      <c r="C2339" s="5" t="s">
        <v>9351</v>
      </c>
      <c r="D2339" s="5" t="s">
        <v>16859</v>
      </c>
      <c r="E2339" s="5"/>
      <c r="F2339" s="5"/>
      <c r="G2339" s="5"/>
      <c r="H2339" s="1"/>
      <c r="I2339" s="1"/>
      <c r="J2339" s="2"/>
      <c r="K2339" s="5"/>
      <c r="M2339" s="20"/>
      <c r="N2339" s="1"/>
      <c r="O2339" s="1"/>
      <c r="P2339" s="21" t="str">
        <f>IF(ISNUMBER(MATCH($C2339,StackableKinds,0)), TRUE, "")</f>
        <v/>
      </c>
    </row>
    <row r="2340" spans="1:16" x14ac:dyDescent="0.2">
      <c r="A2340" s="19" t="str">
        <f>_xlfn.IFNA(VLOOKUP($B2340,Keys!$A:$B,2,FALSE),_xlfn.IFNA(VLOOKUP($B2340,Keys!$D:$E,2,FALSE),VLOOKUP($B2340,Keys!$G:$H,2,FALSE)))</f>
        <v>0x000000254768BADD</v>
      </c>
      <c r="B2340" s="5" t="s">
        <v>4529</v>
      </c>
      <c r="C2340" s="5" t="s">
        <v>9351</v>
      </c>
      <c r="D2340" s="5" t="s">
        <v>16859</v>
      </c>
      <c r="E2340" s="5"/>
      <c r="F2340" s="5"/>
      <c r="G2340" s="5"/>
      <c r="H2340" s="1"/>
      <c r="I2340" s="1"/>
      <c r="J2340" s="2"/>
      <c r="K2340" s="5"/>
      <c r="M2340" s="20"/>
      <c r="N2340" s="1"/>
      <c r="O2340" s="1"/>
      <c r="P2340" s="21" t="str">
        <f>IF(ISNUMBER(MATCH($C2340,StackableKinds,0)), TRUE, "")</f>
        <v/>
      </c>
    </row>
    <row r="2341" spans="1:16" x14ac:dyDescent="0.2">
      <c r="A2341" s="19" t="str">
        <f>_xlfn.IFNA(VLOOKUP($B2341,Keys!$A:$B,2,FALSE),_xlfn.IFNA(VLOOKUP($B2341,Keys!$D:$E,2,FALSE),VLOOKUP($B2341,Keys!$G:$H,2,FALSE)))</f>
        <v>0x00000025DE61EB67</v>
      </c>
      <c r="B2341" s="5" t="s">
        <v>4531</v>
      </c>
      <c r="C2341" s="5" t="s">
        <v>9351</v>
      </c>
      <c r="D2341" s="5" t="s">
        <v>16859</v>
      </c>
      <c r="E2341" s="5"/>
      <c r="F2341" s="5"/>
      <c r="G2341" s="5"/>
      <c r="H2341" s="1"/>
      <c r="I2341" s="1"/>
      <c r="J2341" s="2"/>
      <c r="K2341" s="5"/>
      <c r="M2341" s="20"/>
      <c r="N2341" s="1"/>
      <c r="O2341" s="1"/>
      <c r="P2341" s="21" t="str">
        <f>IF(ISNUMBER(MATCH($C2341,StackableKinds,0)), TRUE, "")</f>
        <v/>
      </c>
    </row>
    <row r="2342" spans="1:16" x14ac:dyDescent="0.2">
      <c r="A2342" s="19" t="str">
        <f>_xlfn.IFNA(VLOOKUP($B2342,Keys!$A:$B,2,FALSE),_xlfn.IFNA(VLOOKUP($B2342,Keys!$D:$E,2,FALSE),VLOOKUP($B2342,Keys!$G:$H,2,FALSE)))</f>
        <v>0x0000001D5051D12F</v>
      </c>
      <c r="B2342" s="5" t="s">
        <v>4509</v>
      </c>
      <c r="C2342" s="5" t="s">
        <v>9351</v>
      </c>
      <c r="D2342" s="5" t="s">
        <v>16859</v>
      </c>
      <c r="E2342" s="5"/>
      <c r="F2342" s="5"/>
      <c r="G2342" s="5"/>
      <c r="H2342" s="1"/>
      <c r="I2342" s="1"/>
      <c r="J2342" s="2"/>
      <c r="K2342" s="5"/>
      <c r="M2342" s="20"/>
      <c r="N2342" s="1"/>
      <c r="O2342" s="1"/>
      <c r="P2342" s="21" t="str">
        <f>IF(ISNUMBER(MATCH($C2342,StackableKinds,0)), TRUE, "")</f>
        <v/>
      </c>
    </row>
    <row r="2343" spans="1:16" x14ac:dyDescent="0.2">
      <c r="A2343" s="19" t="str">
        <f>_xlfn.IFNA(VLOOKUP($B2343,Keys!$A:$B,2,FALSE),_xlfn.IFNA(VLOOKUP($B2343,Keys!$D:$E,2,FALSE),VLOOKUP($B2343,Keys!$G:$H,2,FALSE)))</f>
        <v>0x0000001DC9588095</v>
      </c>
      <c r="B2343" s="5" t="s">
        <v>4511</v>
      </c>
      <c r="C2343" s="5" t="s">
        <v>9351</v>
      </c>
      <c r="D2343" s="5" t="s">
        <v>16859</v>
      </c>
      <c r="E2343" s="5"/>
      <c r="F2343" s="5"/>
      <c r="G2343" s="5"/>
      <c r="H2343" s="1"/>
      <c r="I2343" s="1"/>
      <c r="J2343" s="2"/>
      <c r="K2343" s="5"/>
      <c r="M2343" s="20"/>
      <c r="N2343" s="1"/>
      <c r="O2343" s="1"/>
      <c r="P2343" s="21" t="str">
        <f>IF(ISNUMBER(MATCH($C2343,StackableKinds,0)), TRUE, "")</f>
        <v/>
      </c>
    </row>
    <row r="2344" spans="1:16" x14ac:dyDescent="0.2">
      <c r="A2344" s="19" t="str">
        <f>_xlfn.IFNA(VLOOKUP($B2344,Keys!$A:$B,2,FALSE),_xlfn.IFNA(VLOOKUP($B2344,Keys!$D:$E,2,FALSE),VLOOKUP($B2344,Keys!$G:$H,2,FALSE)))</f>
        <v>0x0000001DBE5FB003</v>
      </c>
      <c r="B2344" s="5" t="s">
        <v>4513</v>
      </c>
      <c r="C2344" s="5" t="s">
        <v>9351</v>
      </c>
      <c r="D2344" s="5" t="s">
        <v>16859</v>
      </c>
      <c r="E2344" s="5"/>
      <c r="F2344" s="5"/>
      <c r="G2344" s="5"/>
      <c r="H2344" s="1"/>
      <c r="I2344" s="1"/>
      <c r="J2344" s="2"/>
      <c r="K2344" s="5"/>
      <c r="M2344" s="20"/>
      <c r="N2344" s="1"/>
      <c r="O2344" s="1"/>
      <c r="P2344" s="21" t="str">
        <f>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16859</v>
      </c>
      <c r="E2345" s="5"/>
      <c r="F2345" s="5"/>
      <c r="G2345" s="5"/>
      <c r="H2345" s="1"/>
      <c r="I2345" s="1"/>
      <c r="J2345" s="2"/>
      <c r="K2345" s="5"/>
      <c r="M2345" s="20"/>
      <c r="N2345" s="1"/>
      <c r="O2345" s="1"/>
      <c r="P2345" s="21" t="str">
        <f>IF(ISNUMBER(MATCH($C2345,StackableKinds,0)), TRUE, "")</f>
        <v/>
      </c>
    </row>
    <row r="2346" spans="1:16" x14ac:dyDescent="0.2">
      <c r="A2346" s="19" t="str">
        <f>_xlfn.IFNA(VLOOKUP($B2346,Keys!$A:$B,2,FALSE),_xlfn.IFNA(VLOOKUP($B2346,Keys!$D:$E,2,FALSE),VLOOKUP($B2346,Keys!$G:$H,2,FALSE)))</f>
        <v>0x0000001D573C1536</v>
      </c>
      <c r="B2346" s="5" t="s">
        <v>4517</v>
      </c>
      <c r="C2346" s="5" t="s">
        <v>9351</v>
      </c>
      <c r="D2346" s="5" t="s">
        <v>16859</v>
      </c>
      <c r="E2346" s="5"/>
      <c r="F2346" s="5"/>
      <c r="G2346" s="5"/>
      <c r="H2346" s="1"/>
      <c r="I2346" s="1"/>
      <c r="J2346" s="2"/>
      <c r="K2346" s="5"/>
      <c r="M2346" s="20"/>
      <c r="N2346" s="1"/>
      <c r="O2346" s="1"/>
      <c r="P2346" s="21" t="str">
        <f>IF(ISNUMBER(MATCH($C2346,StackableKinds,0)), TRUE, "")</f>
        <v/>
      </c>
    </row>
    <row r="2347" spans="1:16" x14ac:dyDescent="0.2">
      <c r="A2347" s="19" t="str">
        <f>_xlfn.IFNA(VLOOKUP($B2347,Keys!$A:$B,2,FALSE),_xlfn.IFNA(VLOOKUP($B2347,Keys!$D:$E,2,FALSE),VLOOKUP($B2347,Keys!$G:$H,2,FALSE)))</f>
        <v>0x0000001DCE35448C</v>
      </c>
      <c r="B2347" s="5" t="s">
        <v>4519</v>
      </c>
      <c r="C2347" s="5" t="s">
        <v>9351</v>
      </c>
      <c r="D2347" s="5" t="s">
        <v>16859</v>
      </c>
      <c r="E2347" s="5"/>
      <c r="F2347" s="5"/>
      <c r="G2347" s="5"/>
      <c r="H2347" s="1"/>
      <c r="I2347" s="1"/>
      <c r="J2347" s="2"/>
      <c r="K2347" s="5"/>
      <c r="M2347" s="20"/>
      <c r="N2347" s="1"/>
      <c r="O2347" s="1"/>
      <c r="P2347" s="21" t="str">
        <f>IF(ISNUMBER(MATCH($C2347,StackableKinds,0)), TRUE, "")</f>
        <v/>
      </c>
    </row>
    <row r="2348" spans="1:16" x14ac:dyDescent="0.2">
      <c r="A2348" s="19" t="str">
        <f>_xlfn.IFNA(VLOOKUP($B2348,Keys!$A:$B,2,FALSE),_xlfn.IFNA(VLOOKUP($B2348,Keys!$D:$E,2,FALSE),VLOOKUP($B2348,Keys!$G:$H,2,FALSE)))</f>
        <v>0x0000002540057EC4</v>
      </c>
      <c r="B2348" s="5" t="s">
        <v>4521</v>
      </c>
      <c r="C2348" s="5" t="s">
        <v>9351</v>
      </c>
      <c r="D2348" s="5" t="s">
        <v>16858</v>
      </c>
      <c r="E2348" s="5"/>
      <c r="F2348" s="5"/>
      <c r="G2348" s="5"/>
      <c r="H2348" s="1"/>
      <c r="I2348" s="1"/>
      <c r="J2348" s="2"/>
      <c r="K2348" s="5"/>
      <c r="M2348" s="20"/>
      <c r="N2348" s="1"/>
      <c r="O2348" s="1"/>
      <c r="P2348" s="21" t="str">
        <f>IF(ISNUMBER(MATCH($C2348,StackableKinds,0)), TRUE, "")</f>
        <v/>
      </c>
    </row>
    <row r="2349" spans="1:16" x14ac:dyDescent="0.2">
      <c r="A2349" s="19" t="str">
        <f>_xlfn.IFNA(VLOOKUP($B2349,Keys!$A:$B,2,FALSE),_xlfn.IFNA(VLOOKUP($B2349,Keys!$D:$E,2,FALSE),VLOOKUP($B2349,Keys!$G:$H,2,FALSE)))</f>
        <v>0x00000025AE0B1FE8</v>
      </c>
      <c r="B2349" s="5" t="s">
        <v>4525</v>
      </c>
      <c r="C2349" s="5" t="s">
        <v>9351</v>
      </c>
      <c r="D2349" s="5" t="s">
        <v>16858</v>
      </c>
      <c r="E2349" s="5"/>
      <c r="F2349" s="5"/>
      <c r="G2349" s="5"/>
      <c r="H2349" s="1"/>
      <c r="I2349" s="1"/>
      <c r="J2349" s="2"/>
      <c r="K2349" s="5"/>
      <c r="M2349" s="20"/>
      <c r="N2349" s="1"/>
      <c r="O2349" s="1"/>
      <c r="P2349" s="21" t="str">
        <f>IF(ISNUMBER(MATCH($C2349,StackableKinds,0)), TRUE, "")</f>
        <v/>
      </c>
    </row>
    <row r="2350" spans="1:16" x14ac:dyDescent="0.2">
      <c r="A2350" s="19" t="str">
        <f>_xlfn.IFNA(VLOOKUP($B2350,Keys!$A:$B,2,FALSE),_xlfn.IFNA(VLOOKUP($B2350,Keys!$D:$E,2,FALSE),VLOOKUP($B2350,Keys!$G:$H,2,FALSE)))</f>
        <v>0x00000025A966DBF1</v>
      </c>
      <c r="B2350" s="5" t="s">
        <v>4533</v>
      </c>
      <c r="C2350" s="5" t="s">
        <v>9351</v>
      </c>
      <c r="D2350" s="5" t="s">
        <v>16858</v>
      </c>
      <c r="E2350" s="5"/>
      <c r="F2350" s="5"/>
      <c r="G2350" s="5"/>
      <c r="H2350" s="1"/>
      <c r="I2350" s="1"/>
      <c r="J2350" s="2"/>
      <c r="K2350" s="5"/>
      <c r="M2350" s="23"/>
      <c r="N2350" s="8"/>
      <c r="O2350" s="1"/>
      <c r="P2350" s="21" t="str">
        <f>IF(ISNUMBER(MATCH($C2350,StackableKinds,0)), TRUE, "")</f>
        <v/>
      </c>
    </row>
    <row r="2351" spans="1:16" x14ac:dyDescent="0.2">
      <c r="A2351" s="19" t="str">
        <f>_xlfn.IFNA(VLOOKUP($B2351,Keys!$A:$B,2,FALSE),_xlfn.IFNA(VLOOKUP($B2351,Keys!$D:$E,2,FALSE),VLOOKUP($B2351,Keys!$G:$H,2,FALSE)))</f>
        <v>0x0000002539D9C660</v>
      </c>
      <c r="B2351" s="5" t="s">
        <v>4535</v>
      </c>
      <c r="C2351" s="5" t="s">
        <v>9351</v>
      </c>
      <c r="D2351" s="5" t="s">
        <v>16858</v>
      </c>
      <c r="E2351" s="5"/>
      <c r="F2351" s="5"/>
      <c r="G2351" s="5"/>
      <c r="H2351" s="1"/>
      <c r="I2351" s="1"/>
      <c r="J2351" s="2"/>
      <c r="K2351" s="5"/>
      <c r="M2351" s="23"/>
      <c r="N2351" s="8"/>
      <c r="O2351" s="1"/>
      <c r="P2351" s="21" t="str">
        <f>IF(ISNUMBER(MATCH($C2351,StackableKinds,0)), TRUE, "")</f>
        <v/>
      </c>
    </row>
    <row r="2352" spans="1:16" x14ac:dyDescent="0.2">
      <c r="A2352" s="19" t="str">
        <f>_xlfn.IFNA(VLOOKUP($B2352,Keys!$A:$B,2,FALSE),_xlfn.IFNA(VLOOKUP($B2352,Keys!$D:$E,2,FALSE),VLOOKUP($B2352,Keys!$G:$H,2,FALSE)))</f>
        <v>0x0000002336FC4D88</v>
      </c>
      <c r="B2352" s="5" t="s">
        <v>4755</v>
      </c>
      <c r="C2352" s="5" t="s">
        <v>9351</v>
      </c>
      <c r="D2352" s="5" t="s">
        <v>16858</v>
      </c>
      <c r="E2352" s="5"/>
      <c r="F2352" s="5"/>
      <c r="G2352" s="5"/>
      <c r="H2352" s="1"/>
      <c r="I2352" s="1"/>
      <c r="J2352" s="2"/>
      <c r="K2352" s="5"/>
      <c r="M2352" s="20"/>
      <c r="N2352" s="1"/>
      <c r="O2352" s="1"/>
      <c r="P2352" s="21" t="str">
        <f>IF(ISNUMBER(MATCH($C2352,StackableKinds,0)), TRUE, "")</f>
        <v/>
      </c>
    </row>
    <row r="2353" spans="1:16" x14ac:dyDescent="0.2">
      <c r="A2353" s="19" t="str">
        <f>_xlfn.IFNA(VLOOKUP($B2353,Keys!$A:$B,2,FALSE),_xlfn.IFNA(VLOOKUP($B2353,Keys!$D:$E,2,FALSE),VLOOKUP($B2353,Keys!$G:$H,2,FALSE)))</f>
        <v>0x00000023A898D82B</v>
      </c>
      <c r="B2353" s="5" t="s">
        <v>4757</v>
      </c>
      <c r="C2353" s="5" t="s">
        <v>9351</v>
      </c>
      <c r="D2353" s="5" t="s">
        <v>16858</v>
      </c>
      <c r="E2353" s="5"/>
      <c r="F2353" s="5"/>
      <c r="G2353" s="5"/>
      <c r="H2353" s="1"/>
      <c r="I2353" s="1"/>
      <c r="J2353" s="2"/>
      <c r="K2353" s="5"/>
      <c r="M2353" s="20"/>
      <c r="N2353" s="1"/>
      <c r="O2353" s="1"/>
      <c r="P2353" s="21" t="str">
        <f>IF(ISNUMBER(MATCH($C2353,StackableKinds,0)), TRUE, "")</f>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IF(ISNUMBER(MATCH($C2354,StackableKinds,0)), TRUE, "")</f>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IF(ISNUMBER(MATCH($C2355,StackableKinds,0)), TRUE, "")</f>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IF(ISNUMBER(MATCH($C2356,StackableKinds,0)), TRUE, "")</f>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IF(ISNUMBER(MATCH($C2357,StackableKinds,0)), TRUE, "")</f>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IF(ISNUMBER(MATCH($C2358,StackableKinds,0)), TRUE, "")</f>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IF(ISNUMBER(MATCH($C2359,StackableKinds,0)), TRUE, "")</f>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IF(ISNUMBER(MATCH($C2360,StackableKinds,0)), TRUE, "")</f>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IF(ISNUMBER(MATCH($C2361,StackableKinds,0)), TRUE, "")</f>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IF(ISNUMBER(MATCH($C2362,StackableKinds,0)), TRUE, "")</f>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IF(ISNUMBER(MATCH($C2363,StackableKinds,0)), TRUE, "")</f>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IF(ISNUMBER(MATCH($C2364,StackableKinds,0)), TRUE, "")</f>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IF(ISNUMBER(MATCH($C2365,StackableKinds,0)), TRUE, "")</f>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IF(ISNUMBER(MATCH($C2366,StackableKinds,0)), TRUE, "")</f>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IF(ISNUMBER(MATCH($C2367,StackableKinds,0)), TRUE, "")</f>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IF(ISNUMBER(MATCH($C2368,StackableKinds,0)), TRUE, "")</f>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IF(ISNUMBER(MATCH($C2369,StackableKinds,0)), TRUE, "")</f>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IF(ISNUMBER(MATCH($C2370,StackableKinds,0)), TRUE, "")</f>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IF(ISNUMBER(MATCH($C2371,StackableKinds,0)), TRUE, "")</f>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IF(ISNUMBER(MATCH($C2372,StackableKinds,0)), TRUE, "")</f>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IF(ISNUMBER(MATCH($C2373,StackableKinds,0)), TRUE, "")</f>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IF(ISNUMBER(MATCH($C2374,StackableKinds,0)), TRUE, "")</f>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IF(ISNUMBER(MATCH($C2375,StackableKinds,0)), TRUE, "")</f>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IF(ISNUMBER(MATCH($C2376,StackableKinds,0)), TRUE, "")</f>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IF(ISNUMBER(MATCH($C2377,StackableKinds,0)), TRUE, "")</f>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IF(ISNUMBER(MATCH($C2378,StackableKinds,0)), TRUE, "")</f>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IF(ISNUMBER(MATCH($C2379,StackableKinds,0)), TRUE, "")</f>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IF(ISNUMBER(MATCH($C2380,StackableKinds,0)), TRUE, "")</f>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IF(ISNUMBER(MATCH($C2381,StackableKinds,0)), TRUE, "")</f>
        <v/>
      </c>
    </row>
    <row r="2382" spans="1:17" x14ac:dyDescent="0.2">
      <c r="A2382" s="19" t="str">
        <f>_xlfn.IFNA(VLOOKUP($B2382,Keys!$A:$B,2,FALSE),_xlfn.IFNA(VLOOKUP($B2382,Keys!$D:$E,2,FALSE),VLOOKUP($B2382,Keys!$G:$H,2,FALSE)))</f>
        <v>0x000000257A349BAE</v>
      </c>
      <c r="B2382" s="5" t="s">
        <v>6302</v>
      </c>
      <c r="C2382" s="5" t="s">
        <v>9467</v>
      </c>
      <c r="D2382" s="5" t="s">
        <v>16862</v>
      </c>
      <c r="E2382" s="5"/>
      <c r="F2382" s="1"/>
      <c r="G2382" s="5" t="s">
        <v>8971</v>
      </c>
      <c r="H2382" s="1"/>
      <c r="I2382" s="1"/>
      <c r="J2382" s="2"/>
      <c r="K2382" s="5" t="s">
        <v>8971</v>
      </c>
      <c r="M2382" s="18"/>
      <c r="N2382" s="1"/>
      <c r="O2382" s="1"/>
      <c r="P2382" s="21" t="str">
        <f>IF(ISNUMBER(MATCH($C2382,StackableKinds,0)), TRUE, "")</f>
        <v/>
      </c>
      <c r="Q2382" s="2"/>
    </row>
    <row r="2383" spans="1:17" x14ac:dyDescent="0.2">
      <c r="A2383" s="19" t="str">
        <f>_xlfn.IFNA(VLOOKUP($B2383,Keys!$A:$B,2,FALSE),_xlfn.IFNA(VLOOKUP($B2383,Keys!$D:$E,2,FALSE),VLOOKUP($B2383,Keys!$G:$H,2,FALSE)))</f>
        <v>0x000000216F2C2709</v>
      </c>
      <c r="B2383" s="5" t="s">
        <v>6304</v>
      </c>
      <c r="C2383" s="5" t="s">
        <v>9467</v>
      </c>
      <c r="D2383" s="5" t="s">
        <v>16862</v>
      </c>
      <c r="E2383" s="5"/>
      <c r="F2383" s="1"/>
      <c r="G2383" s="5" t="s">
        <v>8971</v>
      </c>
      <c r="H2383" s="1"/>
      <c r="I2383" s="1"/>
      <c r="J2383" s="2"/>
      <c r="K2383" s="5" t="s">
        <v>8971</v>
      </c>
      <c r="M2383" s="18"/>
      <c r="N2383" s="1"/>
      <c r="O2383" s="1"/>
      <c r="P2383" s="21" t="str">
        <f>IF(ISNUMBER(MATCH($C2383,StackableKinds,0)), TRUE, "")</f>
        <v/>
      </c>
      <c r="Q2383" s="2"/>
    </row>
    <row r="2384" spans="1:17" x14ac:dyDescent="0.2">
      <c r="A2384" s="19" t="str">
        <f>_xlfn.IFNA(VLOOKUP($B2384,Keys!$A:$B,2,FALSE),_xlfn.IFNA(VLOOKUP($B2384,Keys!$D:$E,2,FALSE),VLOOKUP($B2384,Keys!$G:$H,2,FALSE)))</f>
        <v>0x00000025D1D78782</v>
      </c>
      <c r="B2384" s="5" t="s">
        <v>6306</v>
      </c>
      <c r="C2384" s="5" t="s">
        <v>9467</v>
      </c>
      <c r="D2384" s="5" t="s">
        <v>16862</v>
      </c>
      <c r="E2384" s="5"/>
      <c r="F2384" s="1"/>
      <c r="G2384" s="5" t="s">
        <v>8971</v>
      </c>
      <c r="H2384" s="1"/>
      <c r="I2384" s="1"/>
      <c r="J2384" s="2"/>
      <c r="K2384" s="5" t="s">
        <v>8971</v>
      </c>
      <c r="M2384" s="18"/>
      <c r="N2384" s="1"/>
      <c r="O2384" s="1"/>
      <c r="P2384" s="21" t="str">
        <f>IF(ISNUMBER(MATCH($C2384,StackableKinds,0)), TRUE, "")</f>
        <v/>
      </c>
      <c r="Q2384" s="2"/>
    </row>
    <row r="2385" spans="1:17" x14ac:dyDescent="0.2">
      <c r="A2385" s="19" t="str">
        <f>_xlfn.IFNA(VLOOKUP($B2385,Keys!$A:$B,2,FALSE),_xlfn.IFNA(VLOOKUP($B2385,Keys!$D:$E,2,FALSE),VLOOKUP($B2385,Keys!$G:$H,2,FALSE)))</f>
        <v>0x0000001E40709882</v>
      </c>
      <c r="B2385" s="5" t="s">
        <v>6308</v>
      </c>
      <c r="C2385" s="5" t="s">
        <v>9467</v>
      </c>
      <c r="D2385" s="5" t="s">
        <v>16862</v>
      </c>
      <c r="E2385" s="5"/>
      <c r="F2385" s="1"/>
      <c r="G2385" s="5" t="s">
        <v>8971</v>
      </c>
      <c r="H2385" s="1"/>
      <c r="I2385" s="1"/>
      <c r="J2385" s="2"/>
      <c r="K2385" s="5" t="s">
        <v>8971</v>
      </c>
      <c r="M2385" s="18"/>
      <c r="N2385" s="1"/>
      <c r="O2385" s="1"/>
      <c r="P2385" s="21" t="str">
        <f>IF(ISNUMBER(MATCH($C2385,StackableKinds,0)), TRUE, "")</f>
        <v/>
      </c>
      <c r="Q2385" s="2"/>
    </row>
    <row r="2386" spans="1:17" x14ac:dyDescent="0.2">
      <c r="A2386" s="19" t="str">
        <f>_xlfn.IFNA(VLOOKUP($B2386,Keys!$A:$B,2,FALSE),_xlfn.IFNA(VLOOKUP($B2386,Keys!$D:$E,2,FALSE),VLOOKUP($B2386,Keys!$G:$H,2,FALSE)))</f>
        <v>0x000000262FA0D5EF</v>
      </c>
      <c r="B2386" s="5" t="s">
        <v>6310</v>
      </c>
      <c r="C2386" s="5" t="s">
        <v>9467</v>
      </c>
      <c r="D2386" s="5" t="s">
        <v>16862</v>
      </c>
      <c r="E2386" s="5"/>
      <c r="F2386" s="1"/>
      <c r="G2386" s="5" t="s">
        <v>8971</v>
      </c>
      <c r="H2386" s="1"/>
      <c r="I2386" s="1"/>
      <c r="J2386" s="2"/>
      <c r="K2386" s="5" t="s">
        <v>8971</v>
      </c>
      <c r="M2386" s="18"/>
      <c r="N2386" s="1"/>
      <c r="O2386" s="1"/>
      <c r="P2386" s="21" t="str">
        <f>IF(ISNUMBER(MATCH($C2386,StackableKinds,0)), TRUE, "")</f>
        <v/>
      </c>
      <c r="Q2386" s="2"/>
    </row>
    <row r="2387" spans="1:17" x14ac:dyDescent="0.2">
      <c r="A2387" s="19" t="str">
        <f>_xlfn.IFNA(VLOOKUP($B2387,Keys!$A:$B,2,FALSE),_xlfn.IFNA(VLOOKUP($B2387,Keys!$D:$E,2,FALSE),VLOOKUP($B2387,Keys!$G:$H,2,FALSE)))</f>
        <v>0x0000001FBA5F9BE5</v>
      </c>
      <c r="B2387" s="5" t="s">
        <v>6312</v>
      </c>
      <c r="C2387" s="5" t="s">
        <v>9467</v>
      </c>
      <c r="D2387" s="5" t="s">
        <v>16862</v>
      </c>
      <c r="E2387" s="5"/>
      <c r="F2387" s="1"/>
      <c r="G2387" s="5" t="s">
        <v>8971</v>
      </c>
      <c r="H2387" s="1"/>
      <c r="I2387" s="1"/>
      <c r="J2387" s="2"/>
      <c r="K2387" s="5" t="s">
        <v>8971</v>
      </c>
      <c r="M2387" s="18"/>
      <c r="N2387" s="1"/>
      <c r="O2387" s="1"/>
      <c r="P2387" s="21" t="str">
        <f>IF(ISNUMBER(MATCH($C2387,StackableKinds,0)), TRUE, "")</f>
        <v/>
      </c>
      <c r="Q2387" s="2"/>
    </row>
    <row r="2388" spans="1:17" x14ac:dyDescent="0.2">
      <c r="A2388" s="19" t="str">
        <f>_xlfn.IFNA(VLOOKUP($B2388,Keys!$A:$B,2,FALSE),_xlfn.IFNA(VLOOKUP($B2388,Keys!$D:$E,2,FALSE),VLOOKUP($B2388,Keys!$G:$H,2,FALSE)))</f>
        <v>0x0000002A8FF05348</v>
      </c>
      <c r="B2388" s="5" t="s">
        <v>6314</v>
      </c>
      <c r="C2388" s="5" t="s">
        <v>9467</v>
      </c>
      <c r="D2388" s="5" t="s">
        <v>16862</v>
      </c>
      <c r="E2388" s="5"/>
      <c r="F2388" s="1"/>
      <c r="G2388" s="5" t="s">
        <v>8971</v>
      </c>
      <c r="H2388" s="1"/>
      <c r="I2388" s="1"/>
      <c r="J2388" s="2"/>
      <c r="K2388" s="5" t="s">
        <v>8971</v>
      </c>
      <c r="M2388" s="18"/>
      <c r="N2388" s="1"/>
      <c r="O2388" s="1"/>
      <c r="P2388" s="21" t="str">
        <f>IF(ISNUMBER(MATCH($C2388,StackableKinds,0)), TRUE, "")</f>
        <v/>
      </c>
      <c r="Q2388" s="2"/>
    </row>
    <row r="2389" spans="1:17" x14ac:dyDescent="0.2">
      <c r="A2389" s="19" t="str">
        <f>_xlfn.IFNA(VLOOKUP($B2389,Keys!$A:$B,2,FALSE),_xlfn.IFNA(VLOOKUP($B2389,Keys!$D:$E,2,FALSE),VLOOKUP($B2389,Keys!$G:$H,2,FALSE)))</f>
        <v>0x0000002D9E9F022C</v>
      </c>
      <c r="B2389" s="5" t="s">
        <v>6316</v>
      </c>
      <c r="C2389" s="5" t="s">
        <v>9467</v>
      </c>
      <c r="D2389" s="5" t="s">
        <v>16862</v>
      </c>
      <c r="E2389" s="5"/>
      <c r="F2389" s="1"/>
      <c r="G2389" s="5" t="s">
        <v>8971</v>
      </c>
      <c r="H2389" s="1"/>
      <c r="I2389" s="1"/>
      <c r="J2389" s="2"/>
      <c r="K2389" s="5" t="s">
        <v>8971</v>
      </c>
      <c r="M2389" s="18"/>
      <c r="N2389" s="1"/>
      <c r="O2389" s="1"/>
      <c r="P2389" s="21" t="str">
        <f>IF(ISNUMBER(MATCH($C2389,StackableKinds,0)), TRUE, "")</f>
        <v/>
      </c>
      <c r="Q2389" s="2"/>
    </row>
    <row r="2390" spans="1:17" x14ac:dyDescent="0.2">
      <c r="A2390" s="19" t="str">
        <f>_xlfn.IFNA(VLOOKUP($B2390,Keys!$A:$B,2,FALSE),_xlfn.IFNA(VLOOKUP($B2390,Keys!$D:$E,2,FALSE),VLOOKUP($B2390,Keys!$G:$H,2,FALSE)))</f>
        <v>0x0000001B32B824A9</v>
      </c>
      <c r="B2390" s="5" t="s">
        <v>6318</v>
      </c>
      <c r="C2390" s="5" t="s">
        <v>9467</v>
      </c>
      <c r="D2390" s="5" t="s">
        <v>16862</v>
      </c>
      <c r="E2390" s="5"/>
      <c r="F2390" s="1"/>
      <c r="G2390" s="5" t="s">
        <v>8971</v>
      </c>
      <c r="H2390" s="1"/>
      <c r="I2390" s="1"/>
      <c r="J2390" s="2"/>
      <c r="K2390" s="5" t="s">
        <v>8971</v>
      </c>
      <c r="M2390" s="18"/>
      <c r="N2390" s="1"/>
      <c r="O2390" s="1"/>
      <c r="P2390" s="21" t="str">
        <f>IF(ISNUMBER(MATCH($C2390,StackableKinds,0)), TRUE, "")</f>
        <v/>
      </c>
      <c r="Q2390" s="2"/>
    </row>
    <row r="2391" spans="1:17" x14ac:dyDescent="0.2">
      <c r="A2391" s="19" t="str">
        <f>_xlfn.IFNA(VLOOKUP($B2391,Keys!$A:$B,2,FALSE),_xlfn.IFNA(VLOOKUP($B2391,Keys!$D:$E,2,FALSE),VLOOKUP($B2391,Keys!$G:$H,2,FALSE)))</f>
        <v>0x00000026623E782D</v>
      </c>
      <c r="B2391" s="5" t="s">
        <v>6320</v>
      </c>
      <c r="C2391" s="5" t="s">
        <v>9467</v>
      </c>
      <c r="D2391" s="5" t="s">
        <v>16862</v>
      </c>
      <c r="E2391" s="5"/>
      <c r="F2391" s="1"/>
      <c r="G2391" s="5" t="s">
        <v>8971</v>
      </c>
      <c r="H2391" s="1"/>
      <c r="I2391" s="1"/>
      <c r="J2391" s="2"/>
      <c r="K2391" s="5" t="s">
        <v>8971</v>
      </c>
      <c r="M2391" s="18"/>
      <c r="N2391" s="1"/>
      <c r="O2391" s="1"/>
      <c r="P2391" s="21" t="str">
        <f>IF(ISNUMBER(MATCH($C2391,StackableKinds,0)), TRUE, "")</f>
        <v/>
      </c>
      <c r="Q2391" s="2"/>
    </row>
    <row r="2392" spans="1:17" x14ac:dyDescent="0.2">
      <c r="A2392" s="19" t="str">
        <f>_xlfn.IFNA(VLOOKUP($B2392,Keys!$A:$B,2,FALSE),_xlfn.IFNA(VLOOKUP($B2392,Keys!$D:$E,2,FALSE),VLOOKUP($B2392,Keys!$G:$H,2,FALSE)))</f>
        <v>0x0000002B2EB5936C</v>
      </c>
      <c r="B2392" s="5" t="s">
        <v>6322</v>
      </c>
      <c r="C2392" s="5" t="s">
        <v>9467</v>
      </c>
      <c r="D2392" s="5" t="s">
        <v>16862</v>
      </c>
      <c r="E2392" s="5"/>
      <c r="F2392" s="1"/>
      <c r="G2392" s="5" t="s">
        <v>8971</v>
      </c>
      <c r="H2392" s="1"/>
      <c r="I2392" s="1"/>
      <c r="J2392" s="2"/>
      <c r="K2392" s="5" t="s">
        <v>8971</v>
      </c>
      <c r="M2392" s="18"/>
      <c r="N2392" s="1"/>
      <c r="O2392" s="1"/>
      <c r="P2392" s="21" t="str">
        <f>IF(ISNUMBER(MATCH($C2392,StackableKinds,0)), TRUE, "")</f>
        <v/>
      </c>
      <c r="Q2392" s="2"/>
    </row>
    <row r="2393" spans="1:17" x14ac:dyDescent="0.2">
      <c r="A2393" s="19" t="str">
        <f>_xlfn.IFNA(VLOOKUP($B2393,Keys!$A:$B,2,FALSE),_xlfn.IFNA(VLOOKUP($B2393,Keys!$D:$E,2,FALSE),VLOOKUP($B2393,Keys!$G:$H,2,FALSE)))</f>
        <v>0x0000002503D63C56</v>
      </c>
      <c r="B2393" s="5" t="s">
        <v>6324</v>
      </c>
      <c r="C2393" s="5" t="s">
        <v>9467</v>
      </c>
      <c r="D2393" s="5" t="s">
        <v>16862</v>
      </c>
      <c r="E2393" s="5"/>
      <c r="F2393" s="1"/>
      <c r="G2393" s="5" t="s">
        <v>8971</v>
      </c>
      <c r="H2393" s="1"/>
      <c r="I2393" s="1"/>
      <c r="J2393" s="2"/>
      <c r="K2393" s="5" t="s">
        <v>8971</v>
      </c>
      <c r="M2393" s="18"/>
      <c r="N2393" s="1"/>
      <c r="O2393" s="1"/>
      <c r="P2393" s="21" t="str">
        <f>IF(ISNUMBER(MATCH($C2393,StackableKinds,0)), TRUE, "")</f>
        <v/>
      </c>
      <c r="Q2393" s="2"/>
    </row>
    <row r="2394" spans="1:17" x14ac:dyDescent="0.2">
      <c r="A2394" s="19" t="str">
        <f>_xlfn.IFNA(VLOOKUP($B2394,Keys!$A:$B,2,FALSE),_xlfn.IFNA(VLOOKUP($B2394,Keys!$D:$E,2,FALSE),VLOOKUP($B2394,Keys!$G:$H,2,FALSE)))</f>
        <v>0x000000218F8EEECA</v>
      </c>
      <c r="B2394" s="5" t="s">
        <v>6326</v>
      </c>
      <c r="C2394" s="5" t="s">
        <v>9467</v>
      </c>
      <c r="D2394" s="5" t="s">
        <v>16862</v>
      </c>
      <c r="E2394" s="5"/>
      <c r="F2394" s="1"/>
      <c r="G2394" s="5" t="s">
        <v>8971</v>
      </c>
      <c r="H2394" s="1"/>
      <c r="I2394" s="1"/>
      <c r="J2394" s="2"/>
      <c r="K2394" s="5" t="s">
        <v>8971</v>
      </c>
      <c r="M2394" s="18"/>
      <c r="N2394" s="1"/>
      <c r="O2394" s="1"/>
      <c r="P2394" s="21" t="str">
        <f>IF(ISNUMBER(MATCH($C2394,StackableKinds,0)), TRUE, "")</f>
        <v/>
      </c>
      <c r="Q2394" s="2"/>
    </row>
    <row r="2395" spans="1:17" x14ac:dyDescent="0.2">
      <c r="A2395" s="19" t="str">
        <f>_xlfn.IFNA(VLOOKUP($B2395,Keys!$A:$B,2,FALSE),_xlfn.IFNA(VLOOKUP($B2395,Keys!$D:$E,2,FALSE),VLOOKUP($B2395,Keys!$G:$H,2,FALSE)))</f>
        <v>0x0000001F439CC60E</v>
      </c>
      <c r="B2395" s="5" t="s">
        <v>6328</v>
      </c>
      <c r="C2395" s="5" t="s">
        <v>9467</v>
      </c>
      <c r="D2395" s="5" t="s">
        <v>16862</v>
      </c>
      <c r="E2395" s="5"/>
      <c r="F2395" s="1"/>
      <c r="G2395" s="5" t="s">
        <v>8971</v>
      </c>
      <c r="H2395" s="1"/>
      <c r="I2395" s="1"/>
      <c r="J2395" s="2"/>
      <c r="K2395" s="5" t="s">
        <v>8971</v>
      </c>
      <c r="M2395" s="18"/>
      <c r="N2395" s="1"/>
      <c r="O2395" s="1"/>
      <c r="P2395" s="21" t="str">
        <f>IF(ISNUMBER(MATCH($C2395,StackableKinds,0)), TRUE, "")</f>
        <v/>
      </c>
      <c r="Q2395" s="2"/>
    </row>
    <row r="2396" spans="1:17" x14ac:dyDescent="0.2">
      <c r="A2396" s="19" t="str">
        <f>_xlfn.IFNA(VLOOKUP($B2396,Keys!$A:$B,2,FALSE),_xlfn.IFNA(VLOOKUP($B2396,Keys!$D:$E,2,FALSE),VLOOKUP($B2396,Keys!$G:$H,2,FALSE)))</f>
        <v>0x0000001B70D5518E</v>
      </c>
      <c r="B2396" s="5" t="s">
        <v>6330</v>
      </c>
      <c r="C2396" s="5" t="s">
        <v>9467</v>
      </c>
      <c r="D2396" s="5" t="s">
        <v>16862</v>
      </c>
      <c r="E2396" s="5"/>
      <c r="F2396" s="1"/>
      <c r="G2396" s="5" t="s">
        <v>8971</v>
      </c>
      <c r="H2396" s="1"/>
      <c r="I2396" s="1"/>
      <c r="J2396" s="2"/>
      <c r="K2396" s="5" t="s">
        <v>8971</v>
      </c>
      <c r="M2396" s="18"/>
      <c r="N2396" s="1"/>
      <c r="O2396" s="1"/>
      <c r="P2396" s="21" t="str">
        <f>IF(ISNUMBER(MATCH($C2396,StackableKinds,0)), TRUE, "")</f>
        <v/>
      </c>
      <c r="Q2396" s="2"/>
    </row>
    <row r="2397" spans="1:17" x14ac:dyDescent="0.2">
      <c r="A2397" s="19" t="str">
        <f>_xlfn.IFNA(VLOOKUP($B2397,Keys!$A:$B,2,FALSE),_xlfn.IFNA(VLOOKUP($B2397,Keys!$D:$E,2,FALSE),VLOOKUP($B2397,Keys!$G:$H,2,FALSE)))</f>
        <v>0x0000002A1A4EBA4C</v>
      </c>
      <c r="B2397" s="5" t="s">
        <v>6332</v>
      </c>
      <c r="C2397" s="5" t="s">
        <v>9467</v>
      </c>
      <c r="D2397" s="5" t="s">
        <v>16862</v>
      </c>
      <c r="E2397" s="5"/>
      <c r="F2397" s="1"/>
      <c r="G2397" s="5" t="s">
        <v>8971</v>
      </c>
      <c r="H2397" s="1"/>
      <c r="I2397" s="1"/>
      <c r="J2397" s="2"/>
      <c r="K2397" s="5" t="s">
        <v>8971</v>
      </c>
      <c r="M2397" s="18"/>
      <c r="N2397" s="1"/>
      <c r="O2397" s="1"/>
      <c r="P2397" s="21" t="str">
        <f>IF(ISNUMBER(MATCH($C2397,StackableKinds,0)), TRUE, "")</f>
        <v/>
      </c>
    </row>
    <row r="2398" spans="1:17" x14ac:dyDescent="0.2">
      <c r="A2398" s="19" t="str">
        <f>_xlfn.IFNA(VLOOKUP($B2398,Keys!$A:$B,2,FALSE),_xlfn.IFNA(VLOOKUP($B2398,Keys!$D:$E,2,FALSE),VLOOKUP($B2398,Keys!$G:$H,2,FALSE)))</f>
        <v>0x0000002C32EF982D</v>
      </c>
      <c r="B2398" s="5" t="s">
        <v>6334</v>
      </c>
      <c r="C2398" s="5" t="s">
        <v>9467</v>
      </c>
      <c r="D2398" s="5" t="s">
        <v>16862</v>
      </c>
      <c r="E2398" s="5"/>
      <c r="F2398" s="1"/>
      <c r="G2398" s="5" t="s">
        <v>8971</v>
      </c>
      <c r="H2398" s="1"/>
      <c r="I2398" s="1"/>
      <c r="J2398" s="2"/>
      <c r="K2398" s="5" t="s">
        <v>8971</v>
      </c>
      <c r="M2398" s="18"/>
      <c r="N2398" s="1"/>
      <c r="O2398" s="1"/>
      <c r="P2398" s="21" t="str">
        <f>IF(ISNUMBER(MATCH($C2398,StackableKinds,0)), TRUE, "")</f>
        <v/>
      </c>
    </row>
    <row r="2399" spans="1:17" x14ac:dyDescent="0.2">
      <c r="A2399" s="19" t="str">
        <f>_xlfn.IFNA(VLOOKUP($B2399,Keys!$A:$B,2,FALSE),_xlfn.IFNA(VLOOKUP($B2399,Keys!$D:$E,2,FALSE),VLOOKUP($B2399,Keys!$G:$H,2,FALSE)))</f>
        <v>0x0000002C2F9A960D</v>
      </c>
      <c r="B2399" s="5" t="s">
        <v>6336</v>
      </c>
      <c r="C2399" s="5" t="s">
        <v>9467</v>
      </c>
      <c r="D2399" s="5" t="s">
        <v>16862</v>
      </c>
      <c r="E2399" s="5"/>
      <c r="F2399" s="1"/>
      <c r="G2399" s="5" t="s">
        <v>8971</v>
      </c>
      <c r="H2399" s="1"/>
      <c r="I2399" s="1"/>
      <c r="J2399" s="2"/>
      <c r="K2399" s="5" t="s">
        <v>8971</v>
      </c>
      <c r="M2399" s="18"/>
      <c r="N2399" s="1"/>
      <c r="O2399" s="1"/>
      <c r="P2399" s="21" t="str">
        <f>IF(ISNUMBER(MATCH($C2399,StackableKinds,0)), TRUE, "")</f>
        <v/>
      </c>
    </row>
    <row r="2400" spans="1:17" x14ac:dyDescent="0.2">
      <c r="A2400" s="19" t="str">
        <f>_xlfn.IFNA(VLOOKUP($B2400,Keys!$A:$B,2,FALSE),_xlfn.IFNA(VLOOKUP($B2400,Keys!$D:$E,2,FALSE),VLOOKUP($B2400,Keys!$G:$H,2,FALSE)))</f>
        <v>0x00000029ECE8AB66</v>
      </c>
      <c r="B2400" s="5" t="s">
        <v>6338</v>
      </c>
      <c r="C2400" s="5" t="s">
        <v>9467</v>
      </c>
      <c r="D2400" s="5" t="s">
        <v>16862</v>
      </c>
      <c r="E2400" s="5"/>
      <c r="F2400" s="1"/>
      <c r="G2400" s="5" t="s">
        <v>8971</v>
      </c>
      <c r="H2400" s="1"/>
      <c r="I2400" s="1"/>
      <c r="J2400" s="2"/>
      <c r="K2400" s="5" t="s">
        <v>8971</v>
      </c>
      <c r="M2400" s="18"/>
      <c r="N2400" s="1"/>
      <c r="O2400" s="1"/>
      <c r="P2400" s="21" t="str">
        <f>IF(ISNUMBER(MATCH($C2400,StackableKinds,0)), TRUE, "")</f>
        <v/>
      </c>
    </row>
    <row r="2401" spans="1:16" x14ac:dyDescent="0.2">
      <c r="A2401" s="19" t="str">
        <f>_xlfn.IFNA(VLOOKUP($B2401,Keys!$A:$B,2,FALSE),_xlfn.IFNA(VLOOKUP($B2401,Keys!$D:$E,2,FALSE),VLOOKUP($B2401,Keys!$G:$H,2,FALSE)))</f>
        <v>0x0000002BED7A1ED4</v>
      </c>
      <c r="B2401" s="5" t="s">
        <v>6340</v>
      </c>
      <c r="C2401" s="5" t="s">
        <v>9467</v>
      </c>
      <c r="D2401" s="5" t="s">
        <v>16862</v>
      </c>
      <c r="E2401" s="5"/>
      <c r="F2401" s="1"/>
      <c r="G2401" s="5" t="s">
        <v>8971</v>
      </c>
      <c r="H2401" s="1"/>
      <c r="I2401" s="1"/>
      <c r="J2401" s="2"/>
      <c r="K2401" s="5" t="s">
        <v>8971</v>
      </c>
      <c r="M2401" s="18"/>
      <c r="N2401" s="1"/>
      <c r="O2401" s="1"/>
      <c r="P2401" s="21" t="str">
        <f>IF(ISNUMBER(MATCH($C2401,StackableKinds,0)), TRUE, "")</f>
        <v/>
      </c>
    </row>
    <row r="2402" spans="1:16" x14ac:dyDescent="0.2">
      <c r="A2402" s="19" t="str">
        <f>_xlfn.IFNA(VLOOKUP($B2402,Keys!$A:$B,2,FALSE),_xlfn.IFNA(VLOOKUP($B2402,Keys!$D:$E,2,FALSE),VLOOKUP($B2402,Keys!$G:$H,2,FALSE)))</f>
        <v>0x00000016353F1CCF</v>
      </c>
      <c r="B2402" s="5" t="s">
        <v>6342</v>
      </c>
      <c r="C2402" s="5" t="s">
        <v>9467</v>
      </c>
      <c r="D2402" s="5" t="s">
        <v>16862</v>
      </c>
      <c r="E2402" s="5"/>
      <c r="F2402" s="1"/>
      <c r="G2402" s="5" t="s">
        <v>8971</v>
      </c>
      <c r="H2402" s="1"/>
      <c r="I2402" s="1"/>
      <c r="J2402" s="2"/>
      <c r="K2402" s="5" t="s">
        <v>8971</v>
      </c>
      <c r="M2402" s="18"/>
      <c r="N2402" s="1"/>
      <c r="O2402" s="1"/>
      <c r="P2402" s="21" t="str">
        <f>IF(ISNUMBER(MATCH($C2402,StackableKinds,0)), TRUE, "")</f>
        <v/>
      </c>
    </row>
    <row r="2403" spans="1:16" x14ac:dyDescent="0.2">
      <c r="A2403" s="19" t="str">
        <f>_xlfn.IFNA(VLOOKUP($B2403,Keys!$A:$B,2,FALSE),_xlfn.IFNA(VLOOKUP($B2403,Keys!$D:$E,2,FALSE),VLOOKUP($B2403,Keys!$G:$H,2,FALSE)))</f>
        <v>0x000000265F9B6877</v>
      </c>
      <c r="B2403" s="5" t="s">
        <v>6344</v>
      </c>
      <c r="C2403" s="5" t="s">
        <v>9467</v>
      </c>
      <c r="D2403" s="5" t="s">
        <v>16862</v>
      </c>
      <c r="E2403" s="5"/>
      <c r="F2403" s="1"/>
      <c r="G2403" s="5" t="s">
        <v>8971</v>
      </c>
      <c r="H2403" s="1"/>
      <c r="I2403" s="1"/>
      <c r="J2403" s="2"/>
      <c r="K2403" s="5" t="s">
        <v>8971</v>
      </c>
      <c r="M2403" s="18"/>
      <c r="N2403" s="1"/>
      <c r="O2403" s="1"/>
      <c r="P2403" s="21" t="str">
        <f>IF(ISNUMBER(MATCH($C2403,StackableKinds,0)), TRUE, "")</f>
        <v/>
      </c>
    </row>
    <row r="2404" spans="1:16" x14ac:dyDescent="0.2">
      <c r="A2404" s="19" t="str">
        <f>_xlfn.IFNA(VLOOKUP($B2404,Keys!$A:$B,2,FALSE),_xlfn.IFNA(VLOOKUP($B2404,Keys!$D:$E,2,FALSE),VLOOKUP($B2404,Keys!$G:$H,2,FALSE)))</f>
        <v>0x000000299FA55530</v>
      </c>
      <c r="B2404" s="5" t="s">
        <v>6346</v>
      </c>
      <c r="C2404" s="5" t="s">
        <v>9467</v>
      </c>
      <c r="D2404" s="5" t="s">
        <v>16862</v>
      </c>
      <c r="E2404" s="5"/>
      <c r="F2404" s="1"/>
      <c r="G2404" s="5" t="s">
        <v>8971</v>
      </c>
      <c r="H2404" s="1"/>
      <c r="I2404" s="1"/>
      <c r="J2404" s="2"/>
      <c r="K2404" s="5" t="s">
        <v>8971</v>
      </c>
      <c r="M2404" s="18"/>
      <c r="N2404" s="1"/>
      <c r="O2404" s="1"/>
      <c r="P2404" s="21" t="str">
        <f>IF(ISNUMBER(MATCH($C2404,StackableKinds,0)), TRUE, "")</f>
        <v/>
      </c>
    </row>
    <row r="2405" spans="1:16" x14ac:dyDescent="0.2">
      <c r="A2405" s="19" t="str">
        <f>_xlfn.IFNA(VLOOKUP($B2405,Keys!$A:$B,2,FALSE),_xlfn.IFNA(VLOOKUP($B2405,Keys!$D:$E,2,FALSE),VLOOKUP($B2405,Keys!$G:$H,2,FALSE)))</f>
        <v>0x00000022900B7659</v>
      </c>
      <c r="B2405" s="5" t="s">
        <v>6348</v>
      </c>
      <c r="C2405" s="5" t="s">
        <v>9467</v>
      </c>
      <c r="D2405" s="5" t="s">
        <v>16862</v>
      </c>
      <c r="E2405" s="5"/>
      <c r="F2405" s="1"/>
      <c r="G2405" s="5" t="s">
        <v>8971</v>
      </c>
      <c r="H2405" s="1"/>
      <c r="I2405" s="1"/>
      <c r="J2405" s="2"/>
      <c r="K2405" s="5" t="s">
        <v>8971</v>
      </c>
      <c r="M2405" s="18"/>
      <c r="N2405" s="1"/>
      <c r="O2405" s="1"/>
      <c r="P2405" s="21" t="str">
        <f>IF(ISNUMBER(MATCH($C2405,StackableKinds,0)), TRUE, "")</f>
        <v/>
      </c>
    </row>
    <row r="2406" spans="1:16" x14ac:dyDescent="0.2">
      <c r="A2406" s="19" t="str">
        <f>_xlfn.IFNA(VLOOKUP($B2406,Keys!$A:$B,2,FALSE),_xlfn.IFNA(VLOOKUP($B2406,Keys!$D:$E,2,FALSE),VLOOKUP($B2406,Keys!$G:$H,2,FALSE)))</f>
        <v>0x00000019E1FA1E57</v>
      </c>
      <c r="B2406" s="5" t="s">
        <v>6350</v>
      </c>
      <c r="C2406" s="5" t="s">
        <v>9467</v>
      </c>
      <c r="D2406" s="5" t="s">
        <v>16862</v>
      </c>
      <c r="E2406" s="5"/>
      <c r="F2406" s="1"/>
      <c r="G2406" s="5" t="s">
        <v>8971</v>
      </c>
      <c r="H2406" s="1"/>
      <c r="I2406" s="1"/>
      <c r="J2406" s="2"/>
      <c r="K2406" s="5" t="s">
        <v>8971</v>
      </c>
      <c r="M2406" s="18"/>
      <c r="N2406" s="1"/>
      <c r="O2406" s="1"/>
      <c r="P2406" s="21" t="str">
        <f>IF(ISNUMBER(MATCH($C2406,StackableKinds,0)), TRUE, "")</f>
        <v/>
      </c>
    </row>
    <row r="2407" spans="1:16" x14ac:dyDescent="0.2">
      <c r="A2407" s="19" t="str">
        <f>_xlfn.IFNA(VLOOKUP($B2407,Keys!$A:$B,2,FALSE),_xlfn.IFNA(VLOOKUP($B2407,Keys!$D:$E,2,FALSE),VLOOKUP($B2407,Keys!$G:$H,2,FALSE)))</f>
        <v>0x00000026912E3089</v>
      </c>
      <c r="B2407" s="5" t="s">
        <v>6352</v>
      </c>
      <c r="C2407" s="5" t="s">
        <v>9467</v>
      </c>
      <c r="D2407" s="5" t="s">
        <v>16862</v>
      </c>
      <c r="E2407" s="5"/>
      <c r="F2407" s="1"/>
      <c r="G2407" s="5" t="s">
        <v>8971</v>
      </c>
      <c r="H2407" s="1"/>
      <c r="I2407" s="1"/>
      <c r="J2407" s="2"/>
      <c r="K2407" s="5" t="s">
        <v>8971</v>
      </c>
      <c r="M2407" s="18"/>
      <c r="N2407" s="1"/>
      <c r="O2407" s="1"/>
      <c r="P2407" s="21" t="str">
        <f>IF(ISNUMBER(MATCH($C2407,StackableKinds,0)), TRUE, "")</f>
        <v/>
      </c>
    </row>
    <row r="2408" spans="1:16" x14ac:dyDescent="0.2">
      <c r="A2408" s="19" t="str">
        <f>_xlfn.IFNA(VLOOKUP($B2408,Keys!$A:$B,2,FALSE),_xlfn.IFNA(VLOOKUP($B2408,Keys!$D:$E,2,FALSE),VLOOKUP($B2408,Keys!$G:$H,2,FALSE)))</f>
        <v>0x00000019FED16828</v>
      </c>
      <c r="B2408" s="5" t="s">
        <v>6354</v>
      </c>
      <c r="C2408" s="5" t="s">
        <v>9467</v>
      </c>
      <c r="D2408" s="5" t="s">
        <v>16862</v>
      </c>
      <c r="E2408" s="5"/>
      <c r="F2408" s="1"/>
      <c r="G2408" s="5" t="s">
        <v>8971</v>
      </c>
      <c r="H2408" s="1"/>
      <c r="I2408" s="1"/>
      <c r="J2408" s="2"/>
      <c r="K2408" s="5" t="s">
        <v>8971</v>
      </c>
      <c r="M2408" s="18"/>
      <c r="N2408" s="1"/>
      <c r="O2408" s="1"/>
      <c r="P2408" s="21" t="str">
        <f>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16862</v>
      </c>
      <c r="E2409" s="5"/>
      <c r="F2409" s="1"/>
      <c r="G2409" s="5" t="s">
        <v>8971</v>
      </c>
      <c r="H2409" s="1"/>
      <c r="I2409" s="1"/>
      <c r="J2409" s="2"/>
      <c r="K2409" s="5" t="s">
        <v>8971</v>
      </c>
      <c r="M2409" s="18"/>
      <c r="N2409" s="1"/>
      <c r="O2409" s="1"/>
      <c r="P2409" s="21" t="str">
        <f>IF(ISNUMBER(MATCH($C2409,StackableKinds,0)), TRUE, "")</f>
        <v/>
      </c>
    </row>
    <row r="2410" spans="1:16" x14ac:dyDescent="0.2">
      <c r="A2410" s="19" t="str">
        <f>_xlfn.IFNA(VLOOKUP($B2410,Keys!$A:$B,2,FALSE),_xlfn.IFNA(VLOOKUP($B2410,Keys!$D:$E,2,FALSE),VLOOKUP($B2410,Keys!$G:$H,2,FALSE)))</f>
        <v>0x000000296700F099</v>
      </c>
      <c r="B2410" s="5" t="s">
        <v>6358</v>
      </c>
      <c r="C2410" s="5" t="s">
        <v>9467</v>
      </c>
      <c r="D2410" s="5" t="s">
        <v>16862</v>
      </c>
      <c r="E2410" s="5"/>
      <c r="F2410" s="1"/>
      <c r="G2410" s="5" t="s">
        <v>8971</v>
      </c>
      <c r="H2410" s="1"/>
      <c r="I2410" s="1"/>
      <c r="J2410" s="2"/>
      <c r="K2410" s="5" t="s">
        <v>8971</v>
      </c>
      <c r="M2410" s="18"/>
      <c r="N2410" s="1"/>
      <c r="O2410" s="1"/>
      <c r="P2410" s="21" t="str">
        <f>IF(ISNUMBER(MATCH($C2410,StackableKinds,0)), TRUE, "")</f>
        <v/>
      </c>
    </row>
    <row r="2411" spans="1:16" x14ac:dyDescent="0.2">
      <c r="A2411" s="19" t="str">
        <f>_xlfn.IFNA(VLOOKUP($B2411,Keys!$A:$B,2,FALSE),_xlfn.IFNA(VLOOKUP($B2411,Keys!$D:$E,2,FALSE),VLOOKUP($B2411,Keys!$G:$H,2,FALSE)))</f>
        <v>0x00000026F5308250</v>
      </c>
      <c r="B2411" s="5" t="s">
        <v>6360</v>
      </c>
      <c r="C2411" s="5" t="s">
        <v>9467</v>
      </c>
      <c r="D2411" s="5" t="s">
        <v>16862</v>
      </c>
      <c r="E2411" s="5"/>
      <c r="F2411" s="1"/>
      <c r="G2411" s="5" t="s">
        <v>8971</v>
      </c>
      <c r="H2411" s="1"/>
      <c r="I2411" s="1"/>
      <c r="J2411" s="2"/>
      <c r="K2411" s="5" t="s">
        <v>8971</v>
      </c>
      <c r="M2411" s="18"/>
      <c r="N2411" s="1"/>
      <c r="O2411" s="1"/>
      <c r="P2411" s="21" t="str">
        <f>IF(ISNUMBER(MATCH($C2411,StackableKinds,0)), TRUE, "")</f>
        <v/>
      </c>
    </row>
    <row r="2412" spans="1:16" x14ac:dyDescent="0.2">
      <c r="A2412" s="19" t="e">
        <f>_xlfn.IFNA(VLOOKUP($B2412,Keys!$A:$B,2,FALSE),_xlfn.IFNA(VLOOKUP($B2412,Keys!$D:$E,2,FALSE),VLOOKUP($B2412,Keys!$G:$H,2,FALSE)))</f>
        <v>#N/A</v>
      </c>
      <c r="B2412" s="5" t="s">
        <v>9468</v>
      </c>
      <c r="C2412" s="5" t="s">
        <v>9467</v>
      </c>
      <c r="D2412" s="5" t="s">
        <v>16862</v>
      </c>
      <c r="E2412" s="5"/>
      <c r="F2412" s="1"/>
      <c r="G2412" s="5" t="s">
        <v>8971</v>
      </c>
      <c r="H2412" s="1"/>
      <c r="I2412" s="1"/>
      <c r="J2412" s="2"/>
      <c r="K2412" s="5" t="s">
        <v>8971</v>
      </c>
      <c r="M2412" s="18"/>
      <c r="N2412" s="1"/>
      <c r="O2412" s="1"/>
      <c r="P2412" s="21" t="str">
        <f>IF(ISNUMBER(MATCH($C2412,StackableKinds,0)), TRUE, "")</f>
        <v/>
      </c>
    </row>
    <row r="2413" spans="1:16" x14ac:dyDescent="0.2">
      <c r="A2413" s="19" t="str">
        <f>_xlfn.IFNA(VLOOKUP($B2413,Keys!$A:$B,2,FALSE),_xlfn.IFNA(VLOOKUP($B2413,Keys!$D:$E,2,FALSE),VLOOKUP($B2413,Keys!$G:$H,2,FALSE)))</f>
        <v>0x0000001DECA05910</v>
      </c>
      <c r="B2413" s="5" t="s">
        <v>6362</v>
      </c>
      <c r="C2413" s="5" t="s">
        <v>9467</v>
      </c>
      <c r="D2413" s="5" t="s">
        <v>16862</v>
      </c>
      <c r="E2413" s="5"/>
      <c r="F2413" s="1"/>
      <c r="G2413" s="5" t="s">
        <v>8971</v>
      </c>
      <c r="H2413" s="1"/>
      <c r="I2413" s="1"/>
      <c r="J2413" s="2"/>
      <c r="K2413" s="5" t="s">
        <v>8971</v>
      </c>
      <c r="M2413" s="18"/>
      <c r="N2413" s="1"/>
      <c r="O2413" s="1"/>
      <c r="P2413" s="21" t="str">
        <f>IF(ISNUMBER(MATCH($C2413,StackableKinds,0)), TRUE, "")</f>
        <v/>
      </c>
    </row>
    <row r="2414" spans="1:16" x14ac:dyDescent="0.2">
      <c r="A2414" s="19" t="str">
        <f>_xlfn.IFNA(VLOOKUP($B2414,Keys!$A:$B,2,FALSE),_xlfn.IFNA(VLOOKUP($B2414,Keys!$D:$E,2,FALSE),VLOOKUP($B2414,Keys!$G:$H,2,FALSE)))</f>
        <v>0x0000001D9D114922</v>
      </c>
      <c r="B2414" s="5" t="s">
        <v>6364</v>
      </c>
      <c r="C2414" s="5" t="s">
        <v>9467</v>
      </c>
      <c r="D2414" s="5" t="s">
        <v>16862</v>
      </c>
      <c r="E2414" s="5"/>
      <c r="F2414" s="1"/>
      <c r="G2414" s="5" t="s">
        <v>8971</v>
      </c>
      <c r="H2414" s="1"/>
      <c r="I2414" s="1"/>
      <c r="J2414" s="2"/>
      <c r="K2414" s="5" t="s">
        <v>8971</v>
      </c>
      <c r="M2414" s="18"/>
      <c r="N2414" s="1"/>
      <c r="O2414" s="1"/>
      <c r="P2414" s="21" t="str">
        <f>IF(ISNUMBER(MATCH($C2414,StackableKinds,0)), TRUE, "")</f>
        <v/>
      </c>
    </row>
    <row r="2415" spans="1:16" x14ac:dyDescent="0.2">
      <c r="A2415" s="19" t="str">
        <f>_xlfn.IFNA(VLOOKUP($B2415,Keys!$A:$B,2,FALSE),_xlfn.IFNA(VLOOKUP($B2415,Keys!$D:$E,2,FALSE),VLOOKUP($B2415,Keys!$G:$H,2,FALSE)))</f>
        <v>0x000000162EFD9DA4</v>
      </c>
      <c r="B2415" s="5" t="s">
        <v>6366</v>
      </c>
      <c r="C2415" s="5" t="s">
        <v>9467</v>
      </c>
      <c r="D2415" s="5" t="s">
        <v>16862</v>
      </c>
      <c r="E2415" s="5"/>
      <c r="F2415" s="1"/>
      <c r="G2415" s="5" t="s">
        <v>8971</v>
      </c>
      <c r="H2415" s="1"/>
      <c r="I2415" s="1"/>
      <c r="J2415" s="2"/>
      <c r="K2415" s="5" t="s">
        <v>8971</v>
      </c>
      <c r="M2415" s="18"/>
      <c r="N2415" s="1"/>
      <c r="O2415" s="1"/>
      <c r="P2415" s="21" t="str">
        <f>IF(ISNUMBER(MATCH($C2415,StackableKinds,0)), TRUE, "")</f>
        <v/>
      </c>
    </row>
    <row r="2416" spans="1:16" x14ac:dyDescent="0.2">
      <c r="A2416" s="19" t="str">
        <f>_xlfn.IFNA(VLOOKUP($B2416,Keys!$A:$B,2,FALSE),_xlfn.IFNA(VLOOKUP($B2416,Keys!$D:$E,2,FALSE),VLOOKUP($B2416,Keys!$G:$H,2,FALSE)))</f>
        <v>0x00000029579F265B</v>
      </c>
      <c r="B2416" s="5" t="s">
        <v>6368</v>
      </c>
      <c r="C2416" s="5" t="s">
        <v>9467</v>
      </c>
      <c r="D2416" s="5" t="s">
        <v>16862</v>
      </c>
      <c r="E2416" s="5"/>
      <c r="F2416" s="1"/>
      <c r="G2416" s="5" t="s">
        <v>8971</v>
      </c>
      <c r="H2416" s="1"/>
      <c r="I2416" s="1"/>
      <c r="J2416" s="2"/>
      <c r="K2416" s="5" t="s">
        <v>8971</v>
      </c>
      <c r="M2416" s="18"/>
      <c r="N2416" s="1"/>
      <c r="O2416" s="1"/>
      <c r="P2416" s="21" t="str">
        <f>IF(ISNUMBER(MATCH($C2416,StackableKinds,0)), TRUE, "")</f>
        <v/>
      </c>
    </row>
    <row r="2417" spans="1:16" x14ac:dyDescent="0.2">
      <c r="A2417" s="19" t="str">
        <f>_xlfn.IFNA(VLOOKUP($B2417,Keys!$A:$B,2,FALSE),_xlfn.IFNA(VLOOKUP($B2417,Keys!$D:$E,2,FALSE),VLOOKUP($B2417,Keys!$G:$H,2,FALSE)))</f>
        <v>0x00000021929FBB9B</v>
      </c>
      <c r="B2417" s="5" t="s">
        <v>6370</v>
      </c>
      <c r="C2417" s="5" t="s">
        <v>9467</v>
      </c>
      <c r="D2417" s="5" t="s">
        <v>16862</v>
      </c>
      <c r="E2417" s="5"/>
      <c r="F2417" s="1"/>
      <c r="G2417" s="5" t="s">
        <v>8971</v>
      </c>
      <c r="H2417" s="1"/>
      <c r="I2417" s="1"/>
      <c r="J2417" s="2"/>
      <c r="K2417" s="5" t="s">
        <v>8971</v>
      </c>
      <c r="M2417" s="18"/>
      <c r="N2417" s="1"/>
      <c r="O2417" s="1"/>
      <c r="P2417" s="21" t="str">
        <f>IF(ISNUMBER(MATCH($C2417,StackableKinds,0)), TRUE, "")</f>
        <v/>
      </c>
    </row>
    <row r="2418" spans="1:16" x14ac:dyDescent="0.2">
      <c r="A2418" s="19" t="str">
        <f>_xlfn.IFNA(VLOOKUP($B2418,Keys!$A:$B,2,FALSE),_xlfn.IFNA(VLOOKUP($B2418,Keys!$D:$E,2,FALSE),VLOOKUP($B2418,Keys!$G:$H,2,FALSE)))</f>
        <v>0x0000002006FBE04A</v>
      </c>
      <c r="B2418" s="5" t="s">
        <v>6372</v>
      </c>
      <c r="C2418" s="5" t="s">
        <v>9467</v>
      </c>
      <c r="D2418" s="5" t="s">
        <v>16862</v>
      </c>
      <c r="E2418" s="5"/>
      <c r="F2418" s="1"/>
      <c r="G2418" s="5" t="s">
        <v>8971</v>
      </c>
      <c r="H2418" s="1"/>
      <c r="I2418" s="1"/>
      <c r="J2418" s="2"/>
      <c r="K2418" s="5" t="s">
        <v>8971</v>
      </c>
      <c r="M2418" s="18"/>
      <c r="N2418" s="1"/>
      <c r="O2418" s="1"/>
      <c r="P2418" s="21" t="str">
        <f>IF(ISNUMBER(MATCH($C2418,StackableKinds,0)), TRUE, "")</f>
        <v/>
      </c>
    </row>
    <row r="2419" spans="1:16" x14ac:dyDescent="0.2">
      <c r="A2419" s="19" t="str">
        <f>_xlfn.IFNA(VLOOKUP($B2419,Keys!$A:$B,2,FALSE),_xlfn.IFNA(VLOOKUP($B2419,Keys!$D:$E,2,FALSE),VLOOKUP($B2419,Keys!$G:$H,2,FALSE)))</f>
        <v>0x000000209428F4A0</v>
      </c>
      <c r="B2419" s="5" t="s">
        <v>6374</v>
      </c>
      <c r="C2419" s="5" t="s">
        <v>9467</v>
      </c>
      <c r="D2419" s="5" t="s">
        <v>16862</v>
      </c>
      <c r="E2419" s="5"/>
      <c r="F2419" s="1"/>
      <c r="G2419" s="5" t="s">
        <v>8971</v>
      </c>
      <c r="H2419" s="1"/>
      <c r="I2419" s="1"/>
      <c r="J2419" s="2"/>
      <c r="K2419" s="5" t="s">
        <v>8971</v>
      </c>
      <c r="M2419" s="18"/>
      <c r="N2419" s="1"/>
      <c r="O2419" s="1"/>
      <c r="P2419" s="21" t="str">
        <f>IF(ISNUMBER(MATCH($C2419,StackableKinds,0)), TRUE, "")</f>
        <v/>
      </c>
    </row>
    <row r="2420" spans="1:16" x14ac:dyDescent="0.2">
      <c r="A2420" s="19" t="str">
        <f>_xlfn.IFNA(VLOOKUP($B2420,Keys!$A:$B,2,FALSE),_xlfn.IFNA(VLOOKUP($B2420,Keys!$D:$E,2,FALSE),VLOOKUP($B2420,Keys!$G:$H,2,FALSE)))</f>
        <v>0x00000020A5C0EE3D</v>
      </c>
      <c r="B2420" s="5" t="s">
        <v>6376</v>
      </c>
      <c r="C2420" s="5" t="s">
        <v>9467</v>
      </c>
      <c r="D2420" s="5" t="s">
        <v>16862</v>
      </c>
      <c r="E2420" s="5"/>
      <c r="F2420" s="1"/>
      <c r="G2420" s="5" t="s">
        <v>8971</v>
      </c>
      <c r="H2420" s="1"/>
      <c r="I2420" s="1"/>
      <c r="J2420" s="2"/>
      <c r="K2420" s="5" t="s">
        <v>8971</v>
      </c>
      <c r="M2420" s="18"/>
      <c r="N2420" s="1"/>
      <c r="O2420" s="1"/>
      <c r="P2420" s="21" t="str">
        <f>IF(ISNUMBER(MATCH($C2420,StackableKinds,0)), TRUE, "")</f>
        <v/>
      </c>
    </row>
    <row r="2421" spans="1:16" x14ac:dyDescent="0.2">
      <c r="A2421" s="19" t="str">
        <f>_xlfn.IFNA(VLOOKUP($B2421,Keys!$A:$B,2,FALSE),_xlfn.IFNA(VLOOKUP($B2421,Keys!$D:$E,2,FALSE),VLOOKUP($B2421,Keys!$G:$H,2,FALSE)))</f>
        <v>0x0000002003B7E589</v>
      </c>
      <c r="B2421" s="5" t="s">
        <v>6378</v>
      </c>
      <c r="C2421" s="5" t="s">
        <v>9467</v>
      </c>
      <c r="D2421" s="5" t="s">
        <v>16862</v>
      </c>
      <c r="E2421" s="5"/>
      <c r="F2421" s="1"/>
      <c r="G2421" s="5" t="s">
        <v>8971</v>
      </c>
      <c r="H2421" s="1"/>
      <c r="I2421" s="1"/>
      <c r="J2421" s="2"/>
      <c r="K2421" s="5" t="s">
        <v>8971</v>
      </c>
      <c r="M2421" s="18"/>
      <c r="N2421" s="1"/>
      <c r="O2421" s="1"/>
      <c r="P2421" s="21" t="str">
        <f>IF(ISNUMBER(MATCH($C2421,StackableKinds,0)), TRUE, "")</f>
        <v/>
      </c>
    </row>
    <row r="2422" spans="1:16" x14ac:dyDescent="0.2">
      <c r="A2422" s="19" t="str">
        <f>_xlfn.IFNA(VLOOKUP($B2422,Keys!$A:$B,2,FALSE),_xlfn.IFNA(VLOOKUP($B2422,Keys!$D:$E,2,FALSE),VLOOKUP($B2422,Keys!$G:$H,2,FALSE)))</f>
        <v>0x00000034BC5D511A</v>
      </c>
      <c r="B2422" s="5" t="s">
        <v>6380</v>
      </c>
      <c r="C2422" s="5" t="s">
        <v>9467</v>
      </c>
      <c r="D2422" s="5" t="s">
        <v>16862</v>
      </c>
      <c r="E2422" s="5"/>
      <c r="F2422" s="1"/>
      <c r="G2422" s="5" t="s">
        <v>8971</v>
      </c>
      <c r="H2422" s="1"/>
      <c r="I2422" s="1"/>
      <c r="J2422" s="2"/>
      <c r="K2422" s="5" t="s">
        <v>8971</v>
      </c>
      <c r="M2422" s="18"/>
      <c r="N2422" s="1"/>
      <c r="O2422" s="1"/>
      <c r="P2422" s="21" t="str">
        <f>IF(ISNUMBER(MATCH($C2422,StackableKinds,0)), TRUE, "")</f>
        <v/>
      </c>
    </row>
    <row r="2423" spans="1:16" x14ac:dyDescent="0.2">
      <c r="A2423" s="19" t="str">
        <f>_xlfn.IFNA(VLOOKUP($B2423,Keys!$A:$B,2,FALSE),_xlfn.IFNA(VLOOKUP($B2423,Keys!$D:$E,2,FALSE),VLOOKUP($B2423,Keys!$G:$H,2,FALSE)))</f>
        <v>0x00000020D2AADD54</v>
      </c>
      <c r="B2423" s="5" t="s">
        <v>6382</v>
      </c>
      <c r="C2423" s="5" t="s">
        <v>9467</v>
      </c>
      <c r="D2423" s="5" t="s">
        <v>16862</v>
      </c>
      <c r="E2423" s="5"/>
      <c r="F2423" s="1"/>
      <c r="G2423" s="5" t="s">
        <v>8971</v>
      </c>
      <c r="H2423" s="1"/>
      <c r="I2423" s="1"/>
      <c r="J2423" s="2"/>
      <c r="K2423" s="5" t="s">
        <v>8971</v>
      </c>
      <c r="M2423" s="18"/>
      <c r="N2423" s="1"/>
      <c r="O2423" s="1"/>
      <c r="P2423" s="21" t="str">
        <f>IF(ISNUMBER(MATCH($C2423,StackableKinds,0)), TRUE, "")</f>
        <v/>
      </c>
    </row>
    <row r="2424" spans="1:16" x14ac:dyDescent="0.2">
      <c r="A2424" s="19" t="str">
        <f>_xlfn.IFNA(VLOOKUP($B2424,Keys!$A:$B,2,FALSE),_xlfn.IFNA(VLOOKUP($B2424,Keys!$D:$E,2,FALSE),VLOOKUP($B2424,Keys!$G:$H,2,FALSE)))</f>
        <v>0x0000002A51B2C7F5</v>
      </c>
      <c r="B2424" s="5" t="s">
        <v>6384</v>
      </c>
      <c r="C2424" s="5" t="s">
        <v>9467</v>
      </c>
      <c r="D2424" s="5" t="s">
        <v>16862</v>
      </c>
      <c r="E2424" s="5"/>
      <c r="F2424" s="1"/>
      <c r="G2424" s="5" t="s">
        <v>8971</v>
      </c>
      <c r="H2424" s="1"/>
      <c r="I2424" s="1"/>
      <c r="J2424" s="2"/>
      <c r="K2424" s="5" t="s">
        <v>8971</v>
      </c>
      <c r="M2424" s="18"/>
      <c r="N2424" s="1"/>
      <c r="O2424" s="1"/>
      <c r="P2424" s="21" t="str">
        <f>IF(ISNUMBER(MATCH($C2424,StackableKinds,0)), TRUE, "")</f>
        <v/>
      </c>
    </row>
    <row r="2425" spans="1:16" x14ac:dyDescent="0.2">
      <c r="A2425" s="19" t="str">
        <f>_xlfn.IFNA(VLOOKUP($B2425,Keys!$A:$B,2,FALSE),_xlfn.IFNA(VLOOKUP($B2425,Keys!$D:$E,2,FALSE),VLOOKUP($B2425,Keys!$G:$H,2,FALSE)))</f>
        <v>0x00000028D8A95251</v>
      </c>
      <c r="B2425" s="5" t="s">
        <v>6386</v>
      </c>
      <c r="C2425" s="5" t="s">
        <v>9467</v>
      </c>
      <c r="D2425" s="5" t="s">
        <v>16862</v>
      </c>
      <c r="E2425" s="5"/>
      <c r="F2425" s="1"/>
      <c r="G2425" s="5" t="s">
        <v>8971</v>
      </c>
      <c r="H2425" s="1"/>
      <c r="I2425" s="1"/>
      <c r="J2425" s="2"/>
      <c r="K2425" s="5" t="s">
        <v>8971</v>
      </c>
      <c r="M2425" s="18"/>
      <c r="N2425" s="1"/>
      <c r="O2425" s="1"/>
      <c r="P2425" s="21" t="str">
        <f>IF(ISNUMBER(MATCH($C2425,StackableKinds,0)), TRUE, "")</f>
        <v/>
      </c>
    </row>
    <row r="2426" spans="1:16" x14ac:dyDescent="0.2">
      <c r="A2426" s="19" t="str">
        <f>_xlfn.IFNA(VLOOKUP($B2426,Keys!$A:$B,2,FALSE),_xlfn.IFNA(VLOOKUP($B2426,Keys!$D:$E,2,FALSE),VLOOKUP($B2426,Keys!$G:$H,2,FALSE)))</f>
        <v>0x0000002182A881EE</v>
      </c>
      <c r="B2426" s="5" t="s">
        <v>6388</v>
      </c>
      <c r="C2426" s="5" t="s">
        <v>9467</v>
      </c>
      <c r="D2426" s="5" t="s">
        <v>16862</v>
      </c>
      <c r="E2426" s="5"/>
      <c r="F2426" s="1"/>
      <c r="G2426" s="5" t="s">
        <v>8971</v>
      </c>
      <c r="H2426" s="1"/>
      <c r="I2426" s="1"/>
      <c r="J2426" s="2"/>
      <c r="K2426" s="5" t="s">
        <v>8971</v>
      </c>
      <c r="M2426" s="18"/>
      <c r="N2426" s="1"/>
      <c r="O2426" s="1"/>
      <c r="P2426" s="21" t="str">
        <f>IF(ISNUMBER(MATCH($C2426,StackableKinds,0)), TRUE, "")</f>
        <v/>
      </c>
    </row>
    <row r="2427" spans="1:16" x14ac:dyDescent="0.2">
      <c r="A2427" s="19" t="str">
        <f>_xlfn.IFNA(VLOOKUP($B2427,Keys!$A:$B,2,FALSE),_xlfn.IFNA(VLOOKUP($B2427,Keys!$D:$E,2,FALSE),VLOOKUP($B2427,Keys!$G:$H,2,FALSE)))</f>
        <v>0x000000221DFFE17C</v>
      </c>
      <c r="B2427" s="5" t="s">
        <v>6390</v>
      </c>
      <c r="C2427" s="5" t="s">
        <v>9467</v>
      </c>
      <c r="D2427" s="5" t="s">
        <v>16862</v>
      </c>
      <c r="E2427" s="5"/>
      <c r="F2427" s="1"/>
      <c r="G2427" s="5" t="s">
        <v>8971</v>
      </c>
      <c r="H2427" s="1"/>
      <c r="I2427" s="1"/>
      <c r="J2427" s="2"/>
      <c r="K2427" s="5" t="s">
        <v>8971</v>
      </c>
      <c r="M2427" s="18"/>
      <c r="N2427" s="1"/>
      <c r="O2427" s="1"/>
      <c r="P2427" s="21" t="str">
        <f>IF(ISNUMBER(MATCH($C2427,StackableKinds,0)), TRUE, "")</f>
        <v/>
      </c>
    </row>
    <row r="2428" spans="1:16" x14ac:dyDescent="0.2">
      <c r="A2428" s="19" t="str">
        <f>_xlfn.IFNA(VLOOKUP($B2428,Keys!$A:$B,2,FALSE),_xlfn.IFNA(VLOOKUP($B2428,Keys!$D:$E,2,FALSE),VLOOKUP($B2428,Keys!$G:$H,2,FALSE)))</f>
        <v>0x0000002A48F852AF</v>
      </c>
      <c r="B2428" s="5" t="s">
        <v>6392</v>
      </c>
      <c r="C2428" s="5" t="s">
        <v>9467</v>
      </c>
      <c r="D2428" s="5" t="s">
        <v>16862</v>
      </c>
      <c r="E2428" s="5"/>
      <c r="F2428" s="1"/>
      <c r="G2428" s="5" t="s">
        <v>8971</v>
      </c>
      <c r="H2428" s="1"/>
      <c r="I2428" s="1"/>
      <c r="J2428" s="2"/>
      <c r="K2428" s="5" t="s">
        <v>8971</v>
      </c>
      <c r="M2428" s="18"/>
      <c r="N2428" s="1"/>
      <c r="O2428" s="1"/>
      <c r="P2428" s="21" t="str">
        <f>IF(ISNUMBER(MATCH($C2428,StackableKinds,0)), TRUE, "")</f>
        <v/>
      </c>
    </row>
    <row r="2429" spans="1:16" x14ac:dyDescent="0.2">
      <c r="A2429" s="19" t="str">
        <f>_xlfn.IFNA(VLOOKUP($B2429,Keys!$A:$B,2,FALSE),_xlfn.IFNA(VLOOKUP($B2429,Keys!$D:$E,2,FALSE),VLOOKUP($B2429,Keys!$G:$H,2,FALSE)))</f>
        <v>0x00000024208AE253</v>
      </c>
      <c r="B2429" s="5" t="s">
        <v>6394</v>
      </c>
      <c r="C2429" s="5" t="s">
        <v>9467</v>
      </c>
      <c r="D2429" s="5" t="s">
        <v>16862</v>
      </c>
      <c r="E2429" s="5"/>
      <c r="F2429" s="1"/>
      <c r="G2429" s="5" t="s">
        <v>8971</v>
      </c>
      <c r="H2429" s="1"/>
      <c r="I2429" s="1"/>
      <c r="J2429" s="2"/>
      <c r="K2429" s="5" t="s">
        <v>8971</v>
      </c>
      <c r="M2429" s="18"/>
      <c r="N2429" s="1"/>
      <c r="O2429" s="1"/>
      <c r="P2429" s="21" t="str">
        <f>IF(ISNUMBER(MATCH($C2429,StackableKinds,0)), TRUE, "")</f>
        <v/>
      </c>
    </row>
    <row r="2430" spans="1:16" x14ac:dyDescent="0.2">
      <c r="A2430" s="19" t="str">
        <f>_xlfn.IFNA(VLOOKUP($B2430,Keys!$A:$B,2,FALSE),_xlfn.IFNA(VLOOKUP($B2430,Keys!$D:$E,2,FALSE),VLOOKUP($B2430,Keys!$G:$H,2,FALSE)))</f>
        <v>0x00000023441B4C7D</v>
      </c>
      <c r="B2430" s="5" t="s">
        <v>6396</v>
      </c>
      <c r="C2430" s="5" t="s">
        <v>9467</v>
      </c>
      <c r="D2430" s="5" t="s">
        <v>16862</v>
      </c>
      <c r="E2430" s="5"/>
      <c r="F2430" s="1"/>
      <c r="G2430" s="5" t="s">
        <v>8971</v>
      </c>
      <c r="H2430" s="1"/>
      <c r="I2430" s="1"/>
      <c r="J2430" s="2"/>
      <c r="K2430" s="5" t="s">
        <v>8971</v>
      </c>
      <c r="M2430" s="18"/>
      <c r="N2430" s="1"/>
      <c r="O2430" s="1"/>
      <c r="P2430" s="21" t="str">
        <f>IF(ISNUMBER(MATCH($C2430,StackableKinds,0)), TRUE, "")</f>
        <v/>
      </c>
    </row>
    <row r="2431" spans="1:16" x14ac:dyDescent="0.2">
      <c r="A2431" s="19" t="str">
        <f>_xlfn.IFNA(VLOOKUP($B2431,Keys!$A:$B,2,FALSE),_xlfn.IFNA(VLOOKUP($B2431,Keys!$D:$E,2,FALSE),VLOOKUP($B2431,Keys!$G:$H,2,FALSE)))</f>
        <v>0x0000001FFF386CCB</v>
      </c>
      <c r="B2431" s="5" t="s">
        <v>6398</v>
      </c>
      <c r="C2431" s="5" t="s">
        <v>9467</v>
      </c>
      <c r="D2431" s="5" t="s">
        <v>16862</v>
      </c>
      <c r="E2431" s="5"/>
      <c r="F2431" s="1"/>
      <c r="G2431" s="5" t="s">
        <v>8971</v>
      </c>
      <c r="H2431" s="1"/>
      <c r="I2431" s="1"/>
      <c r="J2431" s="2"/>
      <c r="K2431" s="5" t="s">
        <v>8971</v>
      </c>
      <c r="M2431" s="18"/>
      <c r="N2431" s="1"/>
      <c r="O2431" s="1"/>
      <c r="P2431" s="21" t="str">
        <f>IF(ISNUMBER(MATCH($C2431,StackableKinds,0)), TRUE, "")</f>
        <v/>
      </c>
    </row>
    <row r="2432" spans="1:16" x14ac:dyDescent="0.2">
      <c r="A2432" s="19" t="str">
        <f>_xlfn.IFNA(VLOOKUP($B2432,Keys!$A:$B,2,FALSE),_xlfn.IFNA(VLOOKUP($B2432,Keys!$D:$E,2,FALSE),VLOOKUP($B2432,Keys!$G:$H,2,FALSE)))</f>
        <v>0x0000002328CF1ADD</v>
      </c>
      <c r="B2432" s="5" t="s">
        <v>6400</v>
      </c>
      <c r="C2432" s="5" t="s">
        <v>9467</v>
      </c>
      <c r="D2432" s="5" t="s">
        <v>16862</v>
      </c>
      <c r="E2432" s="5"/>
      <c r="F2432" s="1"/>
      <c r="G2432" s="5" t="s">
        <v>8971</v>
      </c>
      <c r="H2432" s="1"/>
      <c r="I2432" s="1"/>
      <c r="J2432" s="2"/>
      <c r="K2432" s="5" t="s">
        <v>8971</v>
      </c>
      <c r="M2432" s="18"/>
      <c r="N2432" s="1"/>
      <c r="O2432" s="1"/>
      <c r="P2432" s="21" t="str">
        <f>IF(ISNUMBER(MATCH($C2432,StackableKinds,0)), TRUE, "")</f>
        <v/>
      </c>
    </row>
    <row r="2433" spans="1:16" x14ac:dyDescent="0.2">
      <c r="A2433" s="19" t="str">
        <f>_xlfn.IFNA(VLOOKUP($B2433,Keys!$A:$B,2,FALSE),_xlfn.IFNA(VLOOKUP($B2433,Keys!$D:$E,2,FALSE),VLOOKUP($B2433,Keys!$G:$H,2,FALSE)))</f>
        <v>0x0000002319270040</v>
      </c>
      <c r="B2433" s="5" t="s">
        <v>6402</v>
      </c>
      <c r="C2433" s="5" t="s">
        <v>9467</v>
      </c>
      <c r="D2433" s="5" t="s">
        <v>16862</v>
      </c>
      <c r="E2433" s="5"/>
      <c r="F2433" s="1"/>
      <c r="G2433" s="5" t="s">
        <v>8971</v>
      </c>
      <c r="H2433" s="1"/>
      <c r="I2433" s="1"/>
      <c r="J2433" s="2"/>
      <c r="K2433" s="5" t="s">
        <v>8971</v>
      </c>
      <c r="M2433" s="18"/>
      <c r="N2433" s="1"/>
      <c r="O2433" s="1"/>
      <c r="P2433" s="21" t="str">
        <f>IF(ISNUMBER(MATCH($C2433,StackableKinds,0)), TRUE, "")</f>
        <v/>
      </c>
    </row>
    <row r="2434" spans="1:16" x14ac:dyDescent="0.2">
      <c r="A2434" s="19" t="str">
        <f>_xlfn.IFNA(VLOOKUP($B2434,Keys!$A:$B,2,FALSE),_xlfn.IFNA(VLOOKUP($B2434,Keys!$D:$E,2,FALSE),VLOOKUP($B2434,Keys!$G:$H,2,FALSE)))</f>
        <v>0x00000023BF500BF4</v>
      </c>
      <c r="B2434" s="5" t="s">
        <v>6404</v>
      </c>
      <c r="C2434" s="5" t="s">
        <v>9467</v>
      </c>
      <c r="D2434" s="5" t="s">
        <v>16862</v>
      </c>
      <c r="E2434" s="5"/>
      <c r="F2434" s="1"/>
      <c r="G2434" s="5" t="s">
        <v>8971</v>
      </c>
      <c r="H2434" s="1"/>
      <c r="I2434" s="1"/>
      <c r="J2434" s="2"/>
      <c r="K2434" s="5" t="s">
        <v>8971</v>
      </c>
      <c r="M2434" s="18"/>
      <c r="N2434" s="1"/>
      <c r="O2434" s="1"/>
      <c r="P2434" s="21" t="str">
        <f>IF(ISNUMBER(MATCH($C2434,StackableKinds,0)), TRUE, "")</f>
        <v/>
      </c>
    </row>
    <row r="2435" spans="1:16" x14ac:dyDescent="0.2">
      <c r="A2435" s="19" t="str">
        <f>_xlfn.IFNA(VLOOKUP($B2435,Keys!$A:$B,2,FALSE),_xlfn.IFNA(VLOOKUP($B2435,Keys!$D:$E,2,FALSE),VLOOKUP($B2435,Keys!$G:$H,2,FALSE)))</f>
        <v>0x00000024F1E410F1</v>
      </c>
      <c r="B2435" s="5" t="s">
        <v>6406</v>
      </c>
      <c r="C2435" s="5" t="s">
        <v>9467</v>
      </c>
      <c r="D2435" s="5" t="s">
        <v>16862</v>
      </c>
      <c r="E2435" s="5"/>
      <c r="F2435" s="1"/>
      <c r="G2435" s="5" t="s">
        <v>8971</v>
      </c>
      <c r="H2435" s="1"/>
      <c r="I2435" s="1"/>
      <c r="J2435" s="2"/>
      <c r="K2435" s="5" t="s">
        <v>8971</v>
      </c>
      <c r="M2435" s="18"/>
      <c r="N2435" s="1"/>
      <c r="O2435" s="1"/>
      <c r="P2435" s="21" t="str">
        <f>IF(ISNUMBER(MATCH($C2435,StackableKinds,0)), TRUE, "")</f>
        <v/>
      </c>
    </row>
    <row r="2436" spans="1:16" x14ac:dyDescent="0.2">
      <c r="A2436" s="19" t="str">
        <f>_xlfn.IFNA(VLOOKUP($B2436,Keys!$A:$B,2,FALSE),_xlfn.IFNA(VLOOKUP($B2436,Keys!$D:$E,2,FALSE),VLOOKUP($B2436,Keys!$G:$H,2,FALSE)))</f>
        <v>0x0000001EC22F220E</v>
      </c>
      <c r="B2436" s="5" t="s">
        <v>6408</v>
      </c>
      <c r="C2436" s="5" t="s">
        <v>9467</v>
      </c>
      <c r="D2436" s="5" t="s">
        <v>16862</v>
      </c>
      <c r="E2436" s="5"/>
      <c r="F2436" s="1"/>
      <c r="G2436" s="5" t="s">
        <v>8971</v>
      </c>
      <c r="H2436" s="1"/>
      <c r="I2436" s="1"/>
      <c r="J2436" s="2"/>
      <c r="K2436" s="5" t="s">
        <v>8971</v>
      </c>
      <c r="M2436" s="18"/>
      <c r="N2436" s="1"/>
      <c r="O2436" s="1"/>
      <c r="P2436" s="21" t="str">
        <f>IF(ISNUMBER(MATCH($C2436,StackableKinds,0)), TRUE, "")</f>
        <v/>
      </c>
    </row>
    <row r="2437" spans="1:16" x14ac:dyDescent="0.2">
      <c r="A2437" s="19" t="str">
        <f>_xlfn.IFNA(VLOOKUP($B2437,Keys!$A:$B,2,FALSE),_xlfn.IFNA(VLOOKUP($B2437,Keys!$D:$E,2,FALSE),VLOOKUP($B2437,Keys!$G:$H,2,FALSE)))</f>
        <v>0x00000023A9D25C98</v>
      </c>
      <c r="B2437" s="5" t="s">
        <v>6410</v>
      </c>
      <c r="C2437" s="5" t="s">
        <v>9467</v>
      </c>
      <c r="D2437" s="5" t="s">
        <v>16862</v>
      </c>
      <c r="E2437" s="5"/>
      <c r="F2437" s="1"/>
      <c r="G2437" s="5" t="s">
        <v>8971</v>
      </c>
      <c r="H2437" s="1"/>
      <c r="I2437" s="1"/>
      <c r="J2437" s="2"/>
      <c r="K2437" s="5" t="s">
        <v>8971</v>
      </c>
      <c r="M2437" s="18"/>
      <c r="N2437" s="1"/>
      <c r="O2437" s="1"/>
      <c r="P2437" s="21" t="str">
        <f>IF(ISNUMBER(MATCH($C2437,StackableKinds,0)), TRUE, "")</f>
        <v/>
      </c>
    </row>
    <row r="2438" spans="1:16" x14ac:dyDescent="0.2">
      <c r="A2438" s="19" t="str">
        <f>_xlfn.IFNA(VLOOKUP($B2438,Keys!$A:$B,2,FALSE),_xlfn.IFNA(VLOOKUP($B2438,Keys!$D:$E,2,FALSE),VLOOKUP($B2438,Keys!$G:$H,2,FALSE)))</f>
        <v>0x000000244B05F471</v>
      </c>
      <c r="B2438" s="5" t="s">
        <v>6412</v>
      </c>
      <c r="C2438" s="5" t="s">
        <v>9467</v>
      </c>
      <c r="D2438" s="5" t="s">
        <v>16862</v>
      </c>
      <c r="E2438" s="5"/>
      <c r="F2438" s="1"/>
      <c r="G2438" s="5" t="s">
        <v>8971</v>
      </c>
      <c r="H2438" s="1"/>
      <c r="I2438" s="1"/>
      <c r="J2438" s="2"/>
      <c r="K2438" s="5" t="s">
        <v>8971</v>
      </c>
      <c r="M2438" s="18"/>
      <c r="N2438" s="1"/>
      <c r="O2438" s="1"/>
      <c r="P2438" s="21" t="str">
        <f>IF(ISNUMBER(MATCH($C2438,StackableKinds,0)), TRUE, "")</f>
        <v/>
      </c>
    </row>
    <row r="2439" spans="1:16" x14ac:dyDescent="0.2">
      <c r="A2439" s="19" t="str">
        <f>_xlfn.IFNA(VLOOKUP($B2439,Keys!$A:$B,2,FALSE),_xlfn.IFNA(VLOOKUP($B2439,Keys!$D:$E,2,FALSE),VLOOKUP($B2439,Keys!$G:$H,2,FALSE)))</f>
        <v>0x0000001EF27230F7</v>
      </c>
      <c r="B2439" s="5" t="s">
        <v>6414</v>
      </c>
      <c r="C2439" s="5" t="s">
        <v>9467</v>
      </c>
      <c r="D2439" s="5" t="s">
        <v>16862</v>
      </c>
      <c r="E2439" s="5"/>
      <c r="F2439" s="1"/>
      <c r="G2439" s="5" t="s">
        <v>8971</v>
      </c>
      <c r="H2439" s="1"/>
      <c r="I2439" s="1"/>
      <c r="J2439" s="2"/>
      <c r="K2439" s="5" t="s">
        <v>8971</v>
      </c>
      <c r="M2439" s="18"/>
      <c r="N2439" s="1"/>
      <c r="O2439" s="1"/>
      <c r="P2439" s="21" t="str">
        <f>IF(ISNUMBER(MATCH($C2439,StackableKinds,0)), TRUE, "")</f>
        <v/>
      </c>
    </row>
    <row r="2440" spans="1:16" x14ac:dyDescent="0.2">
      <c r="A2440" s="19" t="str">
        <f>_xlfn.IFNA(VLOOKUP($B2440,Keys!$A:$B,2,FALSE),_xlfn.IFNA(VLOOKUP($B2440,Keys!$D:$E,2,FALSE),VLOOKUP($B2440,Keys!$G:$H,2,FALSE)))</f>
        <v>0x000000219B560E61</v>
      </c>
      <c r="B2440" s="5" t="s">
        <v>6416</v>
      </c>
      <c r="C2440" s="5" t="s">
        <v>9467</v>
      </c>
      <c r="D2440" s="5" t="s">
        <v>16862</v>
      </c>
      <c r="E2440" s="5"/>
      <c r="F2440" s="1"/>
      <c r="G2440" s="5" t="s">
        <v>8971</v>
      </c>
      <c r="H2440" s="1"/>
      <c r="I2440" s="1"/>
      <c r="J2440" s="2"/>
      <c r="K2440" s="5" t="s">
        <v>8971</v>
      </c>
      <c r="M2440" s="18"/>
      <c r="N2440" s="1"/>
      <c r="O2440" s="1"/>
      <c r="P2440" s="21" t="str">
        <f>IF(ISNUMBER(MATCH($C2440,StackableKinds,0)), TRUE, "")</f>
        <v/>
      </c>
    </row>
    <row r="2441" spans="1:16" x14ac:dyDescent="0.2">
      <c r="A2441" s="19" t="str">
        <f>_xlfn.IFNA(VLOOKUP($B2441,Keys!$A:$B,2,FALSE),_xlfn.IFNA(VLOOKUP($B2441,Keys!$D:$E,2,FALSE),VLOOKUP($B2441,Keys!$G:$H,2,FALSE)))</f>
        <v>0x000000196878CAD7</v>
      </c>
      <c r="B2441" s="5" t="s">
        <v>6418</v>
      </c>
      <c r="C2441" s="5" t="s">
        <v>9467</v>
      </c>
      <c r="D2441" s="5" t="s">
        <v>16862</v>
      </c>
      <c r="E2441" s="5"/>
      <c r="F2441" s="1"/>
      <c r="G2441" s="5" t="s">
        <v>8971</v>
      </c>
      <c r="H2441" s="1"/>
      <c r="I2441" s="1"/>
      <c r="J2441" s="2"/>
      <c r="K2441" s="5" t="s">
        <v>8971</v>
      </c>
      <c r="M2441" s="18"/>
      <c r="N2441" s="1"/>
      <c r="O2441" s="1"/>
      <c r="P2441" s="21" t="str">
        <f>IF(ISNUMBER(MATCH($C2441,StackableKinds,0)), TRUE, "")</f>
        <v/>
      </c>
    </row>
    <row r="2442" spans="1:16" x14ac:dyDescent="0.2">
      <c r="A2442" s="19" t="str">
        <f>_xlfn.IFNA(VLOOKUP($B2442,Keys!$A:$B,2,FALSE),_xlfn.IFNA(VLOOKUP($B2442,Keys!$D:$E,2,FALSE),VLOOKUP($B2442,Keys!$G:$H,2,FALSE)))</f>
        <v>0x0000002325CF4D59</v>
      </c>
      <c r="B2442" s="5" t="s">
        <v>6420</v>
      </c>
      <c r="C2442" s="5" t="s">
        <v>9467</v>
      </c>
      <c r="D2442" s="5" t="s">
        <v>16862</v>
      </c>
      <c r="E2442" s="5"/>
      <c r="F2442" s="1"/>
      <c r="G2442" s="5" t="s">
        <v>8971</v>
      </c>
      <c r="H2442" s="1"/>
      <c r="I2442" s="1"/>
      <c r="J2442" s="2"/>
      <c r="K2442" s="5" t="s">
        <v>8971</v>
      </c>
      <c r="M2442" s="18"/>
      <c r="N2442" s="1"/>
      <c r="O2442" s="1"/>
      <c r="P2442" s="21" t="str">
        <f>IF(ISNUMBER(MATCH($C2442,StackableKinds,0)), TRUE, "")</f>
        <v/>
      </c>
    </row>
    <row r="2443" spans="1:16" x14ac:dyDescent="0.2">
      <c r="A2443" s="19" t="str">
        <f>_xlfn.IFNA(VLOOKUP($B2443,Keys!$A:$B,2,FALSE),_xlfn.IFNA(VLOOKUP($B2443,Keys!$D:$E,2,FALSE),VLOOKUP($B2443,Keys!$G:$H,2,FALSE)))</f>
        <v>0x00000025036D1DCD</v>
      </c>
      <c r="B2443" s="5" t="s">
        <v>6422</v>
      </c>
      <c r="C2443" s="5" t="s">
        <v>9467</v>
      </c>
      <c r="D2443" s="5" t="s">
        <v>16862</v>
      </c>
      <c r="E2443" s="5"/>
      <c r="F2443" s="1"/>
      <c r="G2443" s="5" t="s">
        <v>8971</v>
      </c>
      <c r="H2443" s="1"/>
      <c r="I2443" s="1"/>
      <c r="J2443" s="2"/>
      <c r="K2443" s="5" t="s">
        <v>8971</v>
      </c>
      <c r="M2443" s="18"/>
      <c r="N2443" s="1"/>
      <c r="O2443" s="1"/>
      <c r="P2443" s="21" t="str">
        <f>IF(ISNUMBER(MATCH($C2443,StackableKinds,0)), TRUE, "")</f>
        <v/>
      </c>
    </row>
    <row r="2444" spans="1:16" x14ac:dyDescent="0.2">
      <c r="A2444" s="19" t="str">
        <f>_xlfn.IFNA(VLOOKUP($B2444,Keys!$A:$B,2,FALSE),_xlfn.IFNA(VLOOKUP($B2444,Keys!$D:$E,2,FALSE),VLOOKUP($B2444,Keys!$G:$H,2,FALSE)))</f>
        <v>0x0000001E830D5372</v>
      </c>
      <c r="B2444" s="5" t="s">
        <v>6424</v>
      </c>
      <c r="C2444" s="5" t="s">
        <v>9467</v>
      </c>
      <c r="D2444" s="5" t="s">
        <v>16862</v>
      </c>
      <c r="E2444" s="5"/>
      <c r="F2444" s="1"/>
      <c r="G2444" s="5" t="s">
        <v>8971</v>
      </c>
      <c r="H2444" s="1"/>
      <c r="I2444" s="1"/>
      <c r="J2444" s="2"/>
      <c r="K2444" s="5" t="s">
        <v>8971</v>
      </c>
      <c r="M2444" s="18"/>
      <c r="N2444" s="1"/>
      <c r="O2444" s="1"/>
      <c r="P2444" s="21" t="str">
        <f>IF(ISNUMBER(MATCH($C2444,StackableKinds,0)), TRUE, "")</f>
        <v/>
      </c>
    </row>
    <row r="2445" spans="1:16" x14ac:dyDescent="0.2">
      <c r="A2445" s="19" t="str">
        <f>_xlfn.IFNA(VLOOKUP($B2445,Keys!$A:$B,2,FALSE),_xlfn.IFNA(VLOOKUP($B2445,Keys!$D:$E,2,FALSE),VLOOKUP($B2445,Keys!$G:$H,2,FALSE)))</f>
        <v>0x0000001EA4C16190</v>
      </c>
      <c r="B2445" s="5" t="s">
        <v>6426</v>
      </c>
      <c r="C2445" s="5" t="s">
        <v>9467</v>
      </c>
      <c r="D2445" s="5" t="s">
        <v>16862</v>
      </c>
      <c r="E2445" s="5"/>
      <c r="F2445" s="1"/>
      <c r="G2445" s="5" t="s">
        <v>8971</v>
      </c>
      <c r="H2445" s="1"/>
      <c r="I2445" s="1"/>
      <c r="J2445" s="2"/>
      <c r="K2445" s="5" t="s">
        <v>8971</v>
      </c>
      <c r="M2445" s="18"/>
      <c r="N2445" s="1"/>
      <c r="O2445" s="1"/>
      <c r="P2445" s="21" t="str">
        <f>IF(ISNUMBER(MATCH($C2445,StackableKinds,0)), TRUE, "")</f>
        <v/>
      </c>
    </row>
    <row r="2446" spans="1:16" x14ac:dyDescent="0.2">
      <c r="A2446" s="19" t="str">
        <f>_xlfn.IFNA(VLOOKUP($B2446,Keys!$A:$B,2,FALSE),_xlfn.IFNA(VLOOKUP($B2446,Keys!$D:$E,2,FALSE),VLOOKUP($B2446,Keys!$G:$H,2,FALSE)))</f>
        <v>0x0000001A7B269A6C</v>
      </c>
      <c r="B2446" s="5" t="s">
        <v>6428</v>
      </c>
      <c r="C2446" s="5" t="s">
        <v>9467</v>
      </c>
      <c r="D2446" s="5" t="s">
        <v>16862</v>
      </c>
      <c r="E2446" s="5"/>
      <c r="F2446" s="1"/>
      <c r="G2446" s="5" t="s">
        <v>8971</v>
      </c>
      <c r="H2446" s="1"/>
      <c r="I2446" s="1"/>
      <c r="J2446" s="2"/>
      <c r="K2446" s="5" t="s">
        <v>8971</v>
      </c>
      <c r="M2446" s="18"/>
      <c r="N2446" s="1"/>
      <c r="O2446" s="1"/>
      <c r="P2446" s="21" t="str">
        <f>IF(ISNUMBER(MATCH($C2446,StackableKinds,0)), TRUE, "")</f>
        <v/>
      </c>
    </row>
    <row r="2447" spans="1:16" x14ac:dyDescent="0.2">
      <c r="A2447" s="19" t="str">
        <f>_xlfn.IFNA(VLOOKUP($B2447,Keys!$A:$B,2,FALSE),_xlfn.IFNA(VLOOKUP($B2447,Keys!$D:$E,2,FALSE),VLOOKUP($B2447,Keys!$G:$H,2,FALSE)))</f>
        <v>0x0000001E5F44559D</v>
      </c>
      <c r="B2447" s="5" t="s">
        <v>6430</v>
      </c>
      <c r="C2447" s="5" t="s">
        <v>9467</v>
      </c>
      <c r="D2447" s="5" t="s">
        <v>16862</v>
      </c>
      <c r="E2447" s="5"/>
      <c r="F2447" s="1"/>
      <c r="G2447" s="5" t="s">
        <v>8971</v>
      </c>
      <c r="H2447" s="1"/>
      <c r="I2447" s="1"/>
      <c r="J2447" s="2"/>
      <c r="K2447" s="5" t="s">
        <v>8971</v>
      </c>
      <c r="M2447" s="18"/>
      <c r="N2447" s="1"/>
      <c r="O2447" s="1"/>
      <c r="P2447" s="21" t="str">
        <f>IF(ISNUMBER(MATCH($C2447,StackableKinds,0)), TRUE, "")</f>
        <v/>
      </c>
    </row>
    <row r="2448" spans="1:16" x14ac:dyDescent="0.2">
      <c r="A2448" s="19" t="str">
        <f>_xlfn.IFNA(VLOOKUP($B2448,Keys!$A:$B,2,FALSE),_xlfn.IFNA(VLOOKUP($B2448,Keys!$D:$E,2,FALSE),VLOOKUP($B2448,Keys!$G:$H,2,FALSE)))</f>
        <v>0x0000001A8ABD36F5</v>
      </c>
      <c r="B2448" s="5" t="s">
        <v>6432</v>
      </c>
      <c r="C2448" s="5" t="s">
        <v>9467</v>
      </c>
      <c r="D2448" s="5" t="s">
        <v>16862</v>
      </c>
      <c r="E2448" s="5"/>
      <c r="F2448" s="1"/>
      <c r="G2448" s="5" t="s">
        <v>8971</v>
      </c>
      <c r="H2448" s="1"/>
      <c r="I2448" s="1"/>
      <c r="J2448" s="2"/>
      <c r="K2448" s="5" t="s">
        <v>8971</v>
      </c>
      <c r="M2448" s="18"/>
      <c r="N2448" s="1"/>
      <c r="O2448" s="1"/>
      <c r="P2448" s="21" t="str">
        <f>IF(ISNUMBER(MATCH($C2448,StackableKinds,0)), TRUE, "")</f>
        <v/>
      </c>
    </row>
    <row r="2449" spans="1:16" x14ac:dyDescent="0.2">
      <c r="A2449" s="19" t="str">
        <f>_xlfn.IFNA(VLOOKUP($B2449,Keys!$A:$B,2,FALSE),_xlfn.IFNA(VLOOKUP($B2449,Keys!$D:$E,2,FALSE),VLOOKUP($B2449,Keys!$G:$H,2,FALSE)))</f>
        <v>0x000000193C2AB457</v>
      </c>
      <c r="B2449" s="5" t="s">
        <v>6434</v>
      </c>
      <c r="C2449" s="5" t="s">
        <v>9467</v>
      </c>
      <c r="D2449" s="5" t="s">
        <v>16862</v>
      </c>
      <c r="E2449" s="5"/>
      <c r="F2449" s="1"/>
      <c r="G2449" s="5" t="s">
        <v>8971</v>
      </c>
      <c r="H2449" s="1"/>
      <c r="I2449" s="1"/>
      <c r="J2449" s="2"/>
      <c r="K2449" s="5" t="s">
        <v>8971</v>
      </c>
      <c r="M2449" s="18"/>
      <c r="N2449" s="1"/>
      <c r="O2449" s="1"/>
      <c r="P2449" s="21" t="str">
        <f>IF(ISNUMBER(MATCH($C2449,StackableKinds,0)), TRUE, "")</f>
        <v/>
      </c>
    </row>
    <row r="2450" spans="1:16" x14ac:dyDescent="0.2">
      <c r="A2450" s="19" t="str">
        <f>_xlfn.IFNA(VLOOKUP($B2450,Keys!$A:$B,2,FALSE),_xlfn.IFNA(VLOOKUP($B2450,Keys!$D:$E,2,FALSE),VLOOKUP($B2450,Keys!$G:$H,2,FALSE)))</f>
        <v>0x0000001CA11CB7D6</v>
      </c>
      <c r="B2450" s="5" t="s">
        <v>6436</v>
      </c>
      <c r="C2450" s="5" t="s">
        <v>9467</v>
      </c>
      <c r="D2450" s="5" t="s">
        <v>16862</v>
      </c>
      <c r="E2450" s="5"/>
      <c r="F2450" s="1"/>
      <c r="G2450" s="5" t="s">
        <v>8971</v>
      </c>
      <c r="H2450" s="1"/>
      <c r="I2450" s="1"/>
      <c r="J2450" s="2"/>
      <c r="K2450" s="5" t="s">
        <v>8971</v>
      </c>
      <c r="M2450" s="18"/>
      <c r="N2450" s="1"/>
      <c r="O2450" s="1"/>
      <c r="P2450" s="21" t="str">
        <f>IF(ISNUMBER(MATCH($C2450,StackableKinds,0)), TRUE, "")</f>
        <v/>
      </c>
    </row>
    <row r="2451" spans="1:16" x14ac:dyDescent="0.2">
      <c r="A2451" s="19" t="str">
        <f>_xlfn.IFNA(VLOOKUP($B2451,Keys!$A:$B,2,FALSE),_xlfn.IFNA(VLOOKUP($B2451,Keys!$D:$E,2,FALSE),VLOOKUP($B2451,Keys!$G:$H,2,FALSE)))</f>
        <v>0x0000001C3815E66C</v>
      </c>
      <c r="B2451" s="5" t="s">
        <v>6438</v>
      </c>
      <c r="C2451" s="5" t="s">
        <v>9467</v>
      </c>
      <c r="D2451" s="5" t="s">
        <v>16862</v>
      </c>
      <c r="E2451" s="5"/>
      <c r="F2451" s="1"/>
      <c r="G2451" s="5" t="s">
        <v>8971</v>
      </c>
      <c r="H2451" s="1"/>
      <c r="I2451" s="1"/>
      <c r="J2451" s="2"/>
      <c r="K2451" s="5" t="s">
        <v>8971</v>
      </c>
      <c r="M2451" s="18"/>
      <c r="N2451" s="1"/>
      <c r="O2451" s="1"/>
      <c r="P2451" s="21" t="str">
        <f>IF(ISNUMBER(MATCH($C2451,StackableKinds,0)), TRUE, "")</f>
        <v/>
      </c>
    </row>
    <row r="2452" spans="1:16" x14ac:dyDescent="0.2">
      <c r="A2452" s="19" t="str">
        <f>_xlfn.IFNA(VLOOKUP($B2452,Keys!$A:$B,2,FALSE),_xlfn.IFNA(VLOOKUP($B2452,Keys!$D:$E,2,FALSE),VLOOKUP($B2452,Keys!$G:$H,2,FALSE)))</f>
        <v>0x0000001C4F12D6FA</v>
      </c>
      <c r="B2452" s="5" t="s">
        <v>6440</v>
      </c>
      <c r="C2452" s="5" t="s">
        <v>9467</v>
      </c>
      <c r="D2452" s="5" t="s">
        <v>16862</v>
      </c>
      <c r="E2452" s="5"/>
      <c r="F2452" s="1"/>
      <c r="G2452" s="5" t="s">
        <v>8971</v>
      </c>
      <c r="H2452" s="1"/>
      <c r="I2452" s="1"/>
      <c r="J2452" s="2"/>
      <c r="K2452" s="5" t="s">
        <v>8971</v>
      </c>
      <c r="M2452" s="18"/>
      <c r="N2452" s="1"/>
      <c r="O2452" s="1"/>
      <c r="P2452" s="21" t="str">
        <f>IF(ISNUMBER(MATCH($C2452,StackableKinds,0)), TRUE, "")</f>
        <v/>
      </c>
    </row>
    <row r="2453" spans="1:16" x14ac:dyDescent="0.2">
      <c r="A2453" s="19" t="str">
        <f>_xlfn.IFNA(VLOOKUP($B2453,Keys!$A:$B,2,FALSE),_xlfn.IFNA(VLOOKUP($B2453,Keys!$D:$E,2,FALSE),VLOOKUP($B2453,Keys!$G:$H,2,FALSE)))</f>
        <v>0x0000001CD1764359</v>
      </c>
      <c r="B2453" s="5" t="s">
        <v>6442</v>
      </c>
      <c r="C2453" s="5" t="s">
        <v>9467</v>
      </c>
      <c r="D2453" s="5" t="s">
        <v>16862</v>
      </c>
      <c r="E2453" s="5"/>
      <c r="F2453" s="1"/>
      <c r="G2453" s="5" t="s">
        <v>8971</v>
      </c>
      <c r="H2453" s="1"/>
      <c r="I2453" s="1"/>
      <c r="J2453" s="2"/>
      <c r="K2453" s="5" t="s">
        <v>8971</v>
      </c>
      <c r="M2453" s="18"/>
      <c r="N2453" s="1"/>
      <c r="O2453" s="1"/>
      <c r="P2453" s="21" t="str">
        <f>IF(ISNUMBER(MATCH($C2453,StackableKinds,0)), TRUE, "")</f>
        <v/>
      </c>
    </row>
    <row r="2454" spans="1:16" x14ac:dyDescent="0.2">
      <c r="A2454" s="19" t="str">
        <f>_xlfn.IFNA(VLOOKUP($B2454,Keys!$A:$B,2,FALSE),_xlfn.IFNA(VLOOKUP($B2454,Keys!$D:$E,2,FALSE),VLOOKUP($B2454,Keys!$G:$H,2,FALSE)))</f>
        <v>0x0000001CA67173CF</v>
      </c>
      <c r="B2454" s="5" t="s">
        <v>6444</v>
      </c>
      <c r="C2454" s="5" t="s">
        <v>9467</v>
      </c>
      <c r="D2454" s="5" t="s">
        <v>16862</v>
      </c>
      <c r="E2454" s="5"/>
      <c r="F2454" s="1"/>
      <c r="G2454" s="5" t="s">
        <v>8971</v>
      </c>
      <c r="H2454" s="1"/>
      <c r="I2454" s="1"/>
      <c r="J2454" s="2"/>
      <c r="K2454" s="5" t="s">
        <v>8971</v>
      </c>
      <c r="M2454" s="18"/>
      <c r="N2454" s="1"/>
      <c r="O2454" s="1"/>
      <c r="P2454" s="21" t="str">
        <f>IF(ISNUMBER(MATCH($C2454,StackableKinds,0)), TRUE, "")</f>
        <v/>
      </c>
    </row>
    <row r="2455" spans="1:16" x14ac:dyDescent="0.2">
      <c r="A2455" s="19" t="str">
        <f>_xlfn.IFNA(VLOOKUP($B2455,Keys!$A:$B,2,FALSE),_xlfn.IFNA(VLOOKUP($B2455,Keys!$D:$E,2,FALSE),VLOOKUP($B2455,Keys!$G:$H,2,FALSE)))</f>
        <v>0x0000001C3F782275</v>
      </c>
      <c r="B2455" s="5" t="s">
        <v>6446</v>
      </c>
      <c r="C2455" s="5" t="s">
        <v>9467</v>
      </c>
      <c r="D2455" s="5" t="s">
        <v>16862</v>
      </c>
      <c r="E2455" s="5"/>
      <c r="F2455" s="1"/>
      <c r="G2455" s="5" t="s">
        <v>8971</v>
      </c>
      <c r="H2455" s="1"/>
      <c r="I2455" s="1"/>
      <c r="J2455" s="2"/>
      <c r="K2455" s="5" t="s">
        <v>8971</v>
      </c>
      <c r="M2455" s="18"/>
      <c r="N2455" s="1"/>
      <c r="O2455" s="1"/>
      <c r="P2455" s="21" t="str">
        <f>IF(ISNUMBER(MATCH($C2455,StackableKinds,0)), TRUE, "")</f>
        <v/>
      </c>
    </row>
    <row r="2456" spans="1:16" x14ac:dyDescent="0.2">
      <c r="A2456" s="19" t="str">
        <f>_xlfn.IFNA(VLOOKUP($B2456,Keys!$A:$B,2,FALSE),_xlfn.IFNA(VLOOKUP($B2456,Keys!$D:$E,2,FALSE),VLOOKUP($B2456,Keys!$G:$H,2,FALSE)))</f>
        <v>0x0000001F91BFA386</v>
      </c>
      <c r="B2456" s="5" t="s">
        <v>6448</v>
      </c>
      <c r="C2456" s="5" t="s">
        <v>9467</v>
      </c>
      <c r="D2456" s="5" t="s">
        <v>16862</v>
      </c>
      <c r="E2456" s="5"/>
      <c r="F2456" s="1"/>
      <c r="G2456" s="5" t="s">
        <v>8971</v>
      </c>
      <c r="H2456" s="1"/>
      <c r="I2456" s="1"/>
      <c r="J2456" s="2"/>
      <c r="K2456" s="5" t="s">
        <v>8971</v>
      </c>
      <c r="M2456" s="18"/>
      <c r="N2456" s="1"/>
      <c r="O2456" s="1"/>
      <c r="P2456" s="21" t="str">
        <f>IF(ISNUMBER(MATCH($C2456,StackableKinds,0)), TRUE, "")</f>
        <v/>
      </c>
    </row>
    <row r="2457" spans="1:16" x14ac:dyDescent="0.2">
      <c r="A2457" s="19" t="str">
        <f>_xlfn.IFNA(VLOOKUP($B2457,Keys!$A:$B,2,FALSE),_xlfn.IFNA(VLOOKUP($B2457,Keys!$D:$E,2,FALSE),VLOOKUP($B2457,Keys!$G:$H,2,FALSE)))</f>
        <v>0x0000001E20591C45</v>
      </c>
      <c r="B2457" s="5" t="s">
        <v>6450</v>
      </c>
      <c r="C2457" s="5" t="s">
        <v>9467</v>
      </c>
      <c r="D2457" s="5" t="s">
        <v>16862</v>
      </c>
      <c r="E2457" s="5"/>
      <c r="F2457" s="1"/>
      <c r="G2457" s="5" t="s">
        <v>8971</v>
      </c>
      <c r="H2457" s="1"/>
      <c r="I2457" s="1"/>
      <c r="J2457" s="2"/>
      <c r="K2457" s="5" t="s">
        <v>8971</v>
      </c>
      <c r="M2457" s="18"/>
      <c r="N2457" s="1"/>
      <c r="O2457" s="1"/>
      <c r="P2457" s="21" t="str">
        <f>IF(ISNUMBER(MATCH($C2457,StackableKinds,0)), TRUE, "")</f>
        <v/>
      </c>
    </row>
    <row r="2458" spans="1:16" x14ac:dyDescent="0.2">
      <c r="A2458" s="19" t="str">
        <f>_xlfn.IFNA(VLOOKUP($B2458,Keys!$A:$B,2,FALSE),_xlfn.IFNA(VLOOKUP($B2458,Keys!$D:$E,2,FALSE),VLOOKUP($B2458,Keys!$G:$H,2,FALSE)))</f>
        <v>0x0000001E11B106D8</v>
      </c>
      <c r="B2458" s="5" t="s">
        <v>6452</v>
      </c>
      <c r="C2458" s="5" t="s">
        <v>9467</v>
      </c>
      <c r="D2458" s="5" t="s">
        <v>16862</v>
      </c>
      <c r="E2458" s="5"/>
      <c r="F2458" s="1"/>
      <c r="G2458" s="5" t="s">
        <v>8971</v>
      </c>
      <c r="H2458" s="1"/>
      <c r="I2458" s="1"/>
      <c r="J2458" s="2"/>
      <c r="K2458" s="5" t="s">
        <v>8971</v>
      </c>
      <c r="M2458" s="18"/>
      <c r="N2458" s="1"/>
      <c r="O2458" s="1"/>
      <c r="P2458" s="21" t="str">
        <f>IF(ISNUMBER(MATCH($C2458,StackableKinds,0)), TRUE, "")</f>
        <v/>
      </c>
    </row>
    <row r="2459" spans="1:16" x14ac:dyDescent="0.2">
      <c r="A2459" s="19" t="str">
        <f>_xlfn.IFNA(VLOOKUP($B2459,Keys!$A:$B,2,FALSE),_xlfn.IFNA(VLOOKUP($B2459,Keys!$D:$E,2,FALSE),VLOOKUP($B2459,Keys!$G:$H,2,FALSE)))</f>
        <v>0x000000230C4D386E</v>
      </c>
      <c r="B2459" s="5" t="s">
        <v>6454</v>
      </c>
      <c r="C2459" s="5" t="s">
        <v>9467</v>
      </c>
      <c r="D2459" s="5" t="s">
        <v>16862</v>
      </c>
      <c r="E2459" s="5"/>
      <c r="F2459" s="1"/>
      <c r="G2459" s="5" t="s">
        <v>8971</v>
      </c>
      <c r="H2459" s="1"/>
      <c r="I2459" s="1"/>
      <c r="J2459" s="2"/>
      <c r="K2459" s="5" t="s">
        <v>8971</v>
      </c>
      <c r="M2459" s="18"/>
      <c r="N2459" s="1"/>
      <c r="O2459" s="1"/>
      <c r="P2459" s="21" t="str">
        <f>IF(ISNUMBER(MATCH($C2459,StackableKinds,0)), TRUE, "")</f>
        <v/>
      </c>
    </row>
    <row r="2460" spans="1:16" x14ac:dyDescent="0.2">
      <c r="A2460" s="19" t="str">
        <f>_xlfn.IFNA(VLOOKUP($B2460,Keys!$A:$B,2,FALSE),_xlfn.IFNA(VLOOKUP($B2460,Keys!$D:$E,2,FALSE),VLOOKUP($B2460,Keys!$G:$H,2,FALSE)))</f>
        <v>0x0000002596905E64</v>
      </c>
      <c r="B2460" s="5" t="s">
        <v>6456</v>
      </c>
      <c r="C2460" s="5" t="s">
        <v>9467</v>
      </c>
      <c r="D2460" s="5" t="s">
        <v>16862</v>
      </c>
      <c r="E2460" s="5"/>
      <c r="F2460" s="1"/>
      <c r="G2460" s="5" t="s">
        <v>8971</v>
      </c>
      <c r="H2460" s="1"/>
      <c r="I2460" s="1"/>
      <c r="J2460" s="2"/>
      <c r="K2460" s="5" t="s">
        <v>8971</v>
      </c>
      <c r="M2460" s="18"/>
      <c r="N2460" s="1"/>
      <c r="O2460" s="1"/>
      <c r="P2460" s="21" t="str">
        <f>IF(ISNUMBER(MATCH($C2460,StackableKinds,0)), TRUE, "")</f>
        <v/>
      </c>
    </row>
    <row r="2461" spans="1:16" x14ac:dyDescent="0.2">
      <c r="A2461" s="19" t="str">
        <f>_xlfn.IFNA(VLOOKUP($B2461,Keys!$A:$B,2,FALSE),_xlfn.IFNA(VLOOKUP($B2461,Keys!$D:$E,2,FALSE),VLOOKUP($B2461,Keys!$G:$H,2,FALSE)))</f>
        <v>0x0000001DBCB2F919</v>
      </c>
      <c r="B2461" s="5" t="s">
        <v>6458</v>
      </c>
      <c r="C2461" s="5" t="s">
        <v>9467</v>
      </c>
      <c r="D2461" s="5" t="s">
        <v>16862</v>
      </c>
      <c r="E2461" s="5"/>
      <c r="F2461" s="1"/>
      <c r="G2461" s="5" t="s">
        <v>8971</v>
      </c>
      <c r="H2461" s="1"/>
      <c r="I2461" s="1"/>
      <c r="J2461" s="2"/>
      <c r="K2461" s="5" t="s">
        <v>8971</v>
      </c>
      <c r="M2461" s="18"/>
      <c r="N2461" s="1"/>
      <c r="O2461" s="1"/>
      <c r="P2461" s="21" t="str">
        <f>IF(ISNUMBER(MATCH($C2461,StackableKinds,0)), TRUE, "")</f>
        <v/>
      </c>
    </row>
    <row r="2462" spans="1:16" x14ac:dyDescent="0.2">
      <c r="A2462" s="19" t="str">
        <f>_xlfn.IFNA(VLOOKUP($B2462,Keys!$A:$B,2,FALSE),_xlfn.IFNA(VLOOKUP($B2462,Keys!$D:$E,2,FALSE),VLOOKUP($B2462,Keys!$G:$H,2,FALSE)))</f>
        <v>0x00000027E7F203EA</v>
      </c>
      <c r="B2462" s="5" t="s">
        <v>6460</v>
      </c>
      <c r="C2462" s="5" t="s">
        <v>9467</v>
      </c>
      <c r="D2462" s="5" t="s">
        <v>16862</v>
      </c>
      <c r="E2462" s="5"/>
      <c r="F2462" s="1"/>
      <c r="G2462" s="5" t="s">
        <v>8971</v>
      </c>
      <c r="H2462" s="1"/>
      <c r="I2462" s="1"/>
      <c r="J2462" s="2"/>
      <c r="K2462" s="5" t="s">
        <v>8971</v>
      </c>
      <c r="M2462" s="18"/>
      <c r="N2462" s="1"/>
      <c r="O2462" s="1"/>
      <c r="P2462" s="21" t="str">
        <f>IF(ISNUMBER(MATCH($C2462,StackableKinds,0)), TRUE, "")</f>
        <v/>
      </c>
    </row>
    <row r="2463" spans="1:16" x14ac:dyDescent="0.2">
      <c r="A2463" s="19" t="str">
        <f>_xlfn.IFNA(VLOOKUP($B2463,Keys!$A:$B,2,FALSE),_xlfn.IFNA(VLOOKUP($B2463,Keys!$D:$E,2,FALSE),VLOOKUP($B2463,Keys!$G:$H,2,FALSE)))</f>
        <v>0x000000208B91E265</v>
      </c>
      <c r="B2463" s="5" t="s">
        <v>6462</v>
      </c>
      <c r="C2463" s="5" t="s">
        <v>9467</v>
      </c>
      <c r="D2463" s="5" t="s">
        <v>16862</v>
      </c>
      <c r="E2463" s="5"/>
      <c r="F2463" s="1"/>
      <c r="G2463" s="5" t="s">
        <v>8971</v>
      </c>
      <c r="H2463" s="1"/>
      <c r="I2463" s="1"/>
      <c r="J2463" s="2"/>
      <c r="K2463" s="5" t="s">
        <v>8971</v>
      </c>
      <c r="M2463" s="18"/>
      <c r="N2463" s="1"/>
      <c r="O2463" s="1"/>
      <c r="P2463" s="21" t="str">
        <f>IF(ISNUMBER(MATCH($C2463,StackableKinds,0)), TRUE, "")</f>
        <v/>
      </c>
    </row>
    <row r="2464" spans="1:16" x14ac:dyDescent="0.2">
      <c r="A2464" s="19" t="str">
        <f>_xlfn.IFNA(VLOOKUP($B2464,Keys!$A:$B,2,FALSE),_xlfn.IFNA(VLOOKUP($B2464,Keys!$D:$E,2,FALSE),VLOOKUP($B2464,Keys!$G:$H,2,FALSE)))</f>
        <v>0x0000001C31F3335E</v>
      </c>
      <c r="B2464" s="5" t="s">
        <v>6464</v>
      </c>
      <c r="C2464" s="5" t="s">
        <v>9467</v>
      </c>
      <c r="D2464" s="5" t="s">
        <v>16862</v>
      </c>
      <c r="E2464" s="5"/>
      <c r="F2464" s="1"/>
      <c r="G2464" s="5" t="s">
        <v>8971</v>
      </c>
      <c r="H2464" s="1"/>
      <c r="I2464" s="1"/>
      <c r="J2464" s="2"/>
      <c r="K2464" s="5" t="s">
        <v>8971</v>
      </c>
      <c r="M2464" s="18"/>
      <c r="N2464" s="1"/>
      <c r="O2464" s="1"/>
      <c r="P2464" s="21" t="str">
        <f>IF(ISNUMBER(MATCH($C2464,StackableKinds,0)), TRUE, "")</f>
        <v/>
      </c>
    </row>
    <row r="2465" spans="1:16" x14ac:dyDescent="0.2">
      <c r="A2465" s="19" t="str">
        <f>_xlfn.IFNA(VLOOKUP($B2465,Keys!$A:$B,2,FALSE),_xlfn.IFNA(VLOOKUP($B2465,Keys!$D:$E,2,FALSE),VLOOKUP($B2465,Keys!$G:$H,2,FALSE)))</f>
        <v>0x000000229412A9AE</v>
      </c>
      <c r="B2465" s="5" t="s">
        <v>6466</v>
      </c>
      <c r="C2465" s="5" t="s">
        <v>9467</v>
      </c>
      <c r="D2465" s="5" t="s">
        <v>16862</v>
      </c>
      <c r="E2465" s="5"/>
      <c r="F2465" s="1"/>
      <c r="G2465" s="5" t="s">
        <v>8971</v>
      </c>
      <c r="H2465" s="1"/>
      <c r="I2465" s="1"/>
      <c r="J2465" s="2"/>
      <c r="K2465" s="5" t="s">
        <v>8971</v>
      </c>
      <c r="M2465" s="18"/>
      <c r="N2465" s="1"/>
      <c r="O2465" s="1"/>
      <c r="P2465" s="21" t="str">
        <f>IF(ISNUMBER(MATCH($C2465,StackableKinds,0)), TRUE, "")</f>
        <v/>
      </c>
    </row>
    <row r="2466" spans="1:16" x14ac:dyDescent="0.2">
      <c r="A2466" s="19" t="e">
        <f>_xlfn.IFNA(VLOOKUP($B2466,Keys!$A:$B,2,FALSE),_xlfn.IFNA(VLOOKUP($B2466,Keys!$D:$E,2,FALSE),VLOOKUP($B2466,Keys!$G:$H,2,FALSE)))</f>
        <v>#N/A</v>
      </c>
      <c r="B2466" s="5" t="s">
        <v>9469</v>
      </c>
      <c r="C2466" s="5" t="s">
        <v>9467</v>
      </c>
      <c r="D2466" s="5" t="s">
        <v>16862</v>
      </c>
      <c r="E2466" s="5"/>
      <c r="F2466" s="1"/>
      <c r="G2466" s="5" t="s">
        <v>8971</v>
      </c>
      <c r="H2466" s="1"/>
      <c r="I2466" s="1"/>
      <c r="J2466" s="2"/>
      <c r="K2466" s="5" t="s">
        <v>8971</v>
      </c>
      <c r="M2466" s="18"/>
      <c r="N2466" s="1"/>
      <c r="O2466" s="1"/>
      <c r="P2466" s="21" t="str">
        <f>IF(ISNUMBER(MATCH($C2466,StackableKinds,0)), TRUE, "")</f>
        <v/>
      </c>
    </row>
    <row r="2467" spans="1:16" x14ac:dyDescent="0.2">
      <c r="A2467" s="19" t="str">
        <f>_xlfn.IFNA(VLOOKUP($B2467,Keys!$A:$B,2,FALSE),_xlfn.IFNA(VLOOKUP($B2467,Keys!$D:$E,2,FALSE),VLOOKUP($B2467,Keys!$G:$H,2,FALSE)))</f>
        <v>0x00000024A1B8EFA2</v>
      </c>
      <c r="B2467" s="5" t="s">
        <v>6468</v>
      </c>
      <c r="C2467" s="5" t="s">
        <v>9467</v>
      </c>
      <c r="D2467" s="5" t="s">
        <v>16862</v>
      </c>
      <c r="E2467" s="5"/>
      <c r="F2467" s="1"/>
      <c r="G2467" s="5" t="s">
        <v>8971</v>
      </c>
      <c r="H2467" s="1"/>
      <c r="I2467" s="1"/>
      <c r="J2467" s="2"/>
      <c r="K2467" s="5" t="s">
        <v>8971</v>
      </c>
      <c r="M2467" s="18"/>
      <c r="N2467" s="1"/>
      <c r="O2467" s="1"/>
      <c r="P2467" s="21" t="str">
        <f>IF(ISNUMBER(MATCH($C2467,StackableKinds,0)), TRUE, "")</f>
        <v/>
      </c>
    </row>
    <row r="2468" spans="1:16" x14ac:dyDescent="0.2">
      <c r="A2468" s="19" t="str">
        <f>_xlfn.IFNA(VLOOKUP($B2468,Keys!$A:$B,2,FALSE),_xlfn.IFNA(VLOOKUP($B2468,Keys!$D:$E,2,FALSE),VLOOKUP($B2468,Keys!$G:$H,2,FALSE)))</f>
        <v>0x00000020A9C8055D</v>
      </c>
      <c r="B2468" s="5" t="s">
        <v>6470</v>
      </c>
      <c r="C2468" s="5" t="s">
        <v>9467</v>
      </c>
      <c r="D2468" s="5" t="s">
        <v>16862</v>
      </c>
      <c r="E2468" s="5"/>
      <c r="F2468" s="1"/>
      <c r="G2468" s="5" t="s">
        <v>8971</v>
      </c>
      <c r="H2468" s="1"/>
      <c r="I2468" s="1"/>
      <c r="J2468" s="2"/>
      <c r="K2468" s="5" t="s">
        <v>8971</v>
      </c>
      <c r="M2468" s="18"/>
      <c r="N2468" s="1"/>
      <c r="O2468" s="1"/>
      <c r="P2468" s="21" t="str">
        <f>IF(ISNUMBER(MATCH($C2468,StackableKinds,0)), TRUE, "")</f>
        <v/>
      </c>
    </row>
    <row r="2469" spans="1:16" x14ac:dyDescent="0.2">
      <c r="A2469" s="19" t="str">
        <f>_xlfn.IFNA(VLOOKUP($B2469,Keys!$A:$B,2,FALSE),_xlfn.IFNA(VLOOKUP($B2469,Keys!$D:$E,2,FALSE),VLOOKUP($B2469,Keys!$G:$H,2,FALSE)))</f>
        <v>0x0000001BABA44775</v>
      </c>
      <c r="B2469" s="5" t="s">
        <v>6472</v>
      </c>
      <c r="C2469" s="5" t="s">
        <v>9467</v>
      </c>
      <c r="D2469" s="5" t="s">
        <v>16862</v>
      </c>
      <c r="E2469" s="5"/>
      <c r="F2469" s="1"/>
      <c r="G2469" s="5" t="s">
        <v>8971</v>
      </c>
      <c r="H2469" s="1"/>
      <c r="I2469" s="1"/>
      <c r="J2469" s="2"/>
      <c r="K2469" s="5" t="s">
        <v>8971</v>
      </c>
      <c r="M2469" s="18"/>
      <c r="N2469" s="1"/>
      <c r="O2469" s="1"/>
      <c r="P2469" s="21" t="str">
        <f>IF(ISNUMBER(MATCH($C2469,StackableKinds,0)), TRUE, "")</f>
        <v/>
      </c>
    </row>
    <row r="2470" spans="1:16" x14ac:dyDescent="0.2">
      <c r="A2470" s="19" t="str">
        <f>_xlfn.IFNA(VLOOKUP($B2470,Keys!$A:$B,2,FALSE),_xlfn.IFNA(VLOOKUP($B2470,Keys!$D:$E,2,FALSE),VLOOKUP($B2470,Keys!$G:$H,2,FALSE)))</f>
        <v>0x0000001F292903C1</v>
      </c>
      <c r="B2470" s="5" t="s">
        <v>6474</v>
      </c>
      <c r="C2470" s="5" t="s">
        <v>9467</v>
      </c>
      <c r="D2470" s="5" t="s">
        <v>16862</v>
      </c>
      <c r="E2470" s="5"/>
      <c r="F2470" s="1"/>
      <c r="G2470" s="5" t="s">
        <v>8971</v>
      </c>
      <c r="H2470" s="1"/>
      <c r="I2470" s="1"/>
      <c r="J2470" s="2"/>
      <c r="K2470" s="5" t="s">
        <v>8971</v>
      </c>
      <c r="M2470" s="18"/>
      <c r="N2470" s="1"/>
      <c r="O2470" s="1"/>
      <c r="P2470" s="21" t="str">
        <f>IF(ISNUMBER(MATCH($C2470,StackableKinds,0)), TRUE, "")</f>
        <v/>
      </c>
    </row>
    <row r="2471" spans="1:16" x14ac:dyDescent="0.2">
      <c r="A2471" s="19" t="str">
        <f>_xlfn.IFNA(VLOOKUP($B2471,Keys!$A:$B,2,FALSE),_xlfn.IFNA(VLOOKUP($B2471,Keys!$D:$E,2,FALSE),VLOOKUP($B2471,Keys!$G:$H,2,FALSE)))</f>
        <v>0x0000002E3E623D83</v>
      </c>
      <c r="B2471" s="5" t="s">
        <v>6476</v>
      </c>
      <c r="C2471" s="5" t="s">
        <v>9467</v>
      </c>
      <c r="D2471" s="5" t="s">
        <v>16862</v>
      </c>
      <c r="E2471" s="5"/>
      <c r="F2471" s="1"/>
      <c r="G2471" s="5" t="s">
        <v>8971</v>
      </c>
      <c r="H2471" s="1"/>
      <c r="I2471" s="1"/>
      <c r="J2471" s="2"/>
      <c r="K2471" s="5" t="s">
        <v>8971</v>
      </c>
      <c r="M2471" s="18"/>
      <c r="N2471" s="1"/>
      <c r="O2471" s="1"/>
      <c r="P2471" s="21" t="str">
        <f>IF(ISNUMBER(MATCH($C2471,StackableKinds,0)), TRUE, "")</f>
        <v/>
      </c>
    </row>
    <row r="2472" spans="1:16" x14ac:dyDescent="0.2">
      <c r="A2472" s="19" t="str">
        <f>_xlfn.IFNA(VLOOKUP($B2472,Keys!$A:$B,2,FALSE),_xlfn.IFNA(VLOOKUP($B2472,Keys!$D:$E,2,FALSE),VLOOKUP($B2472,Keys!$G:$H,2,FALSE)))</f>
        <v>0x00000024866B8113</v>
      </c>
      <c r="B2472" s="5" t="s">
        <v>6478</v>
      </c>
      <c r="C2472" s="5" t="s">
        <v>9467</v>
      </c>
      <c r="D2472" s="5" t="s">
        <v>16862</v>
      </c>
      <c r="E2472" s="5"/>
      <c r="F2472" s="1"/>
      <c r="G2472" s="5" t="s">
        <v>8971</v>
      </c>
      <c r="H2472" s="1"/>
      <c r="I2472" s="1"/>
      <c r="J2472" s="2"/>
      <c r="K2472" s="5" t="s">
        <v>8971</v>
      </c>
      <c r="M2472" s="18"/>
      <c r="N2472" s="1"/>
      <c r="O2472" s="1"/>
      <c r="P2472" s="21" t="str">
        <f>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16862</v>
      </c>
      <c r="E2473" s="5"/>
      <c r="F2473" s="1"/>
      <c r="G2473" s="5" t="s">
        <v>8971</v>
      </c>
      <c r="H2473" s="1"/>
      <c r="I2473" s="1"/>
      <c r="J2473" s="2"/>
      <c r="K2473" s="5" t="s">
        <v>8971</v>
      </c>
      <c r="M2473" s="18"/>
      <c r="N2473" s="1"/>
      <c r="O2473" s="1"/>
      <c r="P2473" s="21" t="str">
        <f>IF(ISNUMBER(MATCH($C2473,StackableKinds,0)), TRUE, "")</f>
        <v/>
      </c>
    </row>
    <row r="2474" spans="1:16" x14ac:dyDescent="0.2">
      <c r="A2474" s="19" t="str">
        <f>_xlfn.IFNA(VLOOKUP($B2474,Keys!$A:$B,2,FALSE),_xlfn.IFNA(VLOOKUP($B2474,Keys!$D:$E,2,FALSE),VLOOKUP($B2474,Keys!$G:$H,2,FALSE)))</f>
        <v>0x0000002D422C9BAE</v>
      </c>
      <c r="B2474" s="5" t="s">
        <v>6482</v>
      </c>
      <c r="C2474" s="5" t="s">
        <v>9467</v>
      </c>
      <c r="D2474" s="5" t="s">
        <v>16862</v>
      </c>
      <c r="E2474" s="5"/>
      <c r="F2474" s="1"/>
      <c r="G2474" s="5" t="s">
        <v>8971</v>
      </c>
      <c r="H2474" s="1"/>
      <c r="I2474" s="1"/>
      <c r="J2474" s="2"/>
      <c r="K2474" s="5" t="s">
        <v>8971</v>
      </c>
      <c r="M2474" s="18"/>
      <c r="N2474" s="1"/>
      <c r="O2474" s="1"/>
      <c r="P2474" s="21" t="str">
        <f>IF(ISNUMBER(MATCH($C2474,StackableKinds,0)), TRUE, "")</f>
        <v/>
      </c>
    </row>
    <row r="2475" spans="1:16" x14ac:dyDescent="0.2">
      <c r="A2475" s="19" t="e">
        <f>_xlfn.IFNA(VLOOKUP($B2475,Keys!$A:$B,2,FALSE),_xlfn.IFNA(VLOOKUP($B2475,Keys!$D:$E,2,FALSE),VLOOKUP($B2475,Keys!$G:$H,2,FALSE)))</f>
        <v>#N/A</v>
      </c>
      <c r="B2475" s="5" t="s">
        <v>6484</v>
      </c>
      <c r="C2475" s="5" t="s">
        <v>9467</v>
      </c>
      <c r="D2475" s="5" t="s">
        <v>16862</v>
      </c>
      <c r="E2475" s="5"/>
      <c r="F2475" s="1"/>
      <c r="G2475" s="5" t="s">
        <v>8971</v>
      </c>
      <c r="H2475" s="1"/>
      <c r="I2475" s="1"/>
      <c r="J2475" s="2"/>
      <c r="K2475" s="5" t="s">
        <v>8971</v>
      </c>
      <c r="M2475" s="18"/>
      <c r="N2475" s="1"/>
      <c r="O2475" s="1"/>
      <c r="P2475" s="21" t="str">
        <f>IF(ISNUMBER(MATCH($C2475,StackableKinds,0)), TRUE, "")</f>
        <v/>
      </c>
    </row>
    <row r="2476" spans="1:16" x14ac:dyDescent="0.2">
      <c r="A2476" s="19" t="str">
        <f>_xlfn.IFNA(VLOOKUP($B2476,Keys!$A:$B,2,FALSE),_xlfn.IFNA(VLOOKUP($B2476,Keys!$D:$E,2,FALSE),VLOOKUP($B2476,Keys!$G:$H,2,FALSE)))</f>
        <v>0x0000002C7EA51654</v>
      </c>
      <c r="B2476" s="5" t="s">
        <v>6485</v>
      </c>
      <c r="C2476" s="5" t="s">
        <v>9467</v>
      </c>
      <c r="D2476" s="5" t="s">
        <v>16862</v>
      </c>
      <c r="E2476" s="5"/>
      <c r="F2476" s="1"/>
      <c r="G2476" s="5" t="s">
        <v>8971</v>
      </c>
      <c r="H2476" s="1"/>
      <c r="I2476" s="1"/>
      <c r="J2476" s="2"/>
      <c r="K2476" s="5" t="s">
        <v>8971</v>
      </c>
      <c r="M2476" s="18"/>
      <c r="N2476" s="1"/>
      <c r="O2476" s="1"/>
      <c r="P2476" s="21" t="str">
        <f>IF(ISNUMBER(MATCH($C2476,StackableKinds,0)), TRUE, "")</f>
        <v/>
      </c>
    </row>
    <row r="2477" spans="1:16" x14ac:dyDescent="0.2">
      <c r="A2477" s="19" t="str">
        <f>_xlfn.IFNA(VLOOKUP($B2477,Keys!$A:$B,2,FALSE),_xlfn.IFNA(VLOOKUP($B2477,Keys!$D:$E,2,FALSE),VLOOKUP($B2477,Keys!$G:$H,2,FALSE)))</f>
        <v>0x00000027C304FFCD</v>
      </c>
      <c r="B2477" s="5" t="s">
        <v>6487</v>
      </c>
      <c r="C2477" s="5" t="s">
        <v>9467</v>
      </c>
      <c r="D2477" s="5" t="s">
        <v>16862</v>
      </c>
      <c r="E2477" s="5"/>
      <c r="F2477" s="1"/>
      <c r="G2477" s="5" t="s">
        <v>8971</v>
      </c>
      <c r="H2477" s="1"/>
      <c r="I2477" s="1"/>
      <c r="J2477" s="2"/>
      <c r="K2477" s="5" t="s">
        <v>8971</v>
      </c>
      <c r="M2477" s="18"/>
      <c r="N2477" s="1"/>
      <c r="O2477" s="1"/>
      <c r="P2477" s="21" t="str">
        <f>IF(ISNUMBER(MATCH($C2477,StackableKinds,0)), TRUE, "")</f>
        <v/>
      </c>
    </row>
    <row r="2478" spans="1:16" x14ac:dyDescent="0.2">
      <c r="A2478" s="19" t="str">
        <f>_xlfn.IFNA(VLOOKUP($B2478,Keys!$A:$B,2,FALSE),_xlfn.IFNA(VLOOKUP($B2478,Keys!$D:$E,2,FALSE),VLOOKUP($B2478,Keys!$G:$H,2,FALSE)))</f>
        <v>0x0000002BAC7EF9BE</v>
      </c>
      <c r="B2478" s="5" t="s">
        <v>6489</v>
      </c>
      <c r="C2478" s="5" t="s">
        <v>9467</v>
      </c>
      <c r="D2478" s="5" t="s">
        <v>16862</v>
      </c>
      <c r="E2478" s="5"/>
      <c r="F2478" s="1"/>
      <c r="G2478" s="5" t="s">
        <v>8971</v>
      </c>
      <c r="H2478" s="1"/>
      <c r="I2478" s="1"/>
      <c r="J2478" s="2"/>
      <c r="K2478" s="5" t="s">
        <v>8971</v>
      </c>
      <c r="M2478" s="18"/>
      <c r="N2478" s="1"/>
      <c r="O2478" s="1"/>
      <c r="P2478" s="21" t="str">
        <f>IF(ISNUMBER(MATCH($C2478,StackableKinds,0)), TRUE, "")</f>
        <v/>
      </c>
    </row>
    <row r="2479" spans="1:16" x14ac:dyDescent="0.2">
      <c r="A2479" s="19" t="str">
        <f>_xlfn.IFNA(VLOOKUP($B2479,Keys!$A:$B,2,FALSE),_xlfn.IFNA(VLOOKUP($B2479,Keys!$D:$E,2,FALSE),VLOOKUP($B2479,Keys!$G:$H,2,FALSE)))</f>
        <v>0x0000002B9D96E323</v>
      </c>
      <c r="B2479" s="5" t="s">
        <v>6491</v>
      </c>
      <c r="C2479" s="5" t="s">
        <v>9467</v>
      </c>
      <c r="D2479" s="5" t="s">
        <v>16862</v>
      </c>
      <c r="E2479" s="5"/>
      <c r="F2479" s="1"/>
      <c r="G2479" s="5" t="s">
        <v>8971</v>
      </c>
      <c r="H2479" s="1"/>
      <c r="I2479" s="1"/>
      <c r="J2479" s="2"/>
      <c r="K2479" s="5" t="s">
        <v>8971</v>
      </c>
      <c r="M2479" s="18"/>
      <c r="N2479" s="1"/>
      <c r="O2479" s="1"/>
      <c r="P2479" s="21" t="str">
        <f>IF(ISNUMBER(MATCH($C2479,StackableKinds,0)), TRUE, "")</f>
        <v/>
      </c>
    </row>
    <row r="2480" spans="1:16" x14ac:dyDescent="0.2">
      <c r="A2480" s="19" t="str">
        <f>_xlfn.IFNA(VLOOKUP($B2480,Keys!$A:$B,2,FALSE),_xlfn.IFNA(VLOOKUP($B2480,Keys!$D:$E,2,FALSE),VLOOKUP($B2480,Keys!$G:$H,2,FALSE)))</f>
        <v>0x0000002B3BE1E897</v>
      </c>
      <c r="B2480" s="5" t="s">
        <v>6493</v>
      </c>
      <c r="C2480" s="5" t="s">
        <v>9467</v>
      </c>
      <c r="D2480" s="5" t="s">
        <v>16862</v>
      </c>
      <c r="E2480" s="5"/>
      <c r="F2480" s="1"/>
      <c r="G2480" s="5" t="s">
        <v>8971</v>
      </c>
      <c r="H2480" s="1"/>
      <c r="I2480" s="1"/>
      <c r="J2480" s="2"/>
      <c r="K2480" s="5" t="s">
        <v>8971</v>
      </c>
      <c r="M2480" s="18"/>
      <c r="N2480" s="1"/>
      <c r="O2480" s="1"/>
      <c r="P2480" s="21" t="str">
        <f>IF(ISNUMBER(MATCH($C2480,StackableKinds,0)), TRUE, "")</f>
        <v/>
      </c>
    </row>
    <row r="2481" spans="1:16" x14ac:dyDescent="0.2">
      <c r="A2481" s="19" t="str">
        <f>_xlfn.IFNA(VLOOKUP($B2481,Keys!$A:$B,2,FALSE),_xlfn.IFNA(VLOOKUP($B2481,Keys!$D:$E,2,FALSE),VLOOKUP($B2481,Keys!$G:$H,2,FALSE)))</f>
        <v>0x0000002342941288</v>
      </c>
      <c r="B2481" s="5" t="s">
        <v>6495</v>
      </c>
      <c r="C2481" s="5" t="s">
        <v>9467</v>
      </c>
      <c r="D2481" s="5" t="s">
        <v>16862</v>
      </c>
      <c r="E2481" s="5"/>
      <c r="F2481" s="1"/>
      <c r="G2481" s="5" t="s">
        <v>8971</v>
      </c>
      <c r="H2481" s="1"/>
      <c r="I2481" s="1"/>
      <c r="J2481" s="2"/>
      <c r="K2481" s="5" t="s">
        <v>8971</v>
      </c>
      <c r="M2481" s="18"/>
      <c r="N2481" s="1"/>
      <c r="O2481" s="1"/>
      <c r="P2481" s="21" t="str">
        <f>IF(ISNUMBER(MATCH($C2481,StackableKinds,0)), TRUE, "")</f>
        <v/>
      </c>
    </row>
    <row r="2482" spans="1:16" x14ac:dyDescent="0.2">
      <c r="A2482" s="19" t="str">
        <f>_xlfn.IFNA(VLOOKUP($B2482,Keys!$A:$B,2,FALSE),_xlfn.IFNA(VLOOKUP($B2482,Keys!$D:$E,2,FALSE),VLOOKUP($B2482,Keys!$G:$H,2,FALSE)))</f>
        <v>0x00000028331C0936</v>
      </c>
      <c r="B2482" s="5" t="s">
        <v>6497</v>
      </c>
      <c r="C2482" s="5" t="s">
        <v>9467</v>
      </c>
      <c r="D2482" s="5" t="s">
        <v>16862</v>
      </c>
      <c r="E2482" s="5"/>
      <c r="F2482" s="1"/>
      <c r="G2482" s="5" t="s">
        <v>8971</v>
      </c>
      <c r="H2482" s="1"/>
      <c r="I2482" s="1"/>
      <c r="J2482" s="2"/>
      <c r="K2482" s="5" t="s">
        <v>8971</v>
      </c>
      <c r="M2482" s="18"/>
      <c r="N2482" s="1"/>
      <c r="O2482" s="1"/>
      <c r="P2482" s="21" t="str">
        <f>IF(ISNUMBER(MATCH($C2482,StackableKinds,0)), TRUE, "")</f>
        <v/>
      </c>
    </row>
    <row r="2483" spans="1:16" x14ac:dyDescent="0.2">
      <c r="A2483" s="19" t="str">
        <f>_xlfn.IFNA(VLOOKUP($B2483,Keys!$A:$B,2,FALSE),_xlfn.IFNA(VLOOKUP($B2483,Keys!$D:$E,2,FALSE),VLOOKUP($B2483,Keys!$G:$H,2,FALSE)))</f>
        <v>0x00000028C4A8438E</v>
      </c>
      <c r="B2483" s="5" t="s">
        <v>6499</v>
      </c>
      <c r="C2483" s="5" t="s">
        <v>9467</v>
      </c>
      <c r="D2483" s="5" t="s">
        <v>16862</v>
      </c>
      <c r="E2483" s="5"/>
      <c r="F2483" s="1"/>
      <c r="G2483" s="5" t="s">
        <v>8971</v>
      </c>
      <c r="H2483" s="1"/>
      <c r="I2483" s="1"/>
      <c r="J2483" s="2"/>
      <c r="K2483" s="5" t="s">
        <v>8971</v>
      </c>
      <c r="M2483" s="18"/>
      <c r="N2483" s="1"/>
      <c r="O2483" s="1"/>
      <c r="P2483" s="21" t="str">
        <f>IF(ISNUMBER(MATCH($C2483,StackableKinds,0)), TRUE, "")</f>
        <v/>
      </c>
    </row>
    <row r="2484" spans="1:16" x14ac:dyDescent="0.2">
      <c r="A2484" s="19" t="str">
        <f>_xlfn.IFNA(VLOOKUP($B2484,Keys!$A:$B,2,FALSE),_xlfn.IFNA(VLOOKUP($B2484,Keys!$D:$E,2,FALSE),VLOOKUP($B2484,Keys!$G:$H,2,FALSE)))</f>
        <v>0x000000269AEBA8FC</v>
      </c>
      <c r="B2484" s="5" t="s">
        <v>6501</v>
      </c>
      <c r="C2484" s="5" t="s">
        <v>9467</v>
      </c>
      <c r="D2484" s="5" t="s">
        <v>16862</v>
      </c>
      <c r="E2484" s="5"/>
      <c r="F2484" s="1"/>
      <c r="G2484" s="5" t="s">
        <v>8971</v>
      </c>
      <c r="H2484" s="1"/>
      <c r="I2484" s="1"/>
      <c r="J2484" s="2"/>
      <c r="K2484" s="5" t="s">
        <v>8971</v>
      </c>
      <c r="M2484" s="18"/>
      <c r="N2484" s="1"/>
      <c r="O2484" s="1"/>
      <c r="P2484" s="21" t="str">
        <f>IF(ISNUMBER(MATCH($C2484,StackableKinds,0)), TRUE, "")</f>
        <v/>
      </c>
    </row>
    <row r="2485" spans="1:16" x14ac:dyDescent="0.2">
      <c r="A2485" s="19" t="str">
        <f>_xlfn.IFNA(VLOOKUP($B2485,Keys!$A:$B,2,FALSE),_xlfn.IFNA(VLOOKUP($B2485,Keys!$D:$E,2,FALSE),VLOOKUP($B2485,Keys!$G:$H,2,FALSE)))</f>
        <v>0x000000297E090CE3</v>
      </c>
      <c r="B2485" s="5" t="s">
        <v>6503</v>
      </c>
      <c r="C2485" s="5" t="s">
        <v>9467</v>
      </c>
      <c r="D2485" s="5" t="s">
        <v>16862</v>
      </c>
      <c r="E2485" s="5"/>
      <c r="F2485" s="1"/>
      <c r="G2485" s="5" t="s">
        <v>8971</v>
      </c>
      <c r="H2485" s="1"/>
      <c r="I2485" s="1"/>
      <c r="J2485" s="2"/>
      <c r="K2485" s="5" t="s">
        <v>8971</v>
      </c>
      <c r="M2485" s="18"/>
      <c r="N2485" s="1"/>
      <c r="O2485" s="1"/>
      <c r="P2485" s="21" t="str">
        <f>IF(ISNUMBER(MATCH($C2485,StackableKinds,0)), TRUE, "")</f>
        <v/>
      </c>
    </row>
    <row r="2486" spans="1:16" x14ac:dyDescent="0.2">
      <c r="A2486" s="19" t="str">
        <f>_xlfn.IFNA(VLOOKUP($B2486,Keys!$A:$B,2,FALSE),_xlfn.IFNA(VLOOKUP($B2486,Keys!$D:$E,2,FALSE),VLOOKUP($B2486,Keys!$G:$H,2,FALSE)))</f>
        <v>0x0000001EB0BCF7F2</v>
      </c>
      <c r="B2486" s="5" t="s">
        <v>6505</v>
      </c>
      <c r="C2486" s="5" t="s">
        <v>9467</v>
      </c>
      <c r="D2486" s="5" t="s">
        <v>16862</v>
      </c>
      <c r="E2486" s="5"/>
      <c r="F2486" s="1"/>
      <c r="G2486" s="5" t="s">
        <v>8971</v>
      </c>
      <c r="H2486" s="1"/>
      <c r="I2486" s="1"/>
      <c r="J2486" s="2"/>
      <c r="K2486" s="5" t="s">
        <v>8971</v>
      </c>
      <c r="M2486" s="18"/>
      <c r="N2486" s="1"/>
      <c r="O2486" s="1"/>
      <c r="P2486" s="21" t="str">
        <f>IF(ISNUMBER(MATCH($C2486,StackableKinds,0)), TRUE, "")</f>
        <v/>
      </c>
    </row>
    <row r="2487" spans="1:16" x14ac:dyDescent="0.2">
      <c r="A2487" s="19" t="str">
        <f>_xlfn.IFNA(VLOOKUP($B2487,Keys!$A:$B,2,FALSE),_xlfn.IFNA(VLOOKUP($B2487,Keys!$D:$E,2,FALSE),VLOOKUP($B2487,Keys!$G:$H,2,FALSE)))</f>
        <v>0x0000002A12A75F31</v>
      </c>
      <c r="B2487" s="5" t="s">
        <v>6507</v>
      </c>
      <c r="C2487" s="5" t="s">
        <v>9467</v>
      </c>
      <c r="D2487" s="5" t="s">
        <v>16862</v>
      </c>
      <c r="E2487" s="5"/>
      <c r="F2487" s="1"/>
      <c r="G2487" s="5" t="s">
        <v>8971</v>
      </c>
      <c r="H2487" s="1"/>
      <c r="I2487" s="1"/>
      <c r="J2487" s="2"/>
      <c r="K2487" s="5" t="s">
        <v>8971</v>
      </c>
      <c r="M2487" s="18"/>
      <c r="N2487" s="1"/>
      <c r="O2487" s="1"/>
      <c r="P2487" s="21" t="str">
        <f>IF(ISNUMBER(MATCH($C2487,StackableKinds,0)), TRUE, "")</f>
        <v/>
      </c>
    </row>
    <row r="2488" spans="1:16" x14ac:dyDescent="0.2">
      <c r="A2488" s="19" t="str">
        <f>_xlfn.IFNA(VLOOKUP($B2488,Keys!$A:$B,2,FALSE),_xlfn.IFNA(VLOOKUP($B2488,Keys!$D:$E,2,FALSE),VLOOKUP($B2488,Keys!$G:$H,2,FALSE)))</f>
        <v>0x0000001D1B0105D9</v>
      </c>
      <c r="B2488" s="5" t="s">
        <v>6509</v>
      </c>
      <c r="C2488" s="5" t="s">
        <v>9467</v>
      </c>
      <c r="D2488" s="5" t="s">
        <v>16862</v>
      </c>
      <c r="E2488" s="5"/>
      <c r="F2488" s="1"/>
      <c r="G2488" s="5" t="s">
        <v>8971</v>
      </c>
      <c r="H2488" s="1"/>
      <c r="I2488" s="1"/>
      <c r="J2488" s="2"/>
      <c r="K2488" s="5" t="s">
        <v>8971</v>
      </c>
      <c r="M2488" s="18"/>
      <c r="N2488" s="1"/>
      <c r="O2488" s="1"/>
      <c r="P2488" s="21" t="str">
        <f>IF(ISNUMBER(MATCH($C2488,StackableKinds,0)), TRUE, "")</f>
        <v/>
      </c>
    </row>
    <row r="2489" spans="1:16" x14ac:dyDescent="0.2">
      <c r="A2489" s="19" t="str">
        <f>_xlfn.IFNA(VLOOKUP($B2489,Keys!$A:$B,2,FALSE),_xlfn.IFNA(VLOOKUP($B2489,Keys!$D:$E,2,FALSE),VLOOKUP($B2489,Keys!$G:$H,2,FALSE)))</f>
        <v>0x00000027701FDD46</v>
      </c>
      <c r="B2489" s="5" t="s">
        <v>6511</v>
      </c>
      <c r="C2489" s="5" t="s">
        <v>9467</v>
      </c>
      <c r="D2489" s="5" t="s">
        <v>16862</v>
      </c>
      <c r="E2489" s="5"/>
      <c r="F2489" s="1"/>
      <c r="G2489" s="5" t="s">
        <v>8971</v>
      </c>
      <c r="H2489" s="1"/>
      <c r="I2489" s="1"/>
      <c r="J2489" s="2"/>
      <c r="K2489" s="5" t="s">
        <v>8971</v>
      </c>
      <c r="M2489" s="18"/>
      <c r="N2489" s="1"/>
      <c r="O2489" s="1"/>
      <c r="P2489" s="21" t="str">
        <f>IF(ISNUMBER(MATCH($C2489,StackableKinds,0)), TRUE, "")</f>
        <v/>
      </c>
    </row>
    <row r="2490" spans="1:16" x14ac:dyDescent="0.2">
      <c r="A2490" s="19" t="str">
        <f>_xlfn.IFNA(VLOOKUP($B2490,Keys!$A:$B,2,FALSE),_xlfn.IFNA(VLOOKUP($B2490,Keys!$D:$E,2,FALSE),VLOOKUP($B2490,Keys!$G:$H,2,FALSE)))</f>
        <v>0x0000001DE0997A62</v>
      </c>
      <c r="B2490" s="5" t="s">
        <v>6513</v>
      </c>
      <c r="C2490" s="5" t="s">
        <v>9467</v>
      </c>
      <c r="D2490" s="5" t="s">
        <v>16862</v>
      </c>
      <c r="E2490" s="5"/>
      <c r="F2490" s="1"/>
      <c r="G2490" s="5" t="s">
        <v>8971</v>
      </c>
      <c r="H2490" s="1"/>
      <c r="I2490" s="1"/>
      <c r="J2490" s="2"/>
      <c r="K2490" s="5" t="s">
        <v>8971</v>
      </c>
      <c r="M2490" s="18"/>
      <c r="N2490" s="1"/>
      <c r="O2490" s="1"/>
      <c r="P2490" s="21" t="str">
        <f>IF(ISNUMBER(MATCH($C2490,StackableKinds,0)), TRUE, "")</f>
        <v/>
      </c>
    </row>
    <row r="2491" spans="1:16" x14ac:dyDescent="0.2">
      <c r="A2491" s="19" t="str">
        <f>_xlfn.IFNA(VLOOKUP($B2491,Keys!$A:$B,2,FALSE),_xlfn.IFNA(VLOOKUP($B2491,Keys!$D:$E,2,FALSE),VLOOKUP($B2491,Keys!$G:$H,2,FALSE)))</f>
        <v>0x000000313AC2A285</v>
      </c>
      <c r="B2491" s="5" t="s">
        <v>6515</v>
      </c>
      <c r="C2491" s="5" t="s">
        <v>9467</v>
      </c>
      <c r="D2491" s="5" t="s">
        <v>16862</v>
      </c>
      <c r="E2491" s="5"/>
      <c r="F2491" s="1"/>
      <c r="G2491" s="5" t="s">
        <v>8971</v>
      </c>
      <c r="H2491" s="1"/>
      <c r="I2491" s="1"/>
      <c r="J2491" s="2"/>
      <c r="K2491" s="5" t="s">
        <v>8971</v>
      </c>
      <c r="M2491" s="18"/>
      <c r="N2491" s="1"/>
      <c r="O2491" s="1"/>
      <c r="P2491" s="21" t="str">
        <f>IF(ISNUMBER(MATCH($C2491,StackableKinds,0)), TRUE, "")</f>
        <v/>
      </c>
    </row>
    <row r="2492" spans="1:16" x14ac:dyDescent="0.2">
      <c r="A2492" s="19" t="str">
        <f>_xlfn.IFNA(VLOOKUP($B2492,Keys!$A:$B,2,FALSE),_xlfn.IFNA(VLOOKUP($B2492,Keys!$D:$E,2,FALSE),VLOOKUP($B2492,Keys!$G:$H,2,FALSE)))</f>
        <v>0x000000200EB4ED7F</v>
      </c>
      <c r="B2492" s="5" t="s">
        <v>6517</v>
      </c>
      <c r="C2492" s="5" t="s">
        <v>9467</v>
      </c>
      <c r="D2492" s="5" t="s">
        <v>16862</v>
      </c>
      <c r="E2492" s="5"/>
      <c r="F2492" s="1"/>
      <c r="G2492" s="5" t="s">
        <v>8971</v>
      </c>
      <c r="H2492" s="1"/>
      <c r="I2492" s="1"/>
      <c r="J2492" s="2"/>
      <c r="K2492" s="5" t="s">
        <v>8971</v>
      </c>
      <c r="M2492" s="18"/>
      <c r="N2492" s="1"/>
      <c r="O2492" s="1"/>
      <c r="P2492" s="21" t="str">
        <f>IF(ISNUMBER(MATCH($C2492,StackableKinds,0)), TRUE, "")</f>
        <v/>
      </c>
    </row>
    <row r="2493" spans="1:16" x14ac:dyDescent="0.2">
      <c r="A2493" s="19" t="str">
        <f>_xlfn.IFNA(VLOOKUP($B2493,Keys!$A:$B,2,FALSE),_xlfn.IFNA(VLOOKUP($B2493,Keys!$D:$E,2,FALSE),VLOOKUP($B2493,Keys!$G:$H,2,FALSE)))</f>
        <v>0x0000001F068AD4B9</v>
      </c>
      <c r="B2493" s="5" t="s">
        <v>6519</v>
      </c>
      <c r="C2493" s="5" t="s">
        <v>9467</v>
      </c>
      <c r="D2493" s="5" t="s">
        <v>16862</v>
      </c>
      <c r="E2493" s="5"/>
      <c r="F2493" s="1"/>
      <c r="G2493" s="5" t="s">
        <v>8971</v>
      </c>
      <c r="H2493" s="1"/>
      <c r="I2493" s="1"/>
      <c r="J2493" s="2"/>
      <c r="K2493" s="5" t="s">
        <v>8971</v>
      </c>
      <c r="M2493" s="18"/>
      <c r="N2493" s="1"/>
      <c r="O2493" s="1"/>
      <c r="P2493" s="21" t="str">
        <f>IF(ISNUMBER(MATCH($C2493,StackableKinds,0)), TRUE, "")</f>
        <v/>
      </c>
    </row>
    <row r="2494" spans="1:16" x14ac:dyDescent="0.2">
      <c r="A2494" s="19" t="str">
        <f>_xlfn.IFNA(VLOOKUP($B2494,Keys!$A:$B,2,FALSE),_xlfn.IFNA(VLOOKUP($B2494,Keys!$D:$E,2,FALSE),VLOOKUP($B2494,Keys!$G:$H,2,FALSE)))</f>
        <v>0x0000001B8109B02B</v>
      </c>
      <c r="B2494" s="5" t="s">
        <v>6521</v>
      </c>
      <c r="C2494" s="5" t="s">
        <v>9467</v>
      </c>
      <c r="D2494" s="5" t="s">
        <v>16862</v>
      </c>
      <c r="E2494" s="5"/>
      <c r="F2494" s="1"/>
      <c r="G2494" s="5" t="s">
        <v>8971</v>
      </c>
      <c r="H2494" s="1"/>
      <c r="I2494" s="1"/>
      <c r="J2494" s="2"/>
      <c r="K2494" s="5" t="s">
        <v>8971</v>
      </c>
      <c r="M2494" s="18"/>
      <c r="N2494" s="1"/>
      <c r="O2494" s="1"/>
      <c r="P2494" s="21" t="str">
        <f>IF(ISNUMBER(MATCH($C2494,StackableKinds,0)), TRUE, "")</f>
        <v/>
      </c>
    </row>
    <row r="2495" spans="1:16" x14ac:dyDescent="0.2">
      <c r="A2495" s="19" t="str">
        <f>_xlfn.IFNA(VLOOKUP($B2495,Keys!$A:$B,2,FALSE),_xlfn.IFNA(VLOOKUP($B2495,Keys!$D:$E,2,FALSE),VLOOKUP($B2495,Keys!$G:$H,2,FALSE)))</f>
        <v>0x0000001F476504F6</v>
      </c>
      <c r="B2495" s="5" t="s">
        <v>6523</v>
      </c>
      <c r="C2495" s="5" t="s">
        <v>9467</v>
      </c>
      <c r="D2495" s="5" t="s">
        <v>16862</v>
      </c>
      <c r="E2495" s="5"/>
      <c r="F2495" s="1"/>
      <c r="G2495" s="5" t="s">
        <v>8971</v>
      </c>
      <c r="H2495" s="1"/>
      <c r="I2495" s="1"/>
      <c r="J2495" s="2"/>
      <c r="K2495" s="5" t="s">
        <v>8971</v>
      </c>
      <c r="M2495" s="18"/>
      <c r="N2495" s="1"/>
      <c r="O2495" s="1"/>
      <c r="P2495" s="21" t="str">
        <f>IF(ISNUMBER(MATCH($C2495,StackableKinds,0)), TRUE, "")</f>
        <v/>
      </c>
    </row>
    <row r="2496" spans="1:16" x14ac:dyDescent="0.2">
      <c r="A2496" s="19" t="str">
        <f>_xlfn.IFNA(VLOOKUP($B2496,Keys!$A:$B,2,FALSE),_xlfn.IFNA(VLOOKUP($B2496,Keys!$D:$E,2,FALSE),VLOOKUP($B2496,Keys!$G:$H,2,FALSE)))</f>
        <v>0x0000001DE4043B1C</v>
      </c>
      <c r="B2496" s="5" t="s">
        <v>6525</v>
      </c>
      <c r="C2496" s="5" t="s">
        <v>9467</v>
      </c>
      <c r="D2496" s="5" t="s">
        <v>16862</v>
      </c>
      <c r="E2496" s="5"/>
      <c r="F2496" s="1"/>
      <c r="G2496" s="5" t="s">
        <v>8971</v>
      </c>
      <c r="H2496" s="1"/>
      <c r="I2496" s="1"/>
      <c r="J2496" s="2"/>
      <c r="K2496" s="5" t="s">
        <v>8971</v>
      </c>
      <c r="M2496" s="18"/>
      <c r="N2496" s="1"/>
      <c r="O2496" s="1"/>
      <c r="P2496" s="21" t="str">
        <f>IF(ISNUMBER(MATCH($C2496,StackableKinds,0)), TRUE, "")</f>
        <v/>
      </c>
    </row>
    <row r="2497" spans="1:16" x14ac:dyDescent="0.2">
      <c r="A2497" s="19" t="str">
        <f>_xlfn.IFNA(VLOOKUP($B2497,Keys!$A:$B,2,FALSE),_xlfn.IFNA(VLOOKUP($B2497,Keys!$D:$E,2,FALSE),VLOOKUP($B2497,Keys!$G:$H,2,FALSE)))</f>
        <v>0x0000001C17B54058</v>
      </c>
      <c r="B2497" s="5" t="s">
        <v>6527</v>
      </c>
      <c r="C2497" s="5" t="s">
        <v>9467</v>
      </c>
      <c r="D2497" s="5" t="s">
        <v>16862</v>
      </c>
      <c r="E2497" s="5"/>
      <c r="F2497" s="1"/>
      <c r="G2497" s="5" t="s">
        <v>8971</v>
      </c>
      <c r="H2497" s="1"/>
      <c r="I2497" s="1"/>
      <c r="J2497" s="2"/>
      <c r="K2497" s="5" t="s">
        <v>8971</v>
      </c>
      <c r="M2497" s="18"/>
      <c r="N2497" s="1"/>
      <c r="O2497" s="1"/>
      <c r="P2497" s="21" t="str">
        <f>IF(ISNUMBER(MATCH($C2497,StackableKinds,0)), TRUE, "")</f>
        <v/>
      </c>
    </row>
    <row r="2498" spans="1:16" x14ac:dyDescent="0.2">
      <c r="A2498" s="19" t="str">
        <f>_xlfn.IFNA(VLOOKUP($B2498,Keys!$A:$B,2,FALSE),_xlfn.IFNA(VLOOKUP($B2498,Keys!$D:$E,2,FALSE),VLOOKUP($B2498,Keys!$G:$H,2,FALSE)))</f>
        <v>0x000000261E7A7416</v>
      </c>
      <c r="B2498" s="5" t="s">
        <v>6529</v>
      </c>
      <c r="C2498" s="5" t="s">
        <v>9467</v>
      </c>
      <c r="D2498" s="5" t="s">
        <v>16862</v>
      </c>
      <c r="E2498" s="5"/>
      <c r="F2498" s="1"/>
      <c r="G2498" s="5" t="s">
        <v>8971</v>
      </c>
      <c r="H2498" s="1"/>
      <c r="I2498" s="1"/>
      <c r="J2498" s="2"/>
      <c r="K2498" s="5" t="s">
        <v>8971</v>
      </c>
      <c r="M2498" s="18"/>
      <c r="N2498" s="1"/>
      <c r="O2498" s="1"/>
      <c r="P2498" s="21" t="str">
        <f>IF(ISNUMBER(MATCH($C2498,StackableKinds,0)), TRUE, "")</f>
        <v/>
      </c>
    </row>
    <row r="2499" spans="1:16" x14ac:dyDescent="0.2">
      <c r="A2499" s="19" t="str">
        <f>_xlfn.IFNA(VLOOKUP($B2499,Keys!$A:$B,2,FALSE),_xlfn.IFNA(VLOOKUP($B2499,Keys!$D:$E,2,FALSE),VLOOKUP($B2499,Keys!$G:$H,2,FALSE)))</f>
        <v>0x000000245CA72518</v>
      </c>
      <c r="B2499" s="5" t="s">
        <v>6531</v>
      </c>
      <c r="C2499" s="5" t="s">
        <v>9467</v>
      </c>
      <c r="D2499" s="5" t="s">
        <v>16862</v>
      </c>
      <c r="E2499" s="5"/>
      <c r="F2499" s="1"/>
      <c r="G2499" s="5" t="s">
        <v>8971</v>
      </c>
      <c r="H2499" s="1"/>
      <c r="I2499" s="1"/>
      <c r="J2499" s="2"/>
      <c r="K2499" s="5" t="s">
        <v>8971</v>
      </c>
      <c r="M2499" s="18"/>
      <c r="N2499" s="1"/>
      <c r="O2499" s="1"/>
      <c r="P2499" s="21" t="str">
        <f>IF(ISNUMBER(MATCH($C2499,StackableKinds,0)), TRUE, "")</f>
        <v/>
      </c>
    </row>
    <row r="2500" spans="1:16" x14ac:dyDescent="0.2">
      <c r="A2500" s="19" t="str">
        <f>_xlfn.IFNA(VLOOKUP($B2500,Keys!$A:$B,2,FALSE),_xlfn.IFNA(VLOOKUP($B2500,Keys!$D:$E,2,FALSE),VLOOKUP($B2500,Keys!$G:$H,2,FALSE)))</f>
        <v>0x00000018C5ADD434</v>
      </c>
      <c r="B2500" s="5" t="s">
        <v>6533</v>
      </c>
      <c r="C2500" s="5" t="s">
        <v>9467</v>
      </c>
      <c r="D2500" s="5" t="s">
        <v>16862</v>
      </c>
      <c r="E2500" s="5"/>
      <c r="F2500" s="1"/>
      <c r="G2500" s="5" t="s">
        <v>8971</v>
      </c>
      <c r="H2500" s="1"/>
      <c r="I2500" s="1"/>
      <c r="J2500" s="2"/>
      <c r="K2500" s="5" t="s">
        <v>8971</v>
      </c>
      <c r="M2500" s="18"/>
      <c r="N2500" s="1"/>
      <c r="O2500" s="1"/>
      <c r="P2500" s="21" t="str">
        <f>IF(ISNUMBER(MATCH($C2500,StackableKinds,0)), TRUE, "")</f>
        <v/>
      </c>
    </row>
    <row r="2501" spans="1:16" x14ac:dyDescent="0.2">
      <c r="A2501" s="19" t="str">
        <f>_xlfn.IFNA(VLOOKUP($B2501,Keys!$A:$B,2,FALSE),_xlfn.IFNA(VLOOKUP($B2501,Keys!$D:$E,2,FALSE),VLOOKUP($B2501,Keys!$G:$H,2,FALSE)))</f>
        <v>0x0000002756359769</v>
      </c>
      <c r="B2501" s="5" t="s">
        <v>6535</v>
      </c>
      <c r="C2501" s="5" t="s">
        <v>9467</v>
      </c>
      <c r="D2501" s="5" t="s">
        <v>16862</v>
      </c>
      <c r="E2501" s="5"/>
      <c r="F2501" s="1"/>
      <c r="G2501" s="5" t="s">
        <v>8971</v>
      </c>
      <c r="H2501" s="1"/>
      <c r="I2501" s="1"/>
      <c r="J2501" s="2"/>
      <c r="K2501" s="5" t="s">
        <v>8971</v>
      </c>
      <c r="M2501" s="18"/>
      <c r="N2501" s="1"/>
      <c r="O2501" s="1"/>
      <c r="P2501" s="21" t="str">
        <f>IF(ISNUMBER(MATCH($C2501,StackableKinds,0)), TRUE, "")</f>
        <v/>
      </c>
    </row>
    <row r="2502" spans="1:16" x14ac:dyDescent="0.2">
      <c r="A2502" s="19" t="str">
        <f>_xlfn.IFNA(VLOOKUP($B2502,Keys!$A:$B,2,FALSE),_xlfn.IFNA(VLOOKUP($B2502,Keys!$D:$E,2,FALSE),VLOOKUP($B2502,Keys!$G:$H,2,FALSE)))</f>
        <v>0x000000245FE7723B</v>
      </c>
      <c r="B2502" s="5" t="s">
        <v>6537</v>
      </c>
      <c r="C2502" s="5" t="s">
        <v>9467</v>
      </c>
      <c r="D2502" s="5" t="s">
        <v>16862</v>
      </c>
      <c r="E2502" s="5"/>
      <c r="F2502" s="1"/>
      <c r="G2502" s="5" t="s">
        <v>8971</v>
      </c>
      <c r="H2502" s="1"/>
      <c r="I2502" s="1"/>
      <c r="J2502" s="2"/>
      <c r="K2502" s="5" t="s">
        <v>8971</v>
      </c>
      <c r="M2502" s="18"/>
      <c r="N2502" s="1"/>
      <c r="O2502" s="1"/>
      <c r="P2502" s="21" t="str">
        <f>IF(ISNUMBER(MATCH($C2502,StackableKinds,0)), TRUE, "")</f>
        <v/>
      </c>
    </row>
    <row r="2503" spans="1:16" x14ac:dyDescent="0.2">
      <c r="A2503" s="19" t="str">
        <f>_xlfn.IFNA(VLOOKUP($B2503,Keys!$A:$B,2,FALSE),_xlfn.IFNA(VLOOKUP($B2503,Keys!$D:$E,2,FALSE),VLOOKUP($B2503,Keys!$G:$H,2,FALSE)))</f>
        <v>0x0000001C734AB5FC</v>
      </c>
      <c r="B2503" s="5" t="s">
        <v>6541</v>
      </c>
      <c r="C2503" s="5" t="s">
        <v>9467</v>
      </c>
      <c r="D2503" s="5" t="s">
        <v>16862</v>
      </c>
      <c r="E2503" s="5"/>
      <c r="F2503" s="1"/>
      <c r="G2503" s="5" t="s">
        <v>8971</v>
      </c>
      <c r="H2503" s="1"/>
      <c r="I2503" s="1"/>
      <c r="J2503" s="2"/>
      <c r="K2503" s="5" t="s">
        <v>8971</v>
      </c>
      <c r="M2503" s="18"/>
      <c r="N2503" s="1"/>
      <c r="O2503" s="1"/>
      <c r="P2503" s="21" t="str">
        <f>IF(ISNUMBER(MATCH($C2503,StackableKinds,0)), TRUE, "")</f>
        <v/>
      </c>
    </row>
    <row r="2504" spans="1:16" x14ac:dyDescent="0.2">
      <c r="A2504" s="19" t="str">
        <f>_xlfn.IFNA(VLOOKUP($B2504,Keys!$A:$B,2,FALSE),_xlfn.IFNA(VLOOKUP($B2504,Keys!$D:$E,2,FALSE),VLOOKUP($B2504,Keys!$G:$H,2,FALSE)))</f>
        <v>0x000000216339F801</v>
      </c>
      <c r="B2504" s="5" t="s">
        <v>6543</v>
      </c>
      <c r="C2504" s="5" t="s">
        <v>9467</v>
      </c>
      <c r="D2504" s="5" t="s">
        <v>16862</v>
      </c>
      <c r="E2504" s="5"/>
      <c r="F2504" s="1"/>
      <c r="G2504" s="5" t="s">
        <v>8971</v>
      </c>
      <c r="H2504" s="1"/>
      <c r="I2504" s="1"/>
      <c r="J2504" s="2"/>
      <c r="K2504" s="5" t="s">
        <v>8971</v>
      </c>
      <c r="M2504" s="18"/>
      <c r="N2504" s="1"/>
      <c r="O2504" s="1"/>
      <c r="P2504" s="21" t="str">
        <f>IF(ISNUMBER(MATCH($C2504,StackableKinds,0)), TRUE, "")</f>
        <v/>
      </c>
    </row>
    <row r="2505" spans="1:16" x14ac:dyDescent="0.2">
      <c r="A2505" s="19" t="str">
        <f>_xlfn.IFNA(VLOOKUP($B2505,Keys!$A:$B,2,FALSE),_xlfn.IFNA(VLOOKUP($B2505,Keys!$D:$E,2,FALSE),VLOOKUP($B2505,Keys!$G:$H,2,FALSE)))</f>
        <v>0x00000024C8CF3C82</v>
      </c>
      <c r="B2505" s="5" t="s">
        <v>6545</v>
      </c>
      <c r="C2505" s="5" t="s">
        <v>9467</v>
      </c>
      <c r="D2505" s="5" t="s">
        <v>16862</v>
      </c>
      <c r="E2505" s="5"/>
      <c r="F2505" s="1"/>
      <c r="G2505" s="5" t="s">
        <v>8971</v>
      </c>
      <c r="H2505" s="1"/>
      <c r="I2505" s="1"/>
      <c r="J2505" s="2"/>
      <c r="K2505" s="5" t="s">
        <v>8971</v>
      </c>
      <c r="M2505" s="18"/>
      <c r="N2505" s="1"/>
      <c r="O2505" s="1"/>
      <c r="P2505" s="21" t="str">
        <f>IF(ISNUMBER(MATCH($C2505,StackableKinds,0)), TRUE, "")</f>
        <v/>
      </c>
    </row>
    <row r="2506" spans="1:16" x14ac:dyDescent="0.2">
      <c r="A2506" s="19" t="str">
        <f>_xlfn.IFNA(VLOOKUP($B2506,Keys!$A:$B,2,FALSE),_xlfn.IFNA(VLOOKUP($B2506,Keys!$D:$E,2,FALSE),VLOOKUP($B2506,Keys!$G:$H,2,FALSE)))</f>
        <v>0x000000237D526627</v>
      </c>
      <c r="B2506" s="5" t="s">
        <v>6547</v>
      </c>
      <c r="C2506" s="5" t="s">
        <v>9467</v>
      </c>
      <c r="D2506" s="5" t="s">
        <v>16862</v>
      </c>
      <c r="E2506" s="5"/>
      <c r="F2506" s="1"/>
      <c r="G2506" s="5" t="s">
        <v>8971</v>
      </c>
      <c r="H2506" s="1"/>
      <c r="I2506" s="1"/>
      <c r="J2506" s="2"/>
      <c r="K2506" s="5" t="s">
        <v>8971</v>
      </c>
      <c r="M2506" s="18"/>
      <c r="N2506" s="1"/>
      <c r="O2506" s="1"/>
      <c r="P2506" s="21" t="str">
        <f>IF(ISNUMBER(MATCH($C2506,StackableKinds,0)), TRUE, "")</f>
        <v/>
      </c>
    </row>
    <row r="2507" spans="1:16" x14ac:dyDescent="0.2">
      <c r="A2507" s="19" t="str">
        <f>_xlfn.IFNA(VLOOKUP($B2507,Keys!$A:$B,2,FALSE),_xlfn.IFNA(VLOOKUP($B2507,Keys!$D:$E,2,FALSE),VLOOKUP($B2507,Keys!$G:$H,2,FALSE)))</f>
        <v>0x0000001ED7C3577C</v>
      </c>
      <c r="B2507" s="5" t="s">
        <v>6549</v>
      </c>
      <c r="C2507" s="5" t="s">
        <v>9467</v>
      </c>
      <c r="D2507" s="5" t="s">
        <v>16862</v>
      </c>
      <c r="E2507" s="5"/>
      <c r="F2507" s="1"/>
      <c r="G2507" s="5" t="s">
        <v>8971</v>
      </c>
      <c r="H2507" s="1"/>
      <c r="I2507" s="1"/>
      <c r="J2507" s="2"/>
      <c r="K2507" s="5" t="s">
        <v>8971</v>
      </c>
      <c r="M2507" s="18"/>
      <c r="N2507" s="1"/>
      <c r="O2507" s="1"/>
      <c r="P2507" s="21" t="str">
        <f>IF(ISNUMBER(MATCH($C2507,StackableKinds,0)), TRUE, "")</f>
        <v/>
      </c>
    </row>
    <row r="2508" spans="1:16" x14ac:dyDescent="0.2">
      <c r="A2508" s="19" t="str">
        <f>_xlfn.IFNA(VLOOKUP($B2508,Keys!$A:$B,2,FALSE),_xlfn.IFNA(VLOOKUP($B2508,Keys!$D:$E,2,FALSE),VLOOKUP($B2508,Keys!$G:$H,2,FALSE)))</f>
        <v>0x00000021A225FCB5</v>
      </c>
      <c r="B2508" s="5" t="s">
        <v>6551</v>
      </c>
      <c r="C2508" s="5" t="s">
        <v>9467</v>
      </c>
      <c r="D2508" s="5" t="s">
        <v>16862</v>
      </c>
      <c r="E2508" s="5"/>
      <c r="F2508" s="1"/>
      <c r="G2508" s="5" t="s">
        <v>8971</v>
      </c>
      <c r="H2508" s="1"/>
      <c r="I2508" s="1"/>
      <c r="J2508" s="2"/>
      <c r="K2508" s="5" t="s">
        <v>8971</v>
      </c>
      <c r="M2508" s="18"/>
      <c r="N2508" s="1"/>
      <c r="O2508" s="1"/>
      <c r="P2508" s="21" t="str">
        <f>IF(ISNUMBER(MATCH($C2508,StackableKinds,0)), TRUE, "")</f>
        <v/>
      </c>
    </row>
    <row r="2509" spans="1:16" x14ac:dyDescent="0.2">
      <c r="A2509" s="19" t="str">
        <f>_xlfn.IFNA(VLOOKUP($B2509,Keys!$A:$B,2,FALSE),_xlfn.IFNA(VLOOKUP($B2509,Keys!$D:$E,2,FALSE),VLOOKUP($B2509,Keys!$G:$H,2,FALSE)))</f>
        <v>0x0000002A4E1163BD</v>
      </c>
      <c r="B2509" s="5" t="s">
        <v>6553</v>
      </c>
      <c r="C2509" s="5" t="s">
        <v>9467</v>
      </c>
      <c r="D2509" s="5" t="s">
        <v>16862</v>
      </c>
      <c r="E2509" s="5"/>
      <c r="F2509" s="1"/>
      <c r="G2509" s="5" t="s">
        <v>8971</v>
      </c>
      <c r="H2509" s="1"/>
      <c r="I2509" s="1"/>
      <c r="J2509" s="2"/>
      <c r="K2509" s="5" t="s">
        <v>8971</v>
      </c>
      <c r="M2509" s="18"/>
      <c r="N2509" s="1"/>
      <c r="O2509" s="1"/>
      <c r="P2509" s="21" t="str">
        <f>IF(ISNUMBER(MATCH($C2509,StackableKinds,0)), TRUE, "")</f>
        <v/>
      </c>
    </row>
    <row r="2510" spans="1:16" x14ac:dyDescent="0.2">
      <c r="A2510" s="19" t="str">
        <f>_xlfn.IFNA(VLOOKUP($B2510,Keys!$A:$B,2,FALSE),_xlfn.IFNA(VLOOKUP($B2510,Keys!$D:$E,2,FALSE),VLOOKUP($B2510,Keys!$G:$H,2,FALSE)))</f>
        <v>0x00000025A3C2F5D9</v>
      </c>
      <c r="B2510" s="5" t="s">
        <v>6555</v>
      </c>
      <c r="C2510" s="5" t="s">
        <v>9467</v>
      </c>
      <c r="D2510" s="5" t="s">
        <v>16862</v>
      </c>
      <c r="E2510" s="5"/>
      <c r="F2510" s="1"/>
      <c r="G2510" s="5" t="s">
        <v>8971</v>
      </c>
      <c r="H2510" s="1"/>
      <c r="I2510" s="1"/>
      <c r="J2510" s="2"/>
      <c r="K2510" s="5" t="s">
        <v>8971</v>
      </c>
      <c r="M2510" s="18"/>
      <c r="N2510" s="1"/>
      <c r="O2510" s="1"/>
      <c r="P2510" s="21" t="str">
        <f>IF(ISNUMBER(MATCH($C2510,StackableKinds,0)), TRUE, "")</f>
        <v/>
      </c>
    </row>
    <row r="2511" spans="1:16" x14ac:dyDescent="0.2">
      <c r="A2511" s="19" t="str">
        <f>_xlfn.IFNA(VLOOKUP($B2511,Keys!$A:$B,2,FALSE),_xlfn.IFNA(VLOOKUP($B2511,Keys!$D:$E,2,FALSE),VLOOKUP($B2511,Keys!$G:$H,2,FALSE)))</f>
        <v>0x0000001DAE512BE0</v>
      </c>
      <c r="B2511" s="5" t="s">
        <v>6557</v>
      </c>
      <c r="C2511" s="5" t="s">
        <v>9467</v>
      </c>
      <c r="D2511" s="5" t="s">
        <v>16862</v>
      </c>
      <c r="E2511" s="5"/>
      <c r="F2511" s="1"/>
      <c r="G2511" s="5" t="s">
        <v>8971</v>
      </c>
      <c r="H2511" s="1"/>
      <c r="I2511" s="1"/>
      <c r="J2511" s="2"/>
      <c r="K2511" s="5" t="s">
        <v>8971</v>
      </c>
      <c r="M2511" s="18"/>
      <c r="N2511" s="1"/>
      <c r="O2511" s="1"/>
      <c r="P2511" s="21" t="str">
        <f>IF(ISNUMBER(MATCH($C2511,StackableKinds,0)), TRUE, "")</f>
        <v/>
      </c>
    </row>
    <row r="2512" spans="1:16" x14ac:dyDescent="0.2">
      <c r="A2512" s="19" t="e">
        <f>_xlfn.IFNA(VLOOKUP($B2512,Keys!$A:$B,2,FALSE),_xlfn.IFNA(VLOOKUP($B2512,Keys!$D:$E,2,FALSE),VLOOKUP($B2512,Keys!$G:$H,2,FALSE)))</f>
        <v>#N/A</v>
      </c>
      <c r="B2512" s="5" t="s">
        <v>9470</v>
      </c>
      <c r="C2512" s="5" t="s">
        <v>9467</v>
      </c>
      <c r="D2512" s="5" t="s">
        <v>16862</v>
      </c>
      <c r="E2512" s="5"/>
      <c r="F2512" s="1"/>
      <c r="G2512" s="5" t="s">
        <v>8971</v>
      </c>
      <c r="H2512" s="1"/>
      <c r="I2512" s="1"/>
      <c r="J2512" s="2"/>
      <c r="K2512" s="5" t="s">
        <v>8971</v>
      </c>
      <c r="M2512" s="18"/>
      <c r="N2512" s="1"/>
      <c r="O2512" s="1"/>
      <c r="P2512" s="21" t="str">
        <f>IF(ISNUMBER(MATCH($C2512,StackableKinds,0)), TRUE, "")</f>
        <v/>
      </c>
    </row>
    <row r="2513" spans="1:16" x14ac:dyDescent="0.2">
      <c r="A2513" s="19" t="str">
        <f>_xlfn.IFNA(VLOOKUP($B2513,Keys!$A:$B,2,FALSE),_xlfn.IFNA(VLOOKUP($B2513,Keys!$D:$E,2,FALSE),VLOOKUP($B2513,Keys!$G:$H,2,FALSE)))</f>
        <v>0x000000297B33DD4E</v>
      </c>
      <c r="B2513" s="5" t="s">
        <v>6559</v>
      </c>
      <c r="C2513" s="5" t="s">
        <v>9467</v>
      </c>
      <c r="D2513" s="5" t="s">
        <v>16862</v>
      </c>
      <c r="E2513" s="5"/>
      <c r="F2513" s="1"/>
      <c r="G2513" s="5" t="s">
        <v>8971</v>
      </c>
      <c r="H2513" s="1"/>
      <c r="I2513" s="1"/>
      <c r="J2513" s="2"/>
      <c r="K2513" s="5" t="s">
        <v>8971</v>
      </c>
      <c r="M2513" s="18"/>
      <c r="N2513" s="1"/>
      <c r="O2513" s="1"/>
      <c r="P2513" s="21" t="str">
        <f>IF(ISNUMBER(MATCH($C2513,StackableKinds,0)), TRUE, "")</f>
        <v/>
      </c>
    </row>
    <row r="2514" spans="1:16" x14ac:dyDescent="0.2">
      <c r="A2514" s="19" t="str">
        <f>_xlfn.IFNA(VLOOKUP($B2514,Keys!$A:$B,2,FALSE),_xlfn.IFNA(VLOOKUP($B2514,Keys!$D:$E,2,FALSE),VLOOKUP($B2514,Keys!$G:$H,2,FALSE)))</f>
        <v>0x0000001C208C97CE</v>
      </c>
      <c r="B2514" s="5" t="s">
        <v>6561</v>
      </c>
      <c r="C2514" s="5" t="s">
        <v>9467</v>
      </c>
      <c r="D2514" s="5" t="s">
        <v>16862</v>
      </c>
      <c r="E2514" s="5"/>
      <c r="F2514" s="1"/>
      <c r="G2514" s="5" t="s">
        <v>8971</v>
      </c>
      <c r="H2514" s="1"/>
      <c r="I2514" s="1"/>
      <c r="J2514" s="2"/>
      <c r="K2514" s="5" t="s">
        <v>8971</v>
      </c>
      <c r="M2514" s="18"/>
      <c r="N2514" s="1"/>
      <c r="O2514" s="1"/>
      <c r="P2514" s="21" t="str">
        <f>IF(ISNUMBER(MATCH($C2514,StackableKinds,0)), TRUE, "")</f>
        <v/>
      </c>
    </row>
    <row r="2515" spans="1:16" x14ac:dyDescent="0.2">
      <c r="A2515" s="19" t="str">
        <f>_xlfn.IFNA(VLOOKUP($B2515,Keys!$A:$B,2,FALSE),_xlfn.IFNA(VLOOKUP($B2515,Keys!$D:$E,2,FALSE),VLOOKUP($B2515,Keys!$G:$H,2,FALSE)))</f>
        <v>0x0000002245376E2F</v>
      </c>
      <c r="B2515" s="5" t="s">
        <v>6563</v>
      </c>
      <c r="C2515" s="5" t="s">
        <v>9467</v>
      </c>
      <c r="D2515" s="5" t="s">
        <v>16862</v>
      </c>
      <c r="E2515" s="5"/>
      <c r="F2515" s="1"/>
      <c r="G2515" s="5" t="s">
        <v>8971</v>
      </c>
      <c r="H2515" s="1"/>
      <c r="I2515" s="1"/>
      <c r="J2515" s="2"/>
      <c r="K2515" s="5" t="s">
        <v>8971</v>
      </c>
      <c r="M2515" s="18"/>
      <c r="N2515" s="1"/>
      <c r="O2515" s="1"/>
      <c r="P2515" s="21" t="str">
        <f>IF(ISNUMBER(MATCH($C2515,StackableKinds,0)), TRUE, "")</f>
        <v/>
      </c>
    </row>
    <row r="2516" spans="1:16" x14ac:dyDescent="0.2">
      <c r="A2516" s="19" t="str">
        <f>_xlfn.IFNA(VLOOKUP($B2516,Keys!$A:$B,2,FALSE),_xlfn.IFNA(VLOOKUP($B2516,Keys!$D:$E,2,FALSE),VLOOKUP($B2516,Keys!$G:$H,2,FALSE)))</f>
        <v>0x0000002B6916119D</v>
      </c>
      <c r="B2516" s="5" t="s">
        <v>6565</v>
      </c>
      <c r="C2516" s="5" t="s">
        <v>9467</v>
      </c>
      <c r="D2516" s="5" t="s">
        <v>16862</v>
      </c>
      <c r="E2516" s="5"/>
      <c r="F2516" s="1"/>
      <c r="G2516" s="5" t="s">
        <v>8971</v>
      </c>
      <c r="H2516" s="1"/>
      <c r="I2516" s="1"/>
      <c r="J2516" s="2"/>
      <c r="K2516" s="5" t="s">
        <v>8971</v>
      </c>
      <c r="M2516" s="18"/>
      <c r="N2516" s="1"/>
      <c r="O2516" s="1"/>
      <c r="P2516" s="21" t="str">
        <f>IF(ISNUMBER(MATCH($C2516,StackableKinds,0)), TRUE, "")</f>
        <v/>
      </c>
    </row>
    <row r="2517" spans="1:16" x14ac:dyDescent="0.2">
      <c r="A2517" s="19" t="str">
        <f>_xlfn.IFNA(VLOOKUP($B2517,Keys!$A:$B,2,FALSE),_xlfn.IFNA(VLOOKUP($B2517,Keys!$D:$E,2,FALSE),VLOOKUP($B2517,Keys!$G:$H,2,FALSE)))</f>
        <v>0x000000268B5F1D19</v>
      </c>
      <c r="B2517" s="5" t="s">
        <v>6567</v>
      </c>
      <c r="C2517" s="5" t="s">
        <v>9467</v>
      </c>
      <c r="D2517" s="5" t="s">
        <v>16862</v>
      </c>
      <c r="E2517" s="5"/>
      <c r="F2517" s="1"/>
      <c r="G2517" s="5" t="s">
        <v>8971</v>
      </c>
      <c r="H2517" s="1"/>
      <c r="I2517" s="1"/>
      <c r="J2517" s="2"/>
      <c r="K2517" s="5" t="s">
        <v>8971</v>
      </c>
      <c r="M2517" s="18"/>
      <c r="N2517" s="1"/>
      <c r="O2517" s="1"/>
      <c r="P2517" s="21" t="str">
        <f>IF(ISNUMBER(MATCH($C2517,StackableKinds,0)), TRUE, "")</f>
        <v/>
      </c>
    </row>
    <row r="2518" spans="1:16" x14ac:dyDescent="0.2">
      <c r="A2518" s="19" t="str">
        <f>_xlfn.IFNA(VLOOKUP($B2518,Keys!$A:$B,2,FALSE),_xlfn.IFNA(VLOOKUP($B2518,Keys!$D:$E,2,FALSE),VLOOKUP($B2518,Keys!$G:$H,2,FALSE)))</f>
        <v>0x000000235C35E5CB</v>
      </c>
      <c r="B2518" s="5" t="s">
        <v>6569</v>
      </c>
      <c r="C2518" s="5" t="s">
        <v>9467</v>
      </c>
      <c r="D2518" s="5" t="s">
        <v>16862</v>
      </c>
      <c r="E2518" s="5"/>
      <c r="F2518" s="1"/>
      <c r="G2518" s="5" t="s">
        <v>8971</v>
      </c>
      <c r="H2518" s="1"/>
      <c r="I2518" s="1"/>
      <c r="J2518" s="2"/>
      <c r="K2518" s="5" t="s">
        <v>8971</v>
      </c>
      <c r="M2518" s="18"/>
      <c r="N2518" s="1"/>
      <c r="O2518" s="1"/>
      <c r="P2518" s="21" t="str">
        <f>IF(ISNUMBER(MATCH($C2518,StackableKinds,0)), TRUE, "")</f>
        <v/>
      </c>
    </row>
    <row r="2519" spans="1:16" x14ac:dyDescent="0.2">
      <c r="A2519" s="19" t="str">
        <f>_xlfn.IFNA(VLOOKUP($B2519,Keys!$A:$B,2,FALSE),_xlfn.IFNA(VLOOKUP($B2519,Keys!$D:$E,2,FALSE),VLOOKUP($B2519,Keys!$G:$H,2,FALSE)))</f>
        <v>0x0000002150F69BEA</v>
      </c>
      <c r="B2519" s="5" t="s">
        <v>6571</v>
      </c>
      <c r="C2519" s="5" t="s">
        <v>9467</v>
      </c>
      <c r="D2519" s="5" t="s">
        <v>16862</v>
      </c>
      <c r="E2519" s="5"/>
      <c r="F2519" s="1"/>
      <c r="G2519" s="5" t="s">
        <v>8971</v>
      </c>
      <c r="H2519" s="1"/>
      <c r="I2519" s="1"/>
      <c r="J2519" s="2"/>
      <c r="K2519" s="5" t="s">
        <v>8971</v>
      </c>
      <c r="M2519" s="18"/>
      <c r="N2519" s="1"/>
      <c r="O2519" s="1"/>
      <c r="P2519" s="21" t="str">
        <f>IF(ISNUMBER(MATCH($C2519,StackableKinds,0)), TRUE, "")</f>
        <v/>
      </c>
    </row>
    <row r="2520" spans="1:16" x14ac:dyDescent="0.2">
      <c r="A2520" s="19" t="str">
        <f>_xlfn.IFNA(VLOOKUP($B2520,Keys!$A:$B,2,FALSE),_xlfn.IFNA(VLOOKUP($B2520,Keys!$D:$E,2,FALSE),VLOOKUP($B2520,Keys!$G:$H,2,FALSE)))</f>
        <v>0x0000001A4E064500</v>
      </c>
      <c r="B2520" s="5" t="s">
        <v>6573</v>
      </c>
      <c r="C2520" s="5" t="s">
        <v>9467</v>
      </c>
      <c r="D2520" s="5" t="s">
        <v>16862</v>
      </c>
      <c r="E2520" s="5"/>
      <c r="F2520" s="1"/>
      <c r="G2520" s="5" t="s">
        <v>8971</v>
      </c>
      <c r="H2520" s="1"/>
      <c r="I2520" s="1"/>
      <c r="J2520" s="2"/>
      <c r="K2520" s="5" t="s">
        <v>8971</v>
      </c>
      <c r="M2520" s="18"/>
      <c r="N2520" s="1"/>
      <c r="O2520" s="1"/>
      <c r="P2520" s="21" t="str">
        <f>IF(ISNUMBER(MATCH($C2520,StackableKinds,0)), TRUE, "")</f>
        <v/>
      </c>
    </row>
    <row r="2521" spans="1:16" x14ac:dyDescent="0.2">
      <c r="A2521" s="19" t="str">
        <f>_xlfn.IFNA(VLOOKUP($B2521,Keys!$A:$B,2,FALSE),_xlfn.IFNA(VLOOKUP($B2521,Keys!$D:$E,2,FALSE),VLOOKUP($B2521,Keys!$G:$H,2,FALSE)))</f>
        <v>0x00000022A1498715</v>
      </c>
      <c r="B2521" s="5" t="s">
        <v>6642</v>
      </c>
      <c r="C2521" s="5" t="s">
        <v>9467</v>
      </c>
      <c r="D2521" s="5" t="s">
        <v>16862</v>
      </c>
      <c r="E2521" s="5"/>
      <c r="F2521" s="1"/>
      <c r="G2521" s="5" t="s">
        <v>8971</v>
      </c>
      <c r="H2521" s="1"/>
      <c r="I2521" s="1"/>
      <c r="J2521" s="2"/>
      <c r="K2521" s="5" t="s">
        <v>8971</v>
      </c>
      <c r="M2521" s="18"/>
      <c r="N2521" s="1"/>
      <c r="O2521" s="1"/>
      <c r="P2521" s="21" t="str">
        <f>IF(ISNUMBER(MATCH($C2521,StackableKinds,0)), TRUE, "")</f>
        <v/>
      </c>
    </row>
    <row r="2522" spans="1:16" x14ac:dyDescent="0.2">
      <c r="A2522" s="19" t="str">
        <f>_xlfn.IFNA(VLOOKUP($B2522,Keys!$A:$B,2,FALSE),_xlfn.IFNA(VLOOKUP($B2522,Keys!$D:$E,2,FALSE),VLOOKUP($B2522,Keys!$G:$H,2,FALSE)))</f>
        <v>0x0000002EC37F06A2</v>
      </c>
      <c r="B2522" s="5" t="s">
        <v>6644</v>
      </c>
      <c r="C2522" s="5" t="s">
        <v>9467</v>
      </c>
      <c r="D2522" s="5" t="s">
        <v>16862</v>
      </c>
      <c r="E2522" s="5"/>
      <c r="F2522" s="1"/>
      <c r="G2522" s="5" t="s">
        <v>8971</v>
      </c>
      <c r="H2522" s="1"/>
      <c r="I2522" s="1"/>
      <c r="J2522" s="2"/>
      <c r="K2522" s="5" t="s">
        <v>8971</v>
      </c>
      <c r="M2522" s="18"/>
      <c r="N2522" s="1"/>
      <c r="O2522" s="1"/>
      <c r="P2522" s="21" t="str">
        <f>IF(ISNUMBER(MATCH($C2522,StackableKinds,0)), TRUE, "")</f>
        <v/>
      </c>
    </row>
    <row r="2523" spans="1:16" x14ac:dyDescent="0.2">
      <c r="A2523" s="19" t="str">
        <f>_xlfn.IFNA(VLOOKUP($B2523,Keys!$A:$B,2,FALSE),_xlfn.IFNA(VLOOKUP($B2523,Keys!$D:$E,2,FALSE),VLOOKUP($B2523,Keys!$G:$H,2,FALSE)))</f>
        <v>0x0000001FD1B64D63</v>
      </c>
      <c r="B2523" s="5" t="s">
        <v>6646</v>
      </c>
      <c r="C2523" s="5" t="s">
        <v>9467</v>
      </c>
      <c r="D2523" s="5" t="s">
        <v>16862</v>
      </c>
      <c r="E2523" s="5"/>
      <c r="F2523" s="1"/>
      <c r="G2523" s="5" t="s">
        <v>8971</v>
      </c>
      <c r="H2523" s="1"/>
      <c r="I2523" s="1"/>
      <c r="J2523" s="2"/>
      <c r="K2523" s="5" t="s">
        <v>8971</v>
      </c>
      <c r="M2523" s="18"/>
      <c r="N2523" s="1"/>
      <c r="O2523" s="1"/>
      <c r="P2523" s="21" t="str">
        <f>IF(ISNUMBER(MATCH($C2523,StackableKinds,0)), TRUE, "")</f>
        <v/>
      </c>
    </row>
    <row r="2524" spans="1:16" x14ac:dyDescent="0.2">
      <c r="A2524" s="19" t="str">
        <f>_xlfn.IFNA(VLOOKUP($B2524,Keys!$A:$B,2,FALSE),_xlfn.IFNA(VLOOKUP($B2524,Keys!$D:$E,2,FALSE),VLOOKUP($B2524,Keys!$G:$H,2,FALSE)))</f>
        <v>0x0000002178246C9F</v>
      </c>
      <c r="B2524" s="5" t="s">
        <v>6648</v>
      </c>
      <c r="C2524" s="5" t="s">
        <v>9467</v>
      </c>
      <c r="D2524" s="5" t="s">
        <v>16862</v>
      </c>
      <c r="E2524" s="5"/>
      <c r="F2524" s="1"/>
      <c r="G2524" s="5" t="s">
        <v>8971</v>
      </c>
      <c r="H2524" s="1"/>
      <c r="I2524" s="1"/>
      <c r="J2524" s="2"/>
      <c r="K2524" s="5" t="s">
        <v>8971</v>
      </c>
      <c r="M2524" s="18"/>
      <c r="N2524" s="1"/>
      <c r="O2524" s="1"/>
      <c r="P2524" s="21" t="str">
        <f>IF(ISNUMBER(MATCH($C2524,StackableKinds,0)), TRUE, "")</f>
        <v/>
      </c>
    </row>
    <row r="2525" spans="1:16" x14ac:dyDescent="0.2">
      <c r="A2525" s="19" t="str">
        <f>_xlfn.IFNA(VLOOKUP($B2525,Keys!$A:$B,2,FALSE),_xlfn.IFNA(VLOOKUP($B2525,Keys!$D:$E,2,FALSE),VLOOKUP($B2525,Keys!$G:$H,2,FALSE)))</f>
        <v>0x0000001A787162EF</v>
      </c>
      <c r="B2525" s="5" t="s">
        <v>6650</v>
      </c>
      <c r="C2525" s="5" t="s">
        <v>9467</v>
      </c>
      <c r="D2525" s="5" t="s">
        <v>16862</v>
      </c>
      <c r="E2525" s="5"/>
      <c r="F2525" s="1"/>
      <c r="G2525" s="5" t="s">
        <v>8971</v>
      </c>
      <c r="H2525" s="1"/>
      <c r="I2525" s="1"/>
      <c r="J2525" s="2"/>
      <c r="K2525" s="5" t="s">
        <v>8971</v>
      </c>
      <c r="M2525" s="18"/>
      <c r="N2525" s="1"/>
      <c r="O2525" s="1"/>
      <c r="P2525" s="21" t="str">
        <f>IF(ISNUMBER(MATCH($C2525,StackableKinds,0)), TRUE, "")</f>
        <v/>
      </c>
    </row>
    <row r="2526" spans="1:16" x14ac:dyDescent="0.2">
      <c r="A2526" s="19" t="str">
        <f>_xlfn.IFNA(VLOOKUP($B2526,Keys!$A:$B,2,FALSE),_xlfn.IFNA(VLOOKUP($B2526,Keys!$D:$E,2,FALSE),VLOOKUP($B2526,Keys!$G:$H,2,FALSE)))</f>
        <v>0x00000020B36F0ABF</v>
      </c>
      <c r="B2526" s="5" t="s">
        <v>6652</v>
      </c>
      <c r="C2526" s="5" t="s">
        <v>9467</v>
      </c>
      <c r="D2526" s="5" t="s">
        <v>16862</v>
      </c>
      <c r="E2526" s="5"/>
      <c r="F2526" s="1"/>
      <c r="G2526" s="5" t="s">
        <v>8971</v>
      </c>
      <c r="H2526" s="1"/>
      <c r="I2526" s="1"/>
      <c r="J2526" s="2"/>
      <c r="K2526" s="5" t="s">
        <v>8971</v>
      </c>
      <c r="M2526" s="18"/>
      <c r="N2526" s="1"/>
      <c r="O2526" s="1"/>
      <c r="P2526" s="21" t="str">
        <f>IF(ISNUMBER(MATCH($C2526,StackableKinds,0)), TRUE, "")</f>
        <v/>
      </c>
    </row>
    <row r="2527" spans="1:16" x14ac:dyDescent="0.2">
      <c r="A2527" s="19" t="str">
        <f>_xlfn.IFNA(VLOOKUP($B2527,Keys!$A:$B,2,FALSE),_xlfn.IFNA(VLOOKUP($B2527,Keys!$D:$E,2,FALSE),VLOOKUP($B2527,Keys!$G:$H,2,FALSE)))</f>
        <v>0x00000024A651889D</v>
      </c>
      <c r="B2527" s="5" t="s">
        <v>6654</v>
      </c>
      <c r="C2527" s="5" t="s">
        <v>9467</v>
      </c>
      <c r="D2527" s="5" t="s">
        <v>16862</v>
      </c>
      <c r="E2527" s="5"/>
      <c r="F2527" s="1"/>
      <c r="G2527" s="5" t="s">
        <v>8971</v>
      </c>
      <c r="H2527" s="1"/>
      <c r="I2527" s="1"/>
      <c r="J2527" s="2"/>
      <c r="K2527" s="5" t="s">
        <v>8971</v>
      </c>
      <c r="M2527" s="18"/>
      <c r="N2527" s="1"/>
      <c r="O2527" s="1"/>
      <c r="P2527" s="21" t="str">
        <f>IF(ISNUMBER(MATCH($C2527,StackableKinds,0)), TRUE, "")</f>
        <v/>
      </c>
    </row>
    <row r="2528" spans="1:16" x14ac:dyDescent="0.2">
      <c r="A2528" s="19" t="str">
        <f>_xlfn.IFNA(VLOOKUP($B2528,Keys!$A:$B,2,FALSE),_xlfn.IFNA(VLOOKUP($B2528,Keys!$D:$E,2,FALSE),VLOOKUP($B2528,Keys!$G:$H,2,FALSE)))</f>
        <v>0x0000001F7B13DCCF</v>
      </c>
      <c r="B2528" s="5" t="s">
        <v>6656</v>
      </c>
      <c r="C2528" s="5" t="s">
        <v>9467</v>
      </c>
      <c r="D2528" s="5" t="s">
        <v>16862</v>
      </c>
      <c r="E2528" s="5"/>
      <c r="F2528" s="1"/>
      <c r="G2528" s="5" t="s">
        <v>8971</v>
      </c>
      <c r="H2528" s="1"/>
      <c r="I2528" s="1"/>
      <c r="J2528" s="2"/>
      <c r="K2528" s="5" t="s">
        <v>8971</v>
      </c>
      <c r="M2528" s="18"/>
      <c r="N2528" s="1"/>
      <c r="O2528" s="1"/>
      <c r="P2528" s="21" t="str">
        <f>IF(ISNUMBER(MATCH($C2528,StackableKinds,0)), TRUE, "")</f>
        <v/>
      </c>
    </row>
    <row r="2529" spans="1:16" x14ac:dyDescent="0.2">
      <c r="A2529" s="19" t="str">
        <f>_xlfn.IFNA(VLOOKUP($B2529,Keys!$A:$B,2,FALSE),_xlfn.IFNA(VLOOKUP($B2529,Keys!$D:$E,2,FALSE),VLOOKUP($B2529,Keys!$G:$H,2,FALSE)))</f>
        <v>0x0000001E6FF5AF66</v>
      </c>
      <c r="B2529" s="5" t="s">
        <v>6658</v>
      </c>
      <c r="C2529" s="5" t="s">
        <v>9467</v>
      </c>
      <c r="D2529" s="5" t="s">
        <v>16862</v>
      </c>
      <c r="E2529" s="5"/>
      <c r="F2529" s="1"/>
      <c r="G2529" s="5" t="s">
        <v>8971</v>
      </c>
      <c r="H2529" s="1"/>
      <c r="I2529" s="1"/>
      <c r="J2529" s="2"/>
      <c r="K2529" s="5" t="s">
        <v>8971</v>
      </c>
      <c r="M2529" s="18"/>
      <c r="N2529" s="1"/>
      <c r="O2529" s="1"/>
      <c r="P2529" s="21" t="str">
        <f>IF(ISNUMBER(MATCH($C2529,StackableKinds,0)), TRUE, "")</f>
        <v/>
      </c>
    </row>
    <row r="2530" spans="1:16" x14ac:dyDescent="0.2">
      <c r="A2530" s="19" t="str">
        <f>_xlfn.IFNA(VLOOKUP($B2530,Keys!$A:$B,2,FALSE),_xlfn.IFNA(VLOOKUP($B2530,Keys!$D:$E,2,FALSE),VLOOKUP($B2530,Keys!$G:$H,2,FALSE)))</f>
        <v>0x00000025E0D22D97</v>
      </c>
      <c r="B2530" s="5" t="s">
        <v>6660</v>
      </c>
      <c r="C2530" s="5" t="s">
        <v>9467</v>
      </c>
      <c r="D2530" s="5" t="s">
        <v>16862</v>
      </c>
      <c r="E2530" s="5"/>
      <c r="F2530" s="1"/>
      <c r="G2530" s="5" t="s">
        <v>8971</v>
      </c>
      <c r="H2530" s="1"/>
      <c r="I2530" s="1"/>
      <c r="J2530" s="2"/>
      <c r="K2530" s="5" t="s">
        <v>8971</v>
      </c>
      <c r="M2530" s="18"/>
      <c r="N2530" s="1"/>
      <c r="O2530" s="1"/>
      <c r="P2530" s="21" t="str">
        <f>IF(ISNUMBER(MATCH($C2530,StackableKinds,0)), TRUE, "")</f>
        <v/>
      </c>
    </row>
    <row r="2531" spans="1:16" x14ac:dyDescent="0.2">
      <c r="A2531" s="19" t="str">
        <f>_xlfn.IFNA(VLOOKUP($B2531,Keys!$A:$B,2,FALSE),_xlfn.IFNA(VLOOKUP($B2531,Keys!$D:$E,2,FALSE),VLOOKUP($B2531,Keys!$G:$H,2,FALSE)))</f>
        <v>0x0000001F310CC252</v>
      </c>
      <c r="B2531" s="5" t="s">
        <v>6662</v>
      </c>
      <c r="C2531" s="5" t="s">
        <v>9467</v>
      </c>
      <c r="D2531" s="5" t="s">
        <v>16862</v>
      </c>
      <c r="E2531" s="5"/>
      <c r="F2531" s="1"/>
      <c r="G2531" s="5" t="s">
        <v>8971</v>
      </c>
      <c r="H2531" s="1"/>
      <c r="I2531" s="1"/>
      <c r="J2531" s="2"/>
      <c r="K2531" s="5" t="s">
        <v>8971</v>
      </c>
      <c r="M2531" s="18"/>
      <c r="N2531" s="1"/>
      <c r="O2531" s="1"/>
      <c r="P2531" s="21" t="str">
        <f>IF(ISNUMBER(MATCH($C2531,StackableKinds,0)), TRUE, "")</f>
        <v/>
      </c>
    </row>
    <row r="2532" spans="1:16" x14ac:dyDescent="0.2">
      <c r="A2532" s="19" t="str">
        <f>_xlfn.IFNA(VLOOKUP($B2532,Keys!$A:$B,2,FALSE),_xlfn.IFNA(VLOOKUP($B2532,Keys!$D:$E,2,FALSE),VLOOKUP($B2532,Keys!$G:$H,2,FALSE)))</f>
        <v>0x00000025B94226D3</v>
      </c>
      <c r="B2532" s="5" t="s">
        <v>6664</v>
      </c>
      <c r="C2532" s="5" t="s">
        <v>9467</v>
      </c>
      <c r="D2532" s="5" t="s">
        <v>16862</v>
      </c>
      <c r="E2532" s="5"/>
      <c r="F2532" s="1"/>
      <c r="G2532" s="5" t="s">
        <v>8971</v>
      </c>
      <c r="H2532" s="1"/>
      <c r="I2532" s="1"/>
      <c r="J2532" s="2"/>
      <c r="K2532" s="5" t="s">
        <v>8971</v>
      </c>
      <c r="M2532" s="18"/>
      <c r="N2532" s="1"/>
      <c r="O2532" s="1"/>
      <c r="P2532" s="21" t="str">
        <f>IF(ISNUMBER(MATCH($C2532,StackableKinds,0)), TRUE, "")</f>
        <v/>
      </c>
    </row>
    <row r="2533" spans="1:16" x14ac:dyDescent="0.2">
      <c r="A2533" s="19" t="str">
        <f>_xlfn.IFNA(VLOOKUP($B2533,Keys!$A:$B,2,FALSE),_xlfn.IFNA(VLOOKUP($B2533,Keys!$D:$E,2,FALSE),VLOOKUP($B2533,Keys!$G:$H,2,FALSE)))</f>
        <v>0x00000019CBEC33A7</v>
      </c>
      <c r="B2533" s="5" t="s">
        <v>6666</v>
      </c>
      <c r="C2533" s="5" t="s">
        <v>9467</v>
      </c>
      <c r="D2533" s="5" t="s">
        <v>16862</v>
      </c>
      <c r="E2533" s="5"/>
      <c r="F2533" s="1"/>
      <c r="G2533" s="5" t="s">
        <v>8971</v>
      </c>
      <c r="H2533" s="1"/>
      <c r="I2533" s="1"/>
      <c r="J2533" s="2"/>
      <c r="K2533" s="5" t="s">
        <v>8971</v>
      </c>
      <c r="M2533" s="18"/>
      <c r="N2533" s="1"/>
      <c r="O2533" s="1"/>
      <c r="P2533" s="21" t="str">
        <f>IF(ISNUMBER(MATCH($C2533,StackableKinds,0)), TRUE, "")</f>
        <v/>
      </c>
    </row>
    <row r="2534" spans="1:16" x14ac:dyDescent="0.2">
      <c r="A2534" s="19" t="str">
        <f>_xlfn.IFNA(VLOOKUP($B2534,Keys!$A:$B,2,FALSE),_xlfn.IFNA(VLOOKUP($B2534,Keys!$D:$E,2,FALSE),VLOOKUP($B2534,Keys!$G:$H,2,FALSE)))</f>
        <v>0x000000222E4ACD14</v>
      </c>
      <c r="B2534" s="5" t="s">
        <v>6668</v>
      </c>
      <c r="C2534" s="5" t="s">
        <v>9467</v>
      </c>
      <c r="D2534" s="5" t="s">
        <v>16862</v>
      </c>
      <c r="E2534" s="5"/>
      <c r="F2534" s="1"/>
      <c r="G2534" s="5" t="s">
        <v>8971</v>
      </c>
      <c r="H2534" s="1"/>
      <c r="I2534" s="1"/>
      <c r="J2534" s="2"/>
      <c r="K2534" s="5" t="s">
        <v>8971</v>
      </c>
      <c r="M2534" s="18"/>
      <c r="N2534" s="1"/>
      <c r="O2534" s="1"/>
      <c r="P2534" s="21" t="str">
        <f>IF(ISNUMBER(MATCH($C2534,StackableKinds,0)), TRUE, "")</f>
        <v/>
      </c>
    </row>
    <row r="2535" spans="1:16" x14ac:dyDescent="0.2">
      <c r="A2535" s="19" t="str">
        <f>_xlfn.IFNA(VLOOKUP($B2535,Keys!$A:$B,2,FALSE),_xlfn.IFNA(VLOOKUP($B2535,Keys!$D:$E,2,FALSE),VLOOKUP($B2535,Keys!$G:$H,2,FALSE)))</f>
        <v>0x00000029FC851652</v>
      </c>
      <c r="B2535" s="5" t="s">
        <v>6670</v>
      </c>
      <c r="C2535" s="5" t="s">
        <v>9467</v>
      </c>
      <c r="D2535" s="5" t="s">
        <v>16862</v>
      </c>
      <c r="E2535" s="5"/>
      <c r="F2535" s="1"/>
      <c r="G2535" s="5" t="s">
        <v>8971</v>
      </c>
      <c r="H2535" s="1"/>
      <c r="I2535" s="1"/>
      <c r="J2535" s="2"/>
      <c r="K2535" s="5" t="s">
        <v>8971</v>
      </c>
      <c r="M2535" s="18"/>
      <c r="N2535" s="1"/>
      <c r="O2535" s="1"/>
      <c r="P2535" s="21" t="str">
        <f>IF(ISNUMBER(MATCH($C2535,StackableKinds,0)), TRUE, "")</f>
        <v/>
      </c>
    </row>
    <row r="2536" spans="1:16" x14ac:dyDescent="0.2">
      <c r="A2536" s="19" t="str">
        <f>_xlfn.IFNA(VLOOKUP($B2536,Keys!$A:$B,2,FALSE),_xlfn.IFNA(VLOOKUP($B2536,Keys!$D:$E,2,FALSE),VLOOKUP($B2536,Keys!$G:$H,2,FALSE)))</f>
        <v>0x00000024CF29CC32</v>
      </c>
      <c r="B2536" s="5" t="s">
        <v>6672</v>
      </c>
      <c r="C2536" s="5" t="s">
        <v>9467</v>
      </c>
      <c r="D2536" s="5" t="s">
        <v>16862</v>
      </c>
      <c r="E2536" s="5"/>
      <c r="F2536" s="1"/>
      <c r="G2536" s="5" t="s">
        <v>8971</v>
      </c>
      <c r="H2536" s="1"/>
      <c r="I2536" s="1"/>
      <c r="J2536" s="2"/>
      <c r="K2536" s="5" t="s">
        <v>8971</v>
      </c>
      <c r="M2536" s="18"/>
      <c r="N2536" s="1"/>
      <c r="O2536" s="1"/>
      <c r="P2536" s="21" t="str">
        <f>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16862</v>
      </c>
      <c r="E2537" s="5"/>
      <c r="F2537" s="1"/>
      <c r="G2537" s="5" t="s">
        <v>8971</v>
      </c>
      <c r="H2537" s="1"/>
      <c r="I2537" s="1"/>
      <c r="J2537" s="2"/>
      <c r="K2537" s="5" t="s">
        <v>8971</v>
      </c>
      <c r="M2537" s="18"/>
      <c r="N2537" s="1"/>
      <c r="O2537" s="1"/>
      <c r="P2537" s="21" t="str">
        <f>IF(ISNUMBER(MATCH($C2537,StackableKinds,0)), TRUE, "")</f>
        <v/>
      </c>
    </row>
    <row r="2538" spans="1:16" x14ac:dyDescent="0.2">
      <c r="A2538" s="19" t="str">
        <f>_xlfn.IFNA(VLOOKUP($B2538,Keys!$A:$B,2,FALSE),_xlfn.IFNA(VLOOKUP($B2538,Keys!$D:$E,2,FALSE),VLOOKUP($B2538,Keys!$G:$H,2,FALSE)))</f>
        <v>0x000000226577BD28</v>
      </c>
      <c r="B2538" s="5" t="s">
        <v>6676</v>
      </c>
      <c r="C2538" s="5" t="s">
        <v>9467</v>
      </c>
      <c r="D2538" s="5" t="s">
        <v>16862</v>
      </c>
      <c r="E2538" s="5"/>
      <c r="F2538" s="1"/>
      <c r="G2538" s="5" t="s">
        <v>8971</v>
      </c>
      <c r="H2538" s="1"/>
      <c r="I2538" s="1"/>
      <c r="J2538" s="2"/>
      <c r="K2538" s="5" t="s">
        <v>8971</v>
      </c>
      <c r="M2538" s="18"/>
      <c r="N2538" s="1"/>
      <c r="O2538" s="1"/>
      <c r="P2538" s="21" t="str">
        <f>IF(ISNUMBER(MATCH($C2538,StackableKinds,0)), TRUE, "")</f>
        <v/>
      </c>
    </row>
    <row r="2539" spans="1:16" x14ac:dyDescent="0.2">
      <c r="A2539" s="19" t="str">
        <f>_xlfn.IFNA(VLOOKUP($B2539,Keys!$A:$B,2,FALSE),_xlfn.IFNA(VLOOKUP($B2539,Keys!$D:$E,2,FALSE),VLOOKUP($B2539,Keys!$G:$H,2,FALSE)))</f>
        <v>0x00000028EC77D07C</v>
      </c>
      <c r="B2539" s="5" t="s">
        <v>6678</v>
      </c>
      <c r="C2539" s="5" t="s">
        <v>9467</v>
      </c>
      <c r="D2539" s="5" t="s">
        <v>16862</v>
      </c>
      <c r="E2539" s="5"/>
      <c r="F2539" s="1"/>
      <c r="G2539" s="5" t="s">
        <v>8971</v>
      </c>
      <c r="H2539" s="1"/>
      <c r="I2539" s="1"/>
      <c r="J2539" s="2"/>
      <c r="K2539" s="5" t="s">
        <v>8971</v>
      </c>
      <c r="M2539" s="18"/>
      <c r="N2539" s="1"/>
      <c r="O2539" s="1"/>
      <c r="P2539" s="21" t="str">
        <f>IF(ISNUMBER(MATCH($C2539,StackableKinds,0)), TRUE, "")</f>
        <v/>
      </c>
    </row>
    <row r="2540" spans="1:16" x14ac:dyDescent="0.2">
      <c r="A2540" s="19" t="str">
        <f>_xlfn.IFNA(VLOOKUP($B2540,Keys!$A:$B,2,FALSE),_xlfn.IFNA(VLOOKUP($B2540,Keys!$D:$E,2,FALSE),VLOOKUP($B2540,Keys!$G:$H,2,FALSE)))</f>
        <v>0x0000001F64D6E6BD</v>
      </c>
      <c r="B2540" s="5" t="s">
        <v>6680</v>
      </c>
      <c r="C2540" s="5" t="s">
        <v>9467</v>
      </c>
      <c r="D2540" s="5" t="s">
        <v>16862</v>
      </c>
      <c r="E2540" s="5"/>
      <c r="F2540" s="1"/>
      <c r="G2540" s="5" t="s">
        <v>8971</v>
      </c>
      <c r="H2540" s="1"/>
      <c r="I2540" s="1"/>
      <c r="J2540" s="2"/>
      <c r="K2540" s="5" t="s">
        <v>8971</v>
      </c>
      <c r="M2540" s="18"/>
      <c r="N2540" s="1"/>
      <c r="O2540" s="1"/>
      <c r="P2540" s="21" t="str">
        <f>IF(ISNUMBER(MATCH($C2540,StackableKinds,0)), TRUE, "")</f>
        <v/>
      </c>
    </row>
    <row r="2541" spans="1:16" x14ac:dyDescent="0.2">
      <c r="A2541" s="19" t="str">
        <f>_xlfn.IFNA(VLOOKUP($B2541,Keys!$A:$B,2,FALSE),_xlfn.IFNA(VLOOKUP($B2541,Keys!$D:$E,2,FALSE),VLOOKUP($B2541,Keys!$G:$H,2,FALSE)))</f>
        <v>0x00000028FC61DF46</v>
      </c>
      <c r="B2541" s="5" t="s">
        <v>6682</v>
      </c>
      <c r="C2541" s="5" t="s">
        <v>9467</v>
      </c>
      <c r="D2541" s="5" t="s">
        <v>16862</v>
      </c>
      <c r="E2541" s="5"/>
      <c r="F2541" s="1"/>
      <c r="G2541" s="5" t="s">
        <v>8971</v>
      </c>
      <c r="H2541" s="1"/>
      <c r="I2541" s="1"/>
      <c r="J2541" s="2"/>
      <c r="K2541" s="5" t="s">
        <v>8971</v>
      </c>
      <c r="M2541" s="18"/>
      <c r="N2541" s="1"/>
      <c r="O2541" s="1"/>
      <c r="P2541" s="21" t="str">
        <f>IF(ISNUMBER(MATCH($C2541,StackableKinds,0)), TRUE, "")</f>
        <v/>
      </c>
    </row>
    <row r="2542" spans="1:16" x14ac:dyDescent="0.2">
      <c r="A2542" s="19" t="str">
        <f>_xlfn.IFNA(VLOOKUP($B2542,Keys!$A:$B,2,FALSE),_xlfn.IFNA(VLOOKUP($B2542,Keys!$D:$E,2,FALSE),VLOOKUP($B2542,Keys!$G:$H,2,FALSE)))</f>
        <v>0x0000002318AC77DB</v>
      </c>
      <c r="B2542" s="5" t="s">
        <v>6684</v>
      </c>
      <c r="C2542" s="5" t="s">
        <v>9467</v>
      </c>
      <c r="D2542" s="5" t="s">
        <v>16862</v>
      </c>
      <c r="E2542" s="5"/>
      <c r="F2542" s="1"/>
      <c r="G2542" s="5" t="s">
        <v>8971</v>
      </c>
      <c r="H2542" s="1"/>
      <c r="I2542" s="1"/>
      <c r="J2542" s="2"/>
      <c r="K2542" s="5" t="s">
        <v>8971</v>
      </c>
      <c r="M2542" s="18"/>
      <c r="N2542" s="1"/>
      <c r="O2542" s="1"/>
      <c r="P2542" s="21" t="str">
        <f>IF(ISNUMBER(MATCH($C2542,StackableKinds,0)), TRUE, "")</f>
        <v/>
      </c>
    </row>
    <row r="2543" spans="1:16" x14ac:dyDescent="0.2">
      <c r="A2543" s="19" t="str">
        <f>_xlfn.IFNA(VLOOKUP($B2543,Keys!$A:$B,2,FALSE),_xlfn.IFNA(VLOOKUP($B2543,Keys!$D:$E,2,FALSE),VLOOKUP($B2543,Keys!$G:$H,2,FALSE)))</f>
        <v>0x000000233D034D12</v>
      </c>
      <c r="B2543" s="5" t="s">
        <v>6686</v>
      </c>
      <c r="C2543" s="5" t="s">
        <v>9467</v>
      </c>
      <c r="D2543" s="5" t="s">
        <v>16862</v>
      </c>
      <c r="E2543" s="5"/>
      <c r="F2543" s="1"/>
      <c r="G2543" s="5" t="s">
        <v>8971</v>
      </c>
      <c r="H2543" s="1"/>
      <c r="I2543" s="1"/>
      <c r="J2543" s="2"/>
      <c r="K2543" s="5" t="s">
        <v>8971</v>
      </c>
      <c r="M2543" s="18"/>
      <c r="N2543" s="1"/>
      <c r="O2543" s="1"/>
      <c r="P2543" s="21" t="str">
        <f>IF(ISNUMBER(MATCH($C2543,StackableKinds,0)), TRUE, "")</f>
        <v/>
      </c>
    </row>
    <row r="2544" spans="1:16" x14ac:dyDescent="0.2">
      <c r="A2544" s="19" t="str">
        <f>_xlfn.IFNA(VLOOKUP($B2544,Keys!$A:$B,2,FALSE),_xlfn.IFNA(VLOOKUP($B2544,Keys!$D:$E,2,FALSE),VLOOKUP($B2544,Keys!$G:$H,2,FALSE)))</f>
        <v>0x00000028E8CABF8F</v>
      </c>
      <c r="B2544" s="5" t="s">
        <v>6688</v>
      </c>
      <c r="C2544" s="5" t="s">
        <v>9467</v>
      </c>
      <c r="D2544" s="5" t="s">
        <v>16862</v>
      </c>
      <c r="E2544" s="5"/>
      <c r="F2544" s="1"/>
      <c r="G2544" s="5" t="s">
        <v>8971</v>
      </c>
      <c r="H2544" s="1"/>
      <c r="I2544" s="1"/>
      <c r="J2544" s="2"/>
      <c r="K2544" s="5" t="s">
        <v>8971</v>
      </c>
      <c r="M2544" s="18"/>
      <c r="N2544" s="1"/>
      <c r="O2544" s="1"/>
      <c r="P2544" s="21" t="str">
        <f>IF(ISNUMBER(MATCH($C2544,StackableKinds,0)), TRUE, "")</f>
        <v/>
      </c>
    </row>
    <row r="2545" spans="1:17" x14ac:dyDescent="0.2">
      <c r="A2545" s="19" t="str">
        <f>_xlfn.IFNA(VLOOKUP($B2545,Keys!$A:$B,2,FALSE),_xlfn.IFNA(VLOOKUP($B2545,Keys!$D:$E,2,FALSE),VLOOKUP($B2545,Keys!$G:$H,2,FALSE)))</f>
        <v>0x0000002330887501</v>
      </c>
      <c r="B2545" s="5" t="s">
        <v>6690</v>
      </c>
      <c r="C2545" s="5" t="s">
        <v>9467</v>
      </c>
      <c r="D2545" s="5" t="s">
        <v>16862</v>
      </c>
      <c r="E2545" s="5"/>
      <c r="F2545" s="1"/>
      <c r="G2545" s="5" t="s">
        <v>8971</v>
      </c>
      <c r="H2545" s="1"/>
      <c r="I2545" s="1"/>
      <c r="J2545" s="2"/>
      <c r="K2545" s="5" t="s">
        <v>8971</v>
      </c>
      <c r="M2545" s="18"/>
      <c r="N2545" s="1"/>
      <c r="O2545" s="1"/>
      <c r="P2545" s="21" t="str">
        <f>IF(ISNUMBER(MATCH($C2545,StackableKinds,0)), TRUE, "")</f>
        <v/>
      </c>
    </row>
    <row r="2546" spans="1:17" x14ac:dyDescent="0.2">
      <c r="A2546" s="19" t="str">
        <f>_xlfn.IFNA(VLOOKUP($B2546,Keys!$A:$B,2,FALSE),_xlfn.IFNA(VLOOKUP($B2546,Keys!$D:$E,2,FALSE),VLOOKUP($B2546,Keys!$G:$H,2,FALSE)))</f>
        <v>0x000000178267B4D4</v>
      </c>
      <c r="B2546" s="5" t="s">
        <v>6692</v>
      </c>
      <c r="C2546" s="5" t="s">
        <v>9467</v>
      </c>
      <c r="D2546" s="5" t="s">
        <v>16862</v>
      </c>
      <c r="E2546" s="5"/>
      <c r="F2546" s="1"/>
      <c r="G2546" s="5" t="s">
        <v>8971</v>
      </c>
      <c r="H2546" s="1"/>
      <c r="I2546" s="1"/>
      <c r="J2546" s="2"/>
      <c r="K2546" s="5" t="s">
        <v>8971</v>
      </c>
      <c r="M2546" s="18"/>
      <c r="N2546" s="1"/>
      <c r="O2546" s="1"/>
      <c r="P2546" s="21" t="str">
        <f>IF(ISNUMBER(MATCH($C2546,StackableKinds,0)), TRUE, "")</f>
        <v/>
      </c>
    </row>
    <row r="2547" spans="1:17" x14ac:dyDescent="0.2">
      <c r="A2547" s="19" t="str">
        <f>_xlfn.IFNA(VLOOKUP($B2547,Keys!$A:$B,2,FALSE),_xlfn.IFNA(VLOOKUP($B2547,Keys!$D:$E,2,FALSE),VLOOKUP($B2547,Keys!$G:$H,2,FALSE)))</f>
        <v>0x00000021E48D31F5</v>
      </c>
      <c r="B2547" s="5" t="s">
        <v>6694</v>
      </c>
      <c r="C2547" s="5" t="s">
        <v>9467</v>
      </c>
      <c r="D2547" s="5" t="s">
        <v>16862</v>
      </c>
      <c r="E2547" s="5"/>
      <c r="F2547" s="1"/>
      <c r="G2547" s="5" t="s">
        <v>8971</v>
      </c>
      <c r="H2547" s="1"/>
      <c r="I2547" s="1"/>
      <c r="J2547" s="2"/>
      <c r="K2547" s="5" t="s">
        <v>8971</v>
      </c>
      <c r="M2547" s="18"/>
      <c r="N2547" s="1"/>
      <c r="O2547" s="1"/>
      <c r="P2547" s="21" t="str">
        <f>IF(ISNUMBER(MATCH($C2547,StackableKinds,0)), TRUE, "")</f>
        <v/>
      </c>
    </row>
    <row r="2548" spans="1:17" x14ac:dyDescent="0.2">
      <c r="A2548" s="19" t="str">
        <f>_xlfn.IFNA(VLOOKUP($B2548,Keys!$A:$B,2,FALSE),_xlfn.IFNA(VLOOKUP($B2548,Keys!$D:$E,2,FALSE),VLOOKUP($B2548,Keys!$G:$H,2,FALSE)))</f>
        <v>0x00000026FF713AFE</v>
      </c>
      <c r="B2548" s="5" t="s">
        <v>6696</v>
      </c>
      <c r="C2548" s="5" t="s">
        <v>9467</v>
      </c>
      <c r="D2548" s="5" t="s">
        <v>16862</v>
      </c>
      <c r="E2548" s="5"/>
      <c r="F2548" s="1"/>
      <c r="G2548" s="5" t="s">
        <v>8971</v>
      </c>
      <c r="H2548" s="1"/>
      <c r="I2548" s="1"/>
      <c r="J2548" s="2"/>
      <c r="K2548" s="5" t="s">
        <v>8971</v>
      </c>
      <c r="M2548" s="18"/>
      <c r="N2548" s="1"/>
      <c r="O2548" s="1"/>
      <c r="P2548" s="21" t="str">
        <f>IF(ISNUMBER(MATCH($C2548,StackableKinds,0)), TRUE, "")</f>
        <v/>
      </c>
    </row>
    <row r="2549" spans="1:17" x14ac:dyDescent="0.2">
      <c r="A2549" s="19" t="str">
        <f>_xlfn.IFNA(VLOOKUP($B2549,Keys!$A:$B,2,FALSE),_xlfn.IFNA(VLOOKUP($B2549,Keys!$D:$E,2,FALSE),VLOOKUP($B2549,Keys!$G:$H,2,FALSE)))</f>
        <v>0x00000021D1457FC9</v>
      </c>
      <c r="B2549" s="5" t="s">
        <v>6698</v>
      </c>
      <c r="C2549" s="5" t="s">
        <v>9467</v>
      </c>
      <c r="D2549" s="5" t="s">
        <v>16862</v>
      </c>
      <c r="E2549" s="5"/>
      <c r="F2549" s="1"/>
      <c r="G2549" s="5" t="s">
        <v>8971</v>
      </c>
      <c r="H2549" s="1"/>
      <c r="I2549" s="1"/>
      <c r="J2549" s="2"/>
      <c r="K2549" s="5" t="s">
        <v>8971</v>
      </c>
      <c r="M2549" s="18"/>
      <c r="N2549" s="1"/>
      <c r="O2549" s="1"/>
      <c r="P2549" s="21" t="str">
        <f>IF(ISNUMBER(MATCH($C2549,StackableKinds,0)), TRUE, "")</f>
        <v/>
      </c>
    </row>
    <row r="2550" spans="1:17" x14ac:dyDescent="0.2">
      <c r="A2550" s="19" t="str">
        <f>_xlfn.IFNA(VLOOKUP($B2550,Keys!$A:$B,2,FALSE),_xlfn.IFNA(VLOOKUP($B2550,Keys!$D:$E,2,FALSE),VLOOKUP($B2550,Keys!$G:$H,2,FALSE)))</f>
        <v>0x000000233BBE9CAB</v>
      </c>
      <c r="B2550" s="5" t="s">
        <v>6700</v>
      </c>
      <c r="C2550" s="5" t="s">
        <v>9467</v>
      </c>
      <c r="D2550" s="5" t="s">
        <v>16862</v>
      </c>
      <c r="E2550" s="5"/>
      <c r="F2550" s="1"/>
      <c r="G2550" s="5" t="s">
        <v>8971</v>
      </c>
      <c r="H2550" s="1"/>
      <c r="I2550" s="1"/>
      <c r="J2550" s="2"/>
      <c r="K2550" s="5" t="s">
        <v>8971</v>
      </c>
      <c r="M2550" s="18"/>
      <c r="N2550" s="1"/>
      <c r="O2550" s="1"/>
      <c r="P2550" s="21" t="str">
        <f>IF(ISNUMBER(MATCH($C2550,StackableKinds,0)), TRUE, "")</f>
        <v/>
      </c>
    </row>
    <row r="2551" spans="1:17" x14ac:dyDescent="0.2">
      <c r="A2551" s="19" t="str">
        <f>_xlfn.IFNA(VLOOKUP($B2551,Keys!$A:$B,2,FALSE),_xlfn.IFNA(VLOOKUP($B2551,Keys!$D:$E,2,FALSE),VLOOKUP($B2551,Keys!$G:$H,2,FALSE)))</f>
        <v>0x000000222E4AA6C5</v>
      </c>
      <c r="B2551" s="5" t="s">
        <v>6702</v>
      </c>
      <c r="C2551" s="5" t="s">
        <v>9467</v>
      </c>
      <c r="D2551" s="5" t="s">
        <v>16862</v>
      </c>
      <c r="E2551" s="5"/>
      <c r="F2551" s="1"/>
      <c r="G2551" s="5" t="s">
        <v>8971</v>
      </c>
      <c r="H2551" s="1"/>
      <c r="I2551" s="1"/>
      <c r="J2551" s="2"/>
      <c r="K2551" s="5" t="s">
        <v>8971</v>
      </c>
      <c r="M2551" s="18"/>
      <c r="N2551" s="1"/>
      <c r="O2551" s="1"/>
      <c r="P2551" s="21" t="str">
        <f>IF(ISNUMBER(MATCH($C2551,StackableKinds,0)), TRUE, "")</f>
        <v/>
      </c>
    </row>
    <row r="2552" spans="1:17" x14ac:dyDescent="0.2">
      <c r="A2552" s="19" t="str">
        <f>_xlfn.IFNA(VLOOKUP($B2552,Keys!$A:$B,2,FALSE),_xlfn.IFNA(VLOOKUP($B2552,Keys!$D:$E,2,FALSE),VLOOKUP($B2552,Keys!$G:$H,2,FALSE)))</f>
        <v>0x0000001CB430BD3B</v>
      </c>
      <c r="B2552" s="5" t="s">
        <v>6704</v>
      </c>
      <c r="C2552" s="5" t="s">
        <v>9467</v>
      </c>
      <c r="D2552" s="5" t="s">
        <v>16862</v>
      </c>
      <c r="E2552" s="5"/>
      <c r="F2552" s="1"/>
      <c r="G2552" s="5" t="s">
        <v>8971</v>
      </c>
      <c r="H2552" s="1"/>
      <c r="I2552" s="1"/>
      <c r="J2552" s="2"/>
      <c r="K2552" s="5" t="s">
        <v>8971</v>
      </c>
      <c r="M2552" s="18"/>
      <c r="N2552" s="1"/>
      <c r="O2552" s="1"/>
      <c r="P2552" s="21" t="str">
        <f>IF(ISNUMBER(MATCH($C2552,StackableKinds,0)), TRUE, "")</f>
        <v/>
      </c>
    </row>
    <row r="2553" spans="1:17" x14ac:dyDescent="0.2">
      <c r="A2553" s="19" t="str">
        <f>_xlfn.IFNA(VLOOKUP($B2553,Keys!$A:$B,2,FALSE),_xlfn.IFNA(VLOOKUP($B2553,Keys!$D:$E,2,FALSE),VLOOKUP($B2553,Keys!$G:$H,2,FALSE)))</f>
        <v>0x0000001B2115ACA6</v>
      </c>
      <c r="B2553" s="5" t="s">
        <v>6706</v>
      </c>
      <c r="C2553" s="5" t="s">
        <v>9467</v>
      </c>
      <c r="D2553" s="5" t="s">
        <v>16862</v>
      </c>
      <c r="E2553" s="5"/>
      <c r="F2553" s="1"/>
      <c r="G2553" s="5" t="s">
        <v>8971</v>
      </c>
      <c r="H2553" s="1"/>
      <c r="I2553" s="1"/>
      <c r="J2553" s="2"/>
      <c r="K2553" s="5" t="s">
        <v>8971</v>
      </c>
      <c r="M2553" s="18"/>
      <c r="N2553" s="1"/>
      <c r="O2553" s="1"/>
      <c r="P2553" s="21" t="str">
        <f>IF(ISNUMBER(MATCH($C2553,StackableKinds,0)), TRUE, "")</f>
        <v/>
      </c>
    </row>
    <row r="2554" spans="1:17" x14ac:dyDescent="0.2">
      <c r="A2554" s="19" t="str">
        <f>_xlfn.IFNA(VLOOKUP($B2554,Keys!$A:$B,2,FALSE),_xlfn.IFNA(VLOOKUP($B2554,Keys!$D:$E,2,FALSE),VLOOKUP($B2554,Keys!$G:$H,2,FALSE)))</f>
        <v>0x0000002E435F8800</v>
      </c>
      <c r="B2554" s="5" t="s">
        <v>6708</v>
      </c>
      <c r="C2554" s="5" t="s">
        <v>9467</v>
      </c>
      <c r="D2554" s="5" t="s">
        <v>16862</v>
      </c>
      <c r="E2554" s="5"/>
      <c r="F2554" s="1"/>
      <c r="G2554" s="5" t="s">
        <v>8971</v>
      </c>
      <c r="H2554" s="1"/>
      <c r="I2554" s="1"/>
      <c r="J2554" s="2"/>
      <c r="K2554" s="5" t="s">
        <v>8971</v>
      </c>
      <c r="M2554" s="18"/>
      <c r="N2554" s="1"/>
      <c r="O2554" s="1"/>
      <c r="P2554" s="21" t="str">
        <f>IF(ISNUMBER(MATCH($C2554,StackableKinds,0)), TRUE, "")</f>
        <v/>
      </c>
    </row>
    <row r="2555" spans="1:17" x14ac:dyDescent="0.2">
      <c r="A2555" s="19" t="str">
        <f>_xlfn.IFNA(VLOOKUP($B2555,Keys!$A:$B,2,FALSE),_xlfn.IFNA(VLOOKUP($B2555,Keys!$D:$E,2,FALSE),VLOOKUP($B2555,Keys!$G:$H,2,FALSE)))</f>
        <v>0x000000127C991AB6</v>
      </c>
      <c r="B2555" s="5" t="s">
        <v>6758</v>
      </c>
      <c r="C2555" s="5" t="s">
        <v>9467</v>
      </c>
      <c r="D2555" s="5" t="s">
        <v>16862</v>
      </c>
      <c r="E2555" s="5"/>
      <c r="F2555" s="1"/>
      <c r="G2555" s="5" t="s">
        <v>8971</v>
      </c>
      <c r="H2555" s="1"/>
      <c r="I2555" s="1"/>
      <c r="J2555" s="2"/>
      <c r="K2555" s="5" t="s">
        <v>8971</v>
      </c>
      <c r="M2555" s="20" t="s">
        <v>10943</v>
      </c>
      <c r="N2555" s="1"/>
      <c r="O2555" s="1"/>
      <c r="P2555" s="21" t="str">
        <f>IF(ISNUMBER(MATCH($C2555,StackableKinds,0)), TRUE, "")</f>
        <v/>
      </c>
      <c r="Q2555" s="2"/>
    </row>
    <row r="2556" spans="1:17" x14ac:dyDescent="0.2">
      <c r="A2556" s="19" t="str">
        <f>_xlfn.IFNA(VLOOKUP($B2556,Keys!$A:$B,2,FALSE),_xlfn.IFNA(VLOOKUP($B2556,Keys!$D:$E,2,FALSE),VLOOKUP($B2556,Keys!$G:$H,2,FALSE)))</f>
        <v>0x000000231217D3CA</v>
      </c>
      <c r="B2556" s="5" t="s">
        <v>6798</v>
      </c>
      <c r="C2556" s="5" t="s">
        <v>9467</v>
      </c>
      <c r="D2556" s="5" t="s">
        <v>16862</v>
      </c>
      <c r="E2556" s="5"/>
      <c r="F2556" s="1"/>
      <c r="G2556" s="5" t="s">
        <v>8971</v>
      </c>
      <c r="H2556" s="1"/>
      <c r="I2556" s="1"/>
      <c r="J2556" s="2"/>
      <c r="K2556" s="5" t="s">
        <v>8971</v>
      </c>
      <c r="M2556" s="18"/>
      <c r="N2556" s="1"/>
      <c r="O2556" s="1"/>
      <c r="P2556" s="21" t="str">
        <f>IF(ISNUMBER(MATCH($C2556,StackableKinds,0)), TRUE, "")</f>
        <v/>
      </c>
    </row>
    <row r="2557" spans="1:17" x14ac:dyDescent="0.2">
      <c r="A2557" s="19" t="str">
        <f>_xlfn.IFNA(VLOOKUP($B2557,Keys!$A:$B,2,FALSE),_xlfn.IFNA(VLOOKUP($B2557,Keys!$D:$E,2,FALSE),VLOOKUP($B2557,Keys!$G:$H,2,FALSE)))</f>
        <v>0x000000238B1E8270</v>
      </c>
      <c r="B2557" s="5" t="s">
        <v>6800</v>
      </c>
      <c r="C2557" s="5" t="s">
        <v>9467</v>
      </c>
      <c r="D2557" s="5" t="s">
        <v>16862</v>
      </c>
      <c r="E2557" s="5"/>
      <c r="F2557" s="1"/>
      <c r="G2557" s="5" t="s">
        <v>8971</v>
      </c>
      <c r="H2557" s="1"/>
      <c r="I2557" s="1"/>
      <c r="J2557" s="2"/>
      <c r="K2557" s="5" t="s">
        <v>8971</v>
      </c>
      <c r="M2557" s="18"/>
      <c r="N2557" s="1"/>
      <c r="O2557" s="1"/>
      <c r="P2557" s="21" t="str">
        <f>IF(ISNUMBER(MATCH($C2557,StackableKinds,0)), TRUE, "")</f>
        <v/>
      </c>
    </row>
    <row r="2558" spans="1:17" x14ac:dyDescent="0.2">
      <c r="A2558" s="19" t="str">
        <f>_xlfn.IFNA(VLOOKUP($B2558,Keys!$A:$B,2,FALSE),_xlfn.IFNA(VLOOKUP($B2558,Keys!$D:$E,2,FALSE),VLOOKUP($B2558,Keys!$G:$H,2,FALSE)))</f>
        <v>0x00000023FC19B2E6</v>
      </c>
      <c r="B2558" s="5" t="s">
        <v>6802</v>
      </c>
      <c r="C2558" s="5" t="s">
        <v>9467</v>
      </c>
      <c r="D2558" s="5" t="s">
        <v>16862</v>
      </c>
      <c r="E2558" s="5"/>
      <c r="F2558" s="1"/>
      <c r="G2558" s="5" t="s">
        <v>8971</v>
      </c>
      <c r="H2558" s="1"/>
      <c r="I2558" s="1"/>
      <c r="J2558" s="2"/>
      <c r="K2558" s="5" t="s">
        <v>8971</v>
      </c>
      <c r="M2558" s="18"/>
      <c r="N2558" s="1"/>
      <c r="O2558" s="1"/>
      <c r="P2558" s="21" t="str">
        <f>IF(ISNUMBER(MATCH($C2558,StackableKinds,0)), TRUE, "")</f>
        <v/>
      </c>
    </row>
    <row r="2559" spans="1:17" x14ac:dyDescent="0.2">
      <c r="A2559" s="19" t="str">
        <f>_xlfn.IFNA(VLOOKUP($B2559,Keys!$A:$B,2,FALSE),_xlfn.IFNA(VLOOKUP($B2559,Keys!$D:$E,2,FALSE),VLOOKUP($B2559,Keys!$G:$H,2,FALSE)))</f>
        <v>0x00000023627D2745</v>
      </c>
      <c r="B2559" s="5" t="s">
        <v>6804</v>
      </c>
      <c r="C2559" s="5" t="s">
        <v>9467</v>
      </c>
      <c r="D2559" s="5" t="s">
        <v>16862</v>
      </c>
      <c r="E2559" s="5"/>
      <c r="F2559" s="1"/>
      <c r="G2559" s="5" t="s">
        <v>8971</v>
      </c>
      <c r="H2559" s="1"/>
      <c r="I2559" s="1"/>
      <c r="J2559" s="2"/>
      <c r="K2559" s="5" t="s">
        <v>8971</v>
      </c>
      <c r="M2559" s="18"/>
      <c r="N2559" s="1"/>
      <c r="O2559" s="1"/>
      <c r="P2559" s="21" t="str">
        <f>IF(ISNUMBER(MATCH($C2559,StackableKinds,0)), TRUE, "")</f>
        <v/>
      </c>
    </row>
    <row r="2560" spans="1:17" x14ac:dyDescent="0.2">
      <c r="A2560" s="19" t="str">
        <f>_xlfn.IFNA(VLOOKUP($B2560,Keys!$A:$B,2,FALSE),_xlfn.IFNA(VLOOKUP($B2560,Keys!$D:$E,2,FALSE),VLOOKUP($B2560,Keys!$G:$H,2,FALSE)))</f>
        <v>0x000000291D25E79A</v>
      </c>
      <c r="B2560" s="5" t="s">
        <v>6806</v>
      </c>
      <c r="C2560" s="5" t="s">
        <v>9467</v>
      </c>
      <c r="D2560" s="5" t="s">
        <v>16862</v>
      </c>
      <c r="E2560" s="5"/>
      <c r="F2560" s="1"/>
      <c r="G2560" s="5" t="s">
        <v>8971</v>
      </c>
      <c r="H2560" s="1"/>
      <c r="I2560" s="1"/>
      <c r="J2560" s="2"/>
      <c r="K2560" s="5" t="s">
        <v>8971</v>
      </c>
      <c r="M2560" s="18"/>
      <c r="N2560" s="1"/>
      <c r="O2560" s="1"/>
      <c r="P2560" s="21" t="str">
        <f>IF(ISNUMBER(MATCH($C2560,StackableKinds,0)), TRUE, "")</f>
        <v/>
      </c>
    </row>
    <row r="2561" spans="1:16" x14ac:dyDescent="0.2">
      <c r="A2561" s="19" t="str">
        <f>_xlfn.IFNA(VLOOKUP($B2561,Keys!$A:$B,2,FALSE),_xlfn.IFNA(VLOOKUP($B2561,Keys!$D:$E,2,FALSE),VLOOKUP($B2561,Keys!$G:$H,2,FALSE)))</f>
        <v>0x00000020946F2809</v>
      </c>
      <c r="B2561" s="5" t="s">
        <v>6808</v>
      </c>
      <c r="C2561" s="5" t="s">
        <v>9467</v>
      </c>
      <c r="D2561" s="5" t="s">
        <v>16862</v>
      </c>
      <c r="E2561" s="5"/>
      <c r="F2561" s="1"/>
      <c r="G2561" s="5" t="s">
        <v>8971</v>
      </c>
      <c r="H2561" s="1"/>
      <c r="I2561" s="1"/>
      <c r="J2561" s="2"/>
      <c r="K2561" s="5" t="s">
        <v>8971</v>
      </c>
      <c r="M2561" s="18"/>
      <c r="N2561" s="1"/>
      <c r="O2561" s="1"/>
      <c r="P2561" s="21" t="str">
        <f>IF(ISNUMBER(MATCH($C2561,StackableKinds,0)), TRUE, "")</f>
        <v/>
      </c>
    </row>
    <row r="2562" spans="1:16" x14ac:dyDescent="0.2">
      <c r="A2562" s="19" t="str">
        <f>_xlfn.IFNA(VLOOKUP($B2562,Keys!$A:$B,2,FALSE),_xlfn.IFNA(VLOOKUP($B2562,Keys!$D:$E,2,FALSE),VLOOKUP($B2562,Keys!$G:$H,2,FALSE)))</f>
        <v>0x00000023724B6681</v>
      </c>
      <c r="B2562" s="5" t="s">
        <v>6810</v>
      </c>
      <c r="C2562" s="5" t="s">
        <v>9467</v>
      </c>
      <c r="D2562" s="5" t="s">
        <v>16862</v>
      </c>
      <c r="E2562" s="5"/>
      <c r="F2562" s="1"/>
      <c r="G2562" s="5" t="s">
        <v>8971</v>
      </c>
      <c r="H2562" s="1"/>
      <c r="I2562" s="1"/>
      <c r="J2562" s="2"/>
      <c r="K2562" s="5" t="s">
        <v>8971</v>
      </c>
      <c r="M2562" s="18"/>
      <c r="N2562" s="1"/>
      <c r="O2562" s="1"/>
      <c r="P2562" s="21" t="str">
        <f>IF(ISNUMBER(MATCH($C2562,StackableKinds,0)), TRUE, "")</f>
        <v/>
      </c>
    </row>
    <row r="2563" spans="1:16" x14ac:dyDescent="0.2">
      <c r="A2563" s="19" t="str">
        <f>_xlfn.IFNA(VLOOKUP($B2563,Keys!$A:$B,2,FALSE),_xlfn.IFNA(VLOOKUP($B2563,Keys!$D:$E,2,FALSE),VLOOKUP($B2563,Keys!$G:$H,2,FALSE)))</f>
        <v>0x000000239C4507AD</v>
      </c>
      <c r="B2563" s="5" t="s">
        <v>6812</v>
      </c>
      <c r="C2563" s="5" t="s">
        <v>9467</v>
      </c>
      <c r="D2563" s="5" t="s">
        <v>16862</v>
      </c>
      <c r="E2563" s="5"/>
      <c r="F2563" s="1"/>
      <c r="G2563" s="5" t="s">
        <v>8971</v>
      </c>
      <c r="H2563" s="1"/>
      <c r="I2563" s="1"/>
      <c r="J2563" s="2"/>
      <c r="K2563" s="5" t="s">
        <v>8971</v>
      </c>
      <c r="M2563" s="18"/>
      <c r="N2563" s="1"/>
      <c r="O2563" s="1"/>
      <c r="P2563" s="21" t="str">
        <f>IF(ISNUMBER(MATCH($C2563,StackableKinds,0)), TRUE, "")</f>
        <v/>
      </c>
    </row>
    <row r="2564" spans="1:16" x14ac:dyDescent="0.2">
      <c r="A2564" s="19" t="str">
        <f>_xlfn.IFNA(VLOOKUP($B2564,Keys!$A:$B,2,FALSE),_xlfn.IFNA(VLOOKUP($B2564,Keys!$D:$E,2,FALSE),VLOOKUP($B2564,Keys!$G:$H,2,FALSE)))</f>
        <v>0x000000230F3860D9</v>
      </c>
      <c r="B2564" s="5" t="s">
        <v>6814</v>
      </c>
      <c r="C2564" s="5" t="s">
        <v>9467</v>
      </c>
      <c r="D2564" s="5" t="s">
        <v>16862</v>
      </c>
      <c r="E2564" s="5"/>
      <c r="F2564" s="1"/>
      <c r="G2564" s="5" t="s">
        <v>8971</v>
      </c>
      <c r="H2564" s="1"/>
      <c r="I2564" s="1"/>
      <c r="J2564" s="2"/>
      <c r="K2564" s="5" t="s">
        <v>8971</v>
      </c>
      <c r="M2564" s="18"/>
      <c r="N2564" s="1"/>
      <c r="O2564" s="1"/>
      <c r="P2564" s="21" t="str">
        <f>IF(ISNUMBER(MATCH($C2564,StackableKinds,0)), TRUE, "")</f>
        <v/>
      </c>
    </row>
    <row r="2565" spans="1:16" x14ac:dyDescent="0.2">
      <c r="A2565" s="19" t="str">
        <f>_xlfn.IFNA(VLOOKUP($B2565,Keys!$A:$B,2,FALSE),_xlfn.IFNA(VLOOKUP($B2565,Keys!$D:$E,2,FALSE),VLOOKUP($B2565,Keys!$G:$H,2,FALSE)))</f>
        <v>0x0000002396313163</v>
      </c>
      <c r="B2565" s="5" t="s">
        <v>6816</v>
      </c>
      <c r="C2565" s="5" t="s">
        <v>9467</v>
      </c>
      <c r="D2565" s="5" t="s">
        <v>16862</v>
      </c>
      <c r="E2565" s="5"/>
      <c r="F2565" s="1"/>
      <c r="G2565" s="5" t="s">
        <v>8971</v>
      </c>
      <c r="H2565" s="1"/>
      <c r="I2565" s="1"/>
      <c r="J2565" s="2"/>
      <c r="K2565" s="5" t="s">
        <v>8971</v>
      </c>
      <c r="M2565" s="18"/>
      <c r="N2565" s="1"/>
      <c r="O2565" s="1"/>
      <c r="P2565" s="21" t="str">
        <f>IF(ISNUMBER(MATCH($C2565,StackableKinds,0)), TRUE, "")</f>
        <v/>
      </c>
    </row>
    <row r="2566" spans="1:16" x14ac:dyDescent="0.2">
      <c r="A2566" s="19" t="str">
        <f>_xlfn.IFNA(VLOOKUP($B2566,Keys!$A:$B,2,FALSE),_xlfn.IFNA(VLOOKUP($B2566,Keys!$D:$E,2,FALSE),VLOOKUP($B2566,Keys!$G:$H,2,FALSE)))</f>
        <v>0x00000023D2AEB95C</v>
      </c>
      <c r="B2566" s="5" t="s">
        <v>6818</v>
      </c>
      <c r="C2566" s="5" t="s">
        <v>9467</v>
      </c>
      <c r="D2566" s="5" t="s">
        <v>16862</v>
      </c>
      <c r="E2566" s="5"/>
      <c r="F2566" s="1"/>
      <c r="G2566" s="5" t="s">
        <v>8971</v>
      </c>
      <c r="H2566" s="1"/>
      <c r="I2566" s="1"/>
      <c r="J2566" s="2"/>
      <c r="K2566" s="5" t="s">
        <v>8971</v>
      </c>
      <c r="M2566" s="18"/>
      <c r="N2566" s="1"/>
      <c r="O2566" s="1"/>
      <c r="P2566" s="21" t="str">
        <f>IF(ISNUMBER(MATCH($C2566,StackableKinds,0)), TRUE, "")</f>
        <v/>
      </c>
    </row>
    <row r="2567" spans="1:16" x14ac:dyDescent="0.2">
      <c r="A2567" s="19" t="str">
        <f>_xlfn.IFNA(VLOOKUP($B2567,Keys!$A:$B,2,FALSE),_xlfn.IFNA(VLOOKUP($B2567,Keys!$D:$E,2,FALSE),VLOOKUP($B2567,Keys!$G:$H,2,FALSE)))</f>
        <v>0x000000234BA7E8E6</v>
      </c>
      <c r="B2567" s="5" t="s">
        <v>6820</v>
      </c>
      <c r="C2567" s="5" t="s">
        <v>9467</v>
      </c>
      <c r="D2567" s="5" t="s">
        <v>16862</v>
      </c>
      <c r="E2567" s="5"/>
      <c r="F2567" s="1"/>
      <c r="G2567" s="5" t="s">
        <v>8971</v>
      </c>
      <c r="H2567" s="1"/>
      <c r="I2567" s="1"/>
      <c r="J2567" s="2"/>
      <c r="K2567" s="5" t="s">
        <v>8971</v>
      </c>
      <c r="M2567" s="18"/>
      <c r="N2567" s="1"/>
      <c r="O2567" s="1"/>
      <c r="P2567" s="21" t="str">
        <f>IF(ISNUMBER(MATCH($C2567,StackableKinds,0)), TRUE, "")</f>
        <v/>
      </c>
    </row>
    <row r="2568" spans="1:16" x14ac:dyDescent="0.2">
      <c r="A2568" s="19" t="str">
        <f>_xlfn.IFNA(VLOOKUP($B2568,Keys!$A:$B,2,FALSE),_xlfn.IFNA(VLOOKUP($B2568,Keys!$D:$E,2,FALSE),VLOOKUP($B2568,Keys!$G:$H,2,FALSE)))</f>
        <v>0x00000029F44DEA78</v>
      </c>
      <c r="B2568" s="5" t="s">
        <v>6822</v>
      </c>
      <c r="C2568" s="5" t="s">
        <v>9467</v>
      </c>
      <c r="D2568" s="5" t="s">
        <v>16862</v>
      </c>
      <c r="E2568" s="5"/>
      <c r="F2568" s="1"/>
      <c r="G2568" s="5" t="s">
        <v>8971</v>
      </c>
      <c r="H2568" s="1"/>
      <c r="I2568" s="1"/>
      <c r="J2568" s="2"/>
      <c r="K2568" s="5" t="s">
        <v>8971</v>
      </c>
      <c r="M2568" s="18"/>
      <c r="N2568" s="1"/>
      <c r="O2568" s="1"/>
      <c r="P2568" s="21" t="str">
        <f>IF(ISNUMBER(MATCH($C2568,StackableKinds,0)), TRUE, "")</f>
        <v/>
      </c>
    </row>
    <row r="2569" spans="1:16" x14ac:dyDescent="0.2">
      <c r="A2569" s="19" t="str">
        <f>_xlfn.IFNA(VLOOKUP($B2569,Keys!$A:$B,2,FALSE),_xlfn.IFNA(VLOOKUP($B2569,Keys!$D:$E,2,FALSE),VLOOKUP($B2569,Keys!$G:$H,2,FALSE)))</f>
        <v>0x00000023B2F20C17</v>
      </c>
      <c r="B2569" s="5" t="s">
        <v>6824</v>
      </c>
      <c r="C2569" s="5" t="s">
        <v>9467</v>
      </c>
      <c r="D2569" s="5" t="s">
        <v>16862</v>
      </c>
      <c r="E2569" s="5"/>
      <c r="F2569" s="1"/>
      <c r="G2569" s="5" t="s">
        <v>8971</v>
      </c>
      <c r="H2569" s="1"/>
      <c r="I2569" s="1"/>
      <c r="J2569" s="2"/>
      <c r="K2569" s="5" t="s">
        <v>8971</v>
      </c>
      <c r="M2569" s="18"/>
      <c r="N2569" s="1"/>
      <c r="O2569" s="1"/>
      <c r="P2569" s="21" t="str">
        <f>IF(ISNUMBER(MATCH($C2569,StackableKinds,0)), TRUE, "")</f>
        <v/>
      </c>
    </row>
    <row r="2570" spans="1:16" x14ac:dyDescent="0.2">
      <c r="A2570" s="19" t="str">
        <f>_xlfn.IFNA(VLOOKUP($B2570,Keys!$A:$B,2,FALSE),_xlfn.IFNA(VLOOKUP($B2570,Keys!$D:$E,2,FALSE),VLOOKUP($B2570,Keys!$G:$H,2,FALSE)))</f>
        <v>0x000000232BFB5DAD</v>
      </c>
      <c r="B2570" s="5" t="s">
        <v>6826</v>
      </c>
      <c r="C2570" s="5" t="s">
        <v>9467</v>
      </c>
      <c r="D2570" s="5" t="s">
        <v>16862</v>
      </c>
      <c r="E2570" s="5"/>
      <c r="F2570" s="1"/>
      <c r="G2570" s="5" t="s">
        <v>8971</v>
      </c>
      <c r="H2570" s="1"/>
      <c r="I2570" s="1"/>
      <c r="J2570" s="2"/>
      <c r="K2570" s="5" t="s">
        <v>8971</v>
      </c>
      <c r="M2570" s="18"/>
      <c r="N2570" s="1"/>
      <c r="O2570" s="1"/>
      <c r="P2570" s="21" t="str">
        <f>IF(ISNUMBER(MATCH($C2570,StackableKinds,0)), TRUE, "")</f>
        <v/>
      </c>
    </row>
    <row r="2571" spans="1:16" x14ac:dyDescent="0.2">
      <c r="A2571" s="19" t="str">
        <f>_xlfn.IFNA(VLOOKUP($B2571,Keys!$A:$B,2,FALSE),_xlfn.IFNA(VLOOKUP($B2571,Keys!$D:$E,2,FALSE),VLOOKUP($B2571,Keys!$G:$H,2,FALSE)))</f>
        <v>0x000000239582D922</v>
      </c>
      <c r="B2571" s="5" t="s">
        <v>6828</v>
      </c>
      <c r="C2571" s="5" t="s">
        <v>9467</v>
      </c>
      <c r="D2571" s="5" t="s">
        <v>16862</v>
      </c>
      <c r="E2571" s="5"/>
      <c r="F2571" s="1"/>
      <c r="G2571" s="5" t="s">
        <v>8971</v>
      </c>
      <c r="H2571" s="1"/>
      <c r="I2571" s="1"/>
      <c r="J2571" s="2"/>
      <c r="K2571" s="5" t="s">
        <v>8971</v>
      </c>
      <c r="M2571" s="18"/>
      <c r="N2571" s="1"/>
      <c r="O2571" s="1"/>
      <c r="P2571" s="21" t="str">
        <f>IF(ISNUMBER(MATCH($C2571,StackableKinds,0)), TRUE, "")</f>
        <v/>
      </c>
    </row>
    <row r="2572" spans="1:16" x14ac:dyDescent="0.2">
      <c r="A2572" s="19" t="str">
        <f>_xlfn.IFNA(VLOOKUP($B2572,Keys!$A:$B,2,FALSE),_xlfn.IFNA(VLOOKUP($B2572,Keys!$D:$E,2,FALSE),VLOOKUP($B2572,Keys!$G:$H,2,FALSE)))</f>
        <v>0x000000230C8B8898</v>
      </c>
      <c r="B2572" s="5" t="s">
        <v>6830</v>
      </c>
      <c r="C2572" s="5" t="s">
        <v>9467</v>
      </c>
      <c r="D2572" s="5" t="s">
        <v>16862</v>
      </c>
      <c r="E2572" s="5"/>
      <c r="F2572" s="1"/>
      <c r="G2572" s="5" t="s">
        <v>8971</v>
      </c>
      <c r="H2572" s="1"/>
      <c r="I2572" s="1"/>
      <c r="J2572" s="2"/>
      <c r="K2572" s="5" t="s">
        <v>8971</v>
      </c>
      <c r="M2572" s="18"/>
      <c r="N2572" s="1"/>
      <c r="O2572" s="1"/>
      <c r="P2572" s="21" t="str">
        <f>IF(ISNUMBER(MATCH($C2572,StackableKinds,0)), TRUE, "")</f>
        <v/>
      </c>
    </row>
    <row r="2573" spans="1:16" x14ac:dyDescent="0.2">
      <c r="A2573" s="19" t="str">
        <f>_xlfn.IFNA(VLOOKUP($B2573,Keys!$A:$B,2,FALSE),_xlfn.IFNA(VLOOKUP($B2573,Keys!$D:$E,2,FALSE),VLOOKUP($B2573,Keys!$G:$H,2,FALSE)))</f>
        <v>0x00000023481400A7</v>
      </c>
      <c r="B2573" s="5" t="s">
        <v>6832</v>
      </c>
      <c r="C2573" s="5" t="s">
        <v>9467</v>
      </c>
      <c r="D2573" s="5" t="s">
        <v>16862</v>
      </c>
      <c r="E2573" s="5"/>
      <c r="F2573" s="1"/>
      <c r="G2573" s="5" t="s">
        <v>8971</v>
      </c>
      <c r="H2573" s="1"/>
      <c r="I2573" s="1"/>
      <c r="J2573" s="2"/>
      <c r="K2573" s="5" t="s">
        <v>8971</v>
      </c>
      <c r="M2573" s="18"/>
      <c r="N2573" s="1"/>
      <c r="O2573" s="1"/>
      <c r="P2573" s="21" t="str">
        <f>IF(ISNUMBER(MATCH($C2573,StackableKinds,0)), TRUE, "")</f>
        <v/>
      </c>
    </row>
    <row r="2574" spans="1:16" x14ac:dyDescent="0.2">
      <c r="A2574" s="19" t="str">
        <f>_xlfn.IFNA(VLOOKUP($B2574,Keys!$A:$B,2,FALSE),_xlfn.IFNA(VLOOKUP($B2574,Keys!$D:$E,2,FALSE),VLOOKUP($B2574,Keys!$G:$H,2,FALSE)))</f>
        <v>0x00000023D11D511D</v>
      </c>
      <c r="B2574" s="5" t="s">
        <v>6834</v>
      </c>
      <c r="C2574" s="5" t="s">
        <v>9467</v>
      </c>
      <c r="D2574" s="5" t="s">
        <v>16862</v>
      </c>
      <c r="E2574" s="5"/>
      <c r="F2574" s="1"/>
      <c r="G2574" s="5" t="s">
        <v>8971</v>
      </c>
      <c r="H2574" s="1"/>
      <c r="I2574" s="1"/>
      <c r="J2574" s="2"/>
      <c r="K2574" s="5" t="s">
        <v>8971</v>
      </c>
      <c r="M2574" s="18"/>
      <c r="N2574" s="1"/>
      <c r="O2574" s="1"/>
      <c r="P2574" s="21" t="str">
        <f>IF(ISNUMBER(MATCH($C2574,StackableKinds,0)), TRUE, "")</f>
        <v/>
      </c>
    </row>
    <row r="2575" spans="1:16" x14ac:dyDescent="0.2">
      <c r="A2575" s="19" t="str">
        <f>_xlfn.IFNA(VLOOKUP($B2575,Keys!$A:$B,2,FALSE),_xlfn.IFNA(VLOOKUP($B2575,Keys!$D:$E,2,FALSE),VLOOKUP($B2575,Keys!$G:$H,2,FALSE)))</f>
        <v>0x00000023528EEB39</v>
      </c>
      <c r="B2575" s="5" t="s">
        <v>6836</v>
      </c>
      <c r="C2575" s="5" t="s">
        <v>9467</v>
      </c>
      <c r="D2575" s="5" t="s">
        <v>16862</v>
      </c>
      <c r="E2575" s="5"/>
      <c r="F2575" s="1"/>
      <c r="G2575" s="5" t="s">
        <v>8971</v>
      </c>
      <c r="H2575" s="1"/>
      <c r="I2575" s="1"/>
      <c r="J2575" s="2"/>
      <c r="K2575" s="5" t="s">
        <v>8971</v>
      </c>
      <c r="M2575" s="18"/>
      <c r="N2575" s="1"/>
      <c r="O2575" s="1"/>
      <c r="P2575" s="21" t="str">
        <f>IF(ISNUMBER(MATCH($C2575,StackableKinds,0)), TRUE, "")</f>
        <v/>
      </c>
    </row>
    <row r="2576" spans="1:16" x14ac:dyDescent="0.2">
      <c r="A2576" s="19" t="str">
        <f>_xlfn.IFNA(VLOOKUP($B2576,Keys!$A:$B,2,FALSE),_xlfn.IFNA(VLOOKUP($B2576,Keys!$D:$E,2,FALSE),VLOOKUP($B2576,Keys!$G:$H,2,FALSE)))</f>
        <v>0x00000023CB87BA83</v>
      </c>
      <c r="B2576" s="5" t="s">
        <v>6838</v>
      </c>
      <c r="C2576" s="5" t="s">
        <v>9467</v>
      </c>
      <c r="D2576" s="5" t="s">
        <v>16862</v>
      </c>
      <c r="E2576" s="5"/>
      <c r="F2576" s="1"/>
      <c r="G2576" s="5" t="s">
        <v>8971</v>
      </c>
      <c r="H2576" s="1"/>
      <c r="I2576" s="1"/>
      <c r="J2576" s="2"/>
      <c r="K2576" s="5" t="s">
        <v>8971</v>
      </c>
      <c r="M2576" s="18"/>
      <c r="N2576" s="1"/>
      <c r="O2576" s="1"/>
      <c r="P2576" s="21" t="str">
        <f>IF(ISNUMBER(MATCH($C2576,StackableKinds,0)), TRUE, "")</f>
        <v/>
      </c>
    </row>
    <row r="2577" spans="1:16" x14ac:dyDescent="0.2">
      <c r="A2577" s="19" t="str">
        <f>_xlfn.IFNA(VLOOKUP($B2577,Keys!$A:$B,2,FALSE),_xlfn.IFNA(VLOOKUP($B2577,Keys!$D:$E,2,FALSE),VLOOKUP($B2577,Keys!$G:$H,2,FALSE)))</f>
        <v>0x000000238F1832BC</v>
      </c>
      <c r="B2577" s="5" t="s">
        <v>6840</v>
      </c>
      <c r="C2577" s="5" t="s">
        <v>9467</v>
      </c>
      <c r="D2577" s="5" t="s">
        <v>16862</v>
      </c>
      <c r="E2577" s="5"/>
      <c r="F2577" s="1"/>
      <c r="G2577" s="5" t="s">
        <v>8971</v>
      </c>
      <c r="H2577" s="1"/>
      <c r="I2577" s="1"/>
      <c r="J2577" s="2"/>
      <c r="K2577" s="5" t="s">
        <v>8971</v>
      </c>
      <c r="M2577" s="18"/>
      <c r="N2577" s="1"/>
      <c r="O2577" s="1"/>
      <c r="P2577" s="21" t="str">
        <f>IF(ISNUMBER(MATCH($C2577,StackableKinds,0)), TRUE, "")</f>
        <v/>
      </c>
    </row>
    <row r="2578" spans="1:16" x14ac:dyDescent="0.2">
      <c r="A2578" s="19" t="str">
        <f>_xlfn.IFNA(VLOOKUP($B2578,Keys!$A:$B,2,FALSE),_xlfn.IFNA(VLOOKUP($B2578,Keys!$D:$E,2,FALSE),VLOOKUP($B2578,Keys!$G:$H,2,FALSE)))</f>
        <v>0x0000002316116306</v>
      </c>
      <c r="B2578" s="5" t="s">
        <v>6842</v>
      </c>
      <c r="C2578" s="5" t="s">
        <v>9467</v>
      </c>
      <c r="D2578" s="5" t="s">
        <v>16862</v>
      </c>
      <c r="E2578" s="5"/>
      <c r="F2578" s="1"/>
      <c r="G2578" s="5" t="s">
        <v>8971</v>
      </c>
      <c r="H2578" s="1"/>
      <c r="I2578" s="1"/>
      <c r="J2578" s="2"/>
      <c r="K2578" s="5" t="s">
        <v>8971</v>
      </c>
      <c r="M2578" s="18"/>
      <c r="N2578" s="1"/>
      <c r="O2578" s="1"/>
      <c r="P2578" s="21" t="str">
        <f>IF(ISNUMBER(MATCH($C2578,StackableKinds,0)), TRUE, "")</f>
        <v/>
      </c>
    </row>
    <row r="2579" spans="1:16" x14ac:dyDescent="0.2">
      <c r="A2579" s="19" t="str">
        <f>_xlfn.IFNA(VLOOKUP($B2579,Keys!$A:$B,2,FALSE),_xlfn.IFNA(VLOOKUP($B2579,Keys!$D:$E,2,FALSE),VLOOKUP($B2579,Keys!$G:$H,2,FALSE)))</f>
        <v>0x0000002332D25E72</v>
      </c>
      <c r="B2579" s="5" t="s">
        <v>6844</v>
      </c>
      <c r="C2579" s="5" t="s">
        <v>9467</v>
      </c>
      <c r="D2579" s="5" t="s">
        <v>16862</v>
      </c>
      <c r="E2579" s="5"/>
      <c r="F2579" s="1"/>
      <c r="G2579" s="5" t="s">
        <v>8971</v>
      </c>
      <c r="H2579" s="1"/>
      <c r="I2579" s="1"/>
      <c r="J2579" s="2"/>
      <c r="K2579" s="5" t="s">
        <v>8971</v>
      </c>
      <c r="M2579" s="18"/>
      <c r="N2579" s="1"/>
      <c r="O2579" s="1"/>
      <c r="P2579" s="21" t="str">
        <f>IF(ISNUMBER(MATCH($C2579,StackableKinds,0)), TRUE, "")</f>
        <v/>
      </c>
    </row>
    <row r="2580" spans="1:16" x14ac:dyDescent="0.2">
      <c r="A2580" s="19" t="str">
        <f>_xlfn.IFNA(VLOOKUP($B2580,Keys!$A:$B,2,FALSE),_xlfn.IFNA(VLOOKUP($B2580,Keys!$D:$E,2,FALSE),VLOOKUP($B2580,Keys!$G:$H,2,FALSE)))</f>
        <v>0x00000023ABDB0FC8</v>
      </c>
      <c r="B2580" s="5" t="s">
        <v>6846</v>
      </c>
      <c r="C2580" s="5" t="s">
        <v>9467</v>
      </c>
      <c r="D2580" s="5" t="s">
        <v>16862</v>
      </c>
      <c r="E2580" s="5"/>
      <c r="F2580" s="1"/>
      <c r="G2580" s="5" t="s">
        <v>8971</v>
      </c>
      <c r="H2580" s="1"/>
      <c r="I2580" s="1"/>
      <c r="J2580" s="2"/>
      <c r="K2580" s="5" t="s">
        <v>8971</v>
      </c>
      <c r="M2580" s="18"/>
      <c r="N2580" s="1"/>
      <c r="O2580" s="1"/>
      <c r="P2580" s="21" t="str">
        <f>IF(ISNUMBER(MATCH($C2580,StackableKinds,0)), TRUE, "")</f>
        <v/>
      </c>
    </row>
    <row r="2581" spans="1:16" x14ac:dyDescent="0.2">
      <c r="A2581" s="19" t="str">
        <f>_xlfn.IFNA(VLOOKUP($B2581,Keys!$A:$B,2,FALSE),_xlfn.IFNA(VLOOKUP($B2581,Keys!$D:$E,2,FALSE),VLOOKUP($B2581,Keys!$G:$H,2,FALSE)))</f>
        <v>0x00000023EF4487F7</v>
      </c>
      <c r="B2581" s="5" t="s">
        <v>6848</v>
      </c>
      <c r="C2581" s="5" t="s">
        <v>9467</v>
      </c>
      <c r="D2581" s="5" t="s">
        <v>16862</v>
      </c>
      <c r="E2581" s="5"/>
      <c r="F2581" s="1"/>
      <c r="G2581" s="5" t="s">
        <v>8971</v>
      </c>
      <c r="H2581" s="1"/>
      <c r="I2581" s="1"/>
      <c r="J2581" s="2"/>
      <c r="K2581" s="5" t="s">
        <v>8971</v>
      </c>
      <c r="M2581" s="18"/>
      <c r="N2581" s="1"/>
      <c r="O2581" s="1"/>
      <c r="P2581" s="21" t="str">
        <f>IF(ISNUMBER(MATCH($C2581,StackableKinds,0)), TRUE, "")</f>
        <v/>
      </c>
    </row>
    <row r="2582" spans="1:16" x14ac:dyDescent="0.2">
      <c r="A2582" s="19" t="str">
        <f>_xlfn.IFNA(VLOOKUP($B2582,Keys!$A:$B,2,FALSE),_xlfn.IFNA(VLOOKUP($B2582,Keys!$D:$E,2,FALSE),VLOOKUP($B2582,Keys!$G:$H,2,FALSE)))</f>
        <v>0x00000023923781AF</v>
      </c>
      <c r="B2582" s="5" t="s">
        <v>6850</v>
      </c>
      <c r="C2582" s="5" t="s">
        <v>9467</v>
      </c>
      <c r="D2582" s="5" t="s">
        <v>16862</v>
      </c>
      <c r="E2582" s="5"/>
      <c r="F2582" s="1"/>
      <c r="G2582" s="5" t="s">
        <v>8971</v>
      </c>
      <c r="H2582" s="1"/>
      <c r="I2582" s="1"/>
      <c r="J2582" s="2"/>
      <c r="K2582" s="5" t="s">
        <v>8971</v>
      </c>
      <c r="M2582" s="18"/>
      <c r="N2582" s="1"/>
      <c r="O2582" s="1"/>
      <c r="P2582" s="21" t="str">
        <f>IF(ISNUMBER(MATCH($C2582,StackableKinds,0)), TRUE, "")</f>
        <v/>
      </c>
    </row>
    <row r="2583" spans="1:16" x14ac:dyDescent="0.2">
      <c r="A2583" s="19" t="str">
        <f>_xlfn.IFNA(VLOOKUP($B2583,Keys!$A:$B,2,FALSE),_xlfn.IFNA(VLOOKUP($B2583,Keys!$D:$E,2,FALSE),VLOOKUP($B2583,Keys!$G:$H,2,FALSE)))</f>
        <v>0x000000230B3ED015</v>
      </c>
      <c r="B2583" s="5" t="s">
        <v>6852</v>
      </c>
      <c r="C2583" s="5" t="s">
        <v>9467</v>
      </c>
      <c r="D2583" s="5" t="s">
        <v>16862</v>
      </c>
      <c r="E2583" s="5"/>
      <c r="F2583" s="1"/>
      <c r="G2583" s="5" t="s">
        <v>8971</v>
      </c>
      <c r="H2583" s="1"/>
      <c r="I2583" s="1"/>
      <c r="J2583" s="2"/>
      <c r="K2583" s="5" t="s">
        <v>8971</v>
      </c>
      <c r="M2583" s="18"/>
      <c r="N2583" s="1"/>
      <c r="O2583" s="1"/>
      <c r="P2583" s="21" t="str">
        <f>IF(ISNUMBER(MATCH($C2583,StackableKinds,0)), TRUE, "")</f>
        <v/>
      </c>
    </row>
    <row r="2584" spans="1:16" x14ac:dyDescent="0.2">
      <c r="A2584" s="19" t="str">
        <f>_xlfn.IFNA(VLOOKUP($B2584,Keys!$A:$B,2,FALSE),_xlfn.IFNA(VLOOKUP($B2584,Keys!$D:$E,2,FALSE),VLOOKUP($B2584,Keys!$G:$H,2,FALSE)))</f>
        <v>0x00000023D6A80990</v>
      </c>
      <c r="B2584" s="5" t="s">
        <v>6856</v>
      </c>
      <c r="C2584" s="5" t="s">
        <v>9467</v>
      </c>
      <c r="D2584" s="5" t="s">
        <v>16862</v>
      </c>
      <c r="E2584" s="5"/>
      <c r="F2584" s="1"/>
      <c r="G2584" s="5" t="s">
        <v>8971</v>
      </c>
      <c r="H2584" s="1"/>
      <c r="I2584" s="1"/>
      <c r="J2584" s="2"/>
      <c r="K2584" s="5" t="s">
        <v>8971</v>
      </c>
      <c r="M2584" s="18"/>
      <c r="N2584" s="1"/>
      <c r="O2584" s="1"/>
      <c r="P2584" s="21" t="str">
        <f>IF(ISNUMBER(MATCH($C2584,StackableKinds,0)), TRUE, "")</f>
        <v/>
      </c>
    </row>
    <row r="2585" spans="1:16" x14ac:dyDescent="0.2">
      <c r="A2585" s="19" t="str">
        <f>_xlfn.IFNA(VLOOKUP($B2585,Keys!$A:$B,2,FALSE),_xlfn.IFNA(VLOOKUP($B2585,Keys!$D:$E,2,FALSE),VLOOKUP($B2585,Keys!$G:$H,2,FALSE)))</f>
        <v>0x00000023F26B34E4</v>
      </c>
      <c r="B2585" s="5" t="s">
        <v>6858</v>
      </c>
      <c r="C2585" s="5" t="s">
        <v>9467</v>
      </c>
      <c r="D2585" s="5" t="s">
        <v>16862</v>
      </c>
      <c r="E2585" s="5"/>
      <c r="F2585" s="1"/>
      <c r="G2585" s="5" t="s">
        <v>8971</v>
      </c>
      <c r="H2585" s="1"/>
      <c r="I2585" s="1"/>
      <c r="J2585" s="2"/>
      <c r="K2585" s="5" t="s">
        <v>8971</v>
      </c>
      <c r="M2585" s="18"/>
      <c r="N2585" s="1"/>
      <c r="O2585" s="1"/>
      <c r="P2585" s="21" t="str">
        <f>IF(ISNUMBER(MATCH($C2585,StackableKinds,0)), TRUE, "")</f>
        <v/>
      </c>
    </row>
    <row r="2586" spans="1:16" x14ac:dyDescent="0.2">
      <c r="A2586" s="19" t="str">
        <f>_xlfn.IFNA(VLOOKUP($B2586,Keys!$A:$B,2,FALSE),_xlfn.IFNA(VLOOKUP($B2586,Keys!$D:$E,2,FALSE),VLOOKUP($B2586,Keys!$G:$H,2,FALSE)))</f>
        <v>0x000000236B62655E</v>
      </c>
      <c r="B2586" s="5" t="s">
        <v>6860</v>
      </c>
      <c r="C2586" s="5" t="s">
        <v>9467</v>
      </c>
      <c r="D2586" s="5" t="s">
        <v>16862</v>
      </c>
      <c r="E2586" s="5"/>
      <c r="F2586" s="1"/>
      <c r="G2586" s="5" t="s">
        <v>8971</v>
      </c>
      <c r="H2586" s="1"/>
      <c r="I2586" s="1"/>
      <c r="J2586" s="2"/>
      <c r="K2586" s="5" t="s">
        <v>8971</v>
      </c>
      <c r="M2586" s="18"/>
      <c r="N2586" s="1"/>
      <c r="O2586" s="1"/>
      <c r="P2586" s="21" t="str">
        <f>IF(ISNUMBER(MATCH($C2586,StackableKinds,0)), TRUE, "")</f>
        <v/>
      </c>
    </row>
    <row r="2587" spans="1:16" x14ac:dyDescent="0.2">
      <c r="A2587" s="19" t="str">
        <f>_xlfn.IFNA(VLOOKUP($B2587,Keys!$A:$B,2,FALSE),_xlfn.IFNA(VLOOKUP($B2587,Keys!$D:$E,2,FALSE),VLOOKUP($B2587,Keys!$G:$H,2,FALSE)))</f>
        <v>0x000000231C6555C8</v>
      </c>
      <c r="B2587" s="5" t="s">
        <v>6862</v>
      </c>
      <c r="C2587" s="5" t="s">
        <v>9467</v>
      </c>
      <c r="D2587" s="5" t="s">
        <v>16862</v>
      </c>
      <c r="E2587" s="5"/>
      <c r="F2587" s="1"/>
      <c r="G2587" s="5" t="s">
        <v>8971</v>
      </c>
      <c r="H2587" s="1"/>
      <c r="I2587" s="1"/>
      <c r="J2587" s="2"/>
      <c r="K2587" s="5" t="s">
        <v>8971</v>
      </c>
      <c r="M2587" s="18"/>
      <c r="N2587" s="1"/>
      <c r="O2587" s="1"/>
      <c r="P2587" s="21" t="str">
        <f>IF(ISNUMBER(MATCH($C2587,StackableKinds,0)), TRUE, "")</f>
        <v/>
      </c>
    </row>
    <row r="2588" spans="1:16" x14ac:dyDescent="0.2">
      <c r="A2588" s="19" t="str">
        <f>_xlfn.IFNA(VLOOKUP($B2588,Keys!$A:$B,2,FALSE),_xlfn.IFNA(VLOOKUP($B2588,Keys!$D:$E,2,FALSE),VLOOKUP($B2588,Keys!$G:$H,2,FALSE)))</f>
        <v>0x000000232FFDED61</v>
      </c>
      <c r="B2588" s="5" t="s">
        <v>6864</v>
      </c>
      <c r="C2588" s="5" t="s">
        <v>9467</v>
      </c>
      <c r="D2588" s="5" t="s">
        <v>16862</v>
      </c>
      <c r="E2588" s="5"/>
      <c r="F2588" s="1"/>
      <c r="G2588" s="5" t="s">
        <v>8971</v>
      </c>
      <c r="H2588" s="1"/>
      <c r="I2588" s="1"/>
      <c r="J2588" s="2"/>
      <c r="K2588" s="5" t="s">
        <v>8971</v>
      </c>
      <c r="M2588" s="18"/>
      <c r="N2588" s="1"/>
      <c r="O2588" s="1"/>
      <c r="P2588" s="21" t="str">
        <f>IF(ISNUMBER(MATCH($C2588,StackableKinds,0)), TRUE, "")</f>
        <v/>
      </c>
    </row>
    <row r="2589" spans="1:16" x14ac:dyDescent="0.2">
      <c r="A2589" s="19" t="str">
        <f>_xlfn.IFNA(VLOOKUP($B2589,Keys!$A:$B,2,FALSE),_xlfn.IFNA(VLOOKUP($B2589,Keys!$D:$E,2,FALSE),VLOOKUP($B2589,Keys!$G:$H,2,FALSE)))</f>
        <v>0x00000023B6F4BCDB</v>
      </c>
      <c r="B2589" s="5" t="s">
        <v>6866</v>
      </c>
      <c r="C2589" s="5" t="s">
        <v>9467</v>
      </c>
      <c r="D2589" s="5" t="s">
        <v>16862</v>
      </c>
      <c r="E2589" s="5"/>
      <c r="F2589" s="1"/>
      <c r="G2589" s="5" t="s">
        <v>8971</v>
      </c>
      <c r="H2589" s="1"/>
      <c r="I2589" s="1"/>
      <c r="J2589" s="2"/>
      <c r="K2589" s="5" t="s">
        <v>8971</v>
      </c>
      <c r="M2589" s="18"/>
      <c r="N2589" s="1"/>
      <c r="O2589" s="1"/>
      <c r="P2589" s="21" t="str">
        <f>IF(ISNUMBER(MATCH($C2589,StackableKinds,0)), TRUE, "")</f>
        <v/>
      </c>
    </row>
    <row r="2590" spans="1:16" x14ac:dyDescent="0.2">
      <c r="A2590" s="19" t="str">
        <f>_xlfn.IFNA(VLOOKUP($B2590,Keys!$A:$B,2,FALSE),_xlfn.IFNA(VLOOKUP($B2590,Keys!$D:$E,2,FALSE),VLOOKUP($B2590,Keys!$G:$H,2,FALSE)))</f>
        <v>0x00000023088D3854</v>
      </c>
      <c r="B2590" s="5" t="s">
        <v>6868</v>
      </c>
      <c r="C2590" s="5" t="s">
        <v>9467</v>
      </c>
      <c r="D2590" s="5" t="s">
        <v>16862</v>
      </c>
      <c r="E2590" s="5"/>
      <c r="F2590" s="1"/>
      <c r="G2590" s="5" t="s">
        <v>8971</v>
      </c>
      <c r="H2590" s="1"/>
      <c r="I2590" s="1"/>
      <c r="J2590" s="2"/>
      <c r="K2590" s="5" t="s">
        <v>8971</v>
      </c>
      <c r="M2590" s="18"/>
      <c r="N2590" s="1"/>
      <c r="O2590" s="1"/>
      <c r="P2590" s="21" t="str">
        <f>IF(ISNUMBER(MATCH($C2590,StackableKinds,0)), TRUE, "")</f>
        <v/>
      </c>
    </row>
    <row r="2591" spans="1:16" x14ac:dyDescent="0.2">
      <c r="A2591" s="19" t="str">
        <f>_xlfn.IFNA(VLOOKUP($B2591,Keys!$A:$B,2,FALSE),_xlfn.IFNA(VLOOKUP($B2591,Keys!$D:$E,2,FALSE),VLOOKUP($B2591,Keys!$G:$H,2,FALSE)))</f>
        <v>0x00000023918469EE</v>
      </c>
      <c r="B2591" s="5" t="s">
        <v>6870</v>
      </c>
      <c r="C2591" s="5" t="s">
        <v>9467</v>
      </c>
      <c r="D2591" s="5" t="s">
        <v>16862</v>
      </c>
      <c r="E2591" s="5"/>
      <c r="F2591" s="1"/>
      <c r="G2591" s="5" t="s">
        <v>8971</v>
      </c>
      <c r="H2591" s="1"/>
      <c r="I2591" s="1"/>
      <c r="J2591" s="2"/>
      <c r="K2591" s="5" t="s">
        <v>8971</v>
      </c>
      <c r="M2591" s="18"/>
      <c r="N2591" s="1"/>
      <c r="O2591" s="1"/>
      <c r="P2591" s="21" t="str">
        <f>IF(ISNUMBER(MATCH($C2591,StackableKinds,0)), TRUE, "")</f>
        <v/>
      </c>
    </row>
    <row r="2592" spans="1:16" x14ac:dyDescent="0.2">
      <c r="A2592" s="19" t="str">
        <f>_xlfn.IFNA(VLOOKUP($B2592,Keys!$A:$B,2,FALSE),_xlfn.IFNA(VLOOKUP($B2592,Keys!$D:$E,2,FALSE),VLOOKUP($B2592,Keys!$G:$H,2,FALSE)))</f>
        <v>0x00000023D51BE1D1</v>
      </c>
      <c r="B2592" s="5" t="s">
        <v>6872</v>
      </c>
      <c r="C2592" s="5" t="s">
        <v>9467</v>
      </c>
      <c r="D2592" s="5" t="s">
        <v>16862</v>
      </c>
      <c r="E2592" s="5"/>
      <c r="F2592" s="1"/>
      <c r="G2592" s="5" t="s">
        <v>8971</v>
      </c>
      <c r="H2592" s="1"/>
      <c r="I2592" s="1"/>
      <c r="J2592" s="2"/>
      <c r="K2592" s="5" t="s">
        <v>8971</v>
      </c>
      <c r="M2592" s="18"/>
      <c r="N2592" s="1"/>
      <c r="O2592" s="1"/>
      <c r="P2592" s="21" t="str">
        <f>IF(ISNUMBER(MATCH($C2592,StackableKinds,0)), TRUE, "")</f>
        <v/>
      </c>
    </row>
    <row r="2593" spans="1:16" x14ac:dyDescent="0.2">
      <c r="A2593" s="19" t="str">
        <f>_xlfn.IFNA(VLOOKUP($B2593,Keys!$A:$B,2,FALSE),_xlfn.IFNA(VLOOKUP($B2593,Keys!$D:$E,2,FALSE),VLOOKUP($B2593,Keys!$G:$H,2,FALSE)))</f>
        <v>0x000000232EEFCEE2</v>
      </c>
      <c r="B2593" s="5" t="s">
        <v>6874</v>
      </c>
      <c r="C2593" s="5" t="s">
        <v>9467</v>
      </c>
      <c r="D2593" s="5" t="s">
        <v>16862</v>
      </c>
      <c r="E2593" s="5"/>
      <c r="F2593" s="1"/>
      <c r="G2593" s="5" t="s">
        <v>8971</v>
      </c>
      <c r="H2593" s="1"/>
      <c r="I2593" s="1"/>
      <c r="J2593" s="2"/>
      <c r="K2593" s="5" t="s">
        <v>8971</v>
      </c>
      <c r="M2593" s="18"/>
      <c r="N2593" s="1"/>
      <c r="O2593" s="1"/>
      <c r="P2593" s="21" t="str">
        <f>IF(ISNUMBER(MATCH($C2593,StackableKinds,0)), TRUE, "")</f>
        <v/>
      </c>
    </row>
    <row r="2594" spans="1:16" x14ac:dyDescent="0.2">
      <c r="A2594" s="19" t="str">
        <f>_xlfn.IFNA(VLOOKUP($B2594,Keys!$A:$B,2,FALSE),_xlfn.IFNA(VLOOKUP($B2594,Keys!$D:$E,2,FALSE),VLOOKUP($B2594,Keys!$G:$H,2,FALSE)))</f>
        <v>0x00000023B7E69F58</v>
      </c>
      <c r="B2594" s="5" t="s">
        <v>6876</v>
      </c>
      <c r="C2594" s="5" t="s">
        <v>9467</v>
      </c>
      <c r="D2594" s="5" t="s">
        <v>16862</v>
      </c>
      <c r="E2594" s="5"/>
      <c r="F2594" s="1"/>
      <c r="G2594" s="5" t="s">
        <v>8971</v>
      </c>
      <c r="H2594" s="1"/>
      <c r="I2594" s="1"/>
      <c r="J2594" s="2"/>
      <c r="K2594" s="5" t="s">
        <v>8971</v>
      </c>
      <c r="M2594" s="18"/>
      <c r="N2594" s="1"/>
      <c r="O2594" s="1"/>
      <c r="P2594" s="21" t="str">
        <f>IF(ISNUMBER(MATCH($C2594,StackableKinds,0)), TRUE, "")</f>
        <v/>
      </c>
    </row>
    <row r="2595" spans="1:16" x14ac:dyDescent="0.2">
      <c r="A2595" s="19" t="str">
        <f>_xlfn.IFNA(VLOOKUP($B2595,Keys!$A:$B,2,FALSE),_xlfn.IFNA(VLOOKUP($B2595,Keys!$D:$E,2,FALSE),VLOOKUP($B2595,Keys!$G:$H,2,FALSE)))</f>
        <v>0x00000023C0E1AFCE</v>
      </c>
      <c r="B2595" s="5" t="s">
        <v>6878</v>
      </c>
      <c r="C2595" s="5" t="s">
        <v>9467</v>
      </c>
      <c r="D2595" s="5" t="s">
        <v>16862</v>
      </c>
      <c r="E2595" s="5"/>
      <c r="F2595" s="1"/>
      <c r="G2595" s="5" t="s">
        <v>8971</v>
      </c>
      <c r="H2595" s="1"/>
      <c r="I2595" s="1"/>
      <c r="J2595" s="2"/>
      <c r="K2595" s="5" t="s">
        <v>8971</v>
      </c>
      <c r="M2595" s="18"/>
      <c r="N2595" s="1"/>
      <c r="O2595" s="1"/>
      <c r="P2595" s="21" t="str">
        <f>IF(ISNUMBER(MATCH($C2595,StackableKinds,0)), TRUE, "")</f>
        <v/>
      </c>
    </row>
    <row r="2596" spans="1:16" x14ac:dyDescent="0.2">
      <c r="A2596" s="19" t="str">
        <f>_xlfn.IFNA(VLOOKUP($B2596,Keys!$A:$B,2,FALSE),_xlfn.IFNA(VLOOKUP($B2596,Keys!$D:$E,2,FALSE),VLOOKUP($B2596,Keys!$G:$H,2,FALSE)))</f>
        <v>0x00000023F3791767</v>
      </c>
      <c r="B2596" s="5" t="s">
        <v>6880</v>
      </c>
      <c r="C2596" s="5" t="s">
        <v>9467</v>
      </c>
      <c r="D2596" s="5" t="s">
        <v>16862</v>
      </c>
      <c r="E2596" s="5"/>
      <c r="F2596" s="1"/>
      <c r="G2596" s="5" t="s">
        <v>8971</v>
      </c>
      <c r="H2596" s="1"/>
      <c r="I2596" s="1"/>
      <c r="J2596" s="2"/>
      <c r="K2596" s="5" t="s">
        <v>8971</v>
      </c>
      <c r="M2596" s="18"/>
      <c r="N2596" s="1"/>
      <c r="O2596" s="1"/>
      <c r="P2596" s="21" t="str">
        <f>IF(ISNUMBER(MATCH($C2596,StackableKinds,0)), TRUE, "")</f>
        <v/>
      </c>
    </row>
    <row r="2597" spans="1:16" x14ac:dyDescent="0.2">
      <c r="A2597" s="19" t="str">
        <f>_xlfn.IFNA(VLOOKUP($B2597,Keys!$A:$B,2,FALSE),_xlfn.IFNA(VLOOKUP($B2597,Keys!$D:$E,2,FALSE),VLOOKUP($B2597,Keys!$G:$H,2,FALSE)))</f>
        <v>0x000000234EB37BA9</v>
      </c>
      <c r="B2597" s="5" t="s">
        <v>6882</v>
      </c>
      <c r="C2597" s="5" t="s">
        <v>9467</v>
      </c>
      <c r="D2597" s="5" t="s">
        <v>16862</v>
      </c>
      <c r="E2597" s="5"/>
      <c r="F2597" s="1"/>
      <c r="G2597" s="5" t="s">
        <v>8971</v>
      </c>
      <c r="H2597" s="1"/>
      <c r="I2597" s="1"/>
      <c r="J2597" s="2"/>
      <c r="K2597" s="5" t="s">
        <v>8971</v>
      </c>
      <c r="M2597" s="18"/>
      <c r="N2597" s="1"/>
      <c r="O2597" s="1"/>
      <c r="P2597" s="21" t="str">
        <f>IF(ISNUMBER(MATCH($C2597,StackableKinds,0)), TRUE, "")</f>
        <v/>
      </c>
    </row>
    <row r="2598" spans="1:16" x14ac:dyDescent="0.2">
      <c r="A2598" s="19" t="str">
        <f>_xlfn.IFNA(VLOOKUP($B2598,Keys!$A:$B,2,FALSE),_xlfn.IFNA(VLOOKUP($B2598,Keys!$D:$E,2,FALSE),VLOOKUP($B2598,Keys!$G:$H,2,FALSE)))</f>
        <v>0x00000023D7BA2A13</v>
      </c>
      <c r="B2598" s="5" t="s">
        <v>6884</v>
      </c>
      <c r="C2598" s="5" t="s">
        <v>9467</v>
      </c>
      <c r="D2598" s="5" t="s">
        <v>16862</v>
      </c>
      <c r="E2598" s="5"/>
      <c r="F2598" s="1"/>
      <c r="G2598" s="5" t="s">
        <v>8971</v>
      </c>
      <c r="H2598" s="1"/>
      <c r="I2598" s="1"/>
      <c r="J2598" s="2"/>
      <c r="K2598" s="5" t="s">
        <v>8971</v>
      </c>
      <c r="M2598" s="18"/>
      <c r="N2598" s="1"/>
      <c r="O2598" s="1"/>
      <c r="P2598" s="21" t="str">
        <f>IF(ISNUMBER(MATCH($C2598,StackableKinds,0)), TRUE, "")</f>
        <v/>
      </c>
    </row>
    <row r="2599" spans="1:16" x14ac:dyDescent="0.2">
      <c r="A2599" s="19" t="str">
        <f>_xlfn.IFNA(VLOOKUP($B2599,Keys!$A:$B,2,FALSE),_xlfn.IFNA(VLOOKUP($B2599,Keys!$D:$E,2,FALSE),VLOOKUP($B2599,Keys!$G:$H,2,FALSE)))</f>
        <v>0x000000239325A22C</v>
      </c>
      <c r="B2599" s="5" t="s">
        <v>6886</v>
      </c>
      <c r="C2599" s="5" t="s">
        <v>9467</v>
      </c>
      <c r="D2599" s="5" t="s">
        <v>16862</v>
      </c>
      <c r="E2599" s="5"/>
      <c r="F2599" s="1"/>
      <c r="G2599" s="5" t="s">
        <v>8971</v>
      </c>
      <c r="H2599" s="1"/>
      <c r="I2599" s="1"/>
      <c r="J2599" s="2"/>
      <c r="K2599" s="5" t="s">
        <v>8971</v>
      </c>
      <c r="M2599" s="18"/>
      <c r="N2599" s="1"/>
      <c r="O2599" s="1"/>
      <c r="P2599" s="21" t="str">
        <f>IF(ISNUMBER(MATCH($C2599,StackableKinds,0)), TRUE, "")</f>
        <v/>
      </c>
    </row>
    <row r="2600" spans="1:16" x14ac:dyDescent="0.2">
      <c r="A2600" s="19" t="str">
        <f>_xlfn.IFNA(VLOOKUP($B2600,Keys!$A:$B,2,FALSE),_xlfn.IFNA(VLOOKUP($B2600,Keys!$D:$E,2,FALSE),VLOOKUP($B2600,Keys!$G:$H,2,FALSE)))</f>
        <v>0x000000230A2CF396</v>
      </c>
      <c r="B2600" s="5" t="s">
        <v>6888</v>
      </c>
      <c r="C2600" s="5" t="s">
        <v>9467</v>
      </c>
      <c r="D2600" s="5" t="s">
        <v>16862</v>
      </c>
      <c r="E2600" s="5"/>
      <c r="F2600" s="1"/>
      <c r="G2600" s="5" t="s">
        <v>8971</v>
      </c>
      <c r="H2600" s="1"/>
      <c r="I2600" s="1"/>
      <c r="J2600" s="2"/>
      <c r="K2600" s="5" t="s">
        <v>8971</v>
      </c>
      <c r="M2600" s="18"/>
      <c r="N2600" s="1"/>
      <c r="O2600" s="1"/>
      <c r="P2600" s="21" t="str">
        <f>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16862</v>
      </c>
      <c r="E2601" s="5"/>
      <c r="F2601" s="1"/>
      <c r="G2601" s="5" t="s">
        <v>8971</v>
      </c>
      <c r="H2601" s="1"/>
      <c r="I2601" s="1"/>
      <c r="J2601" s="2"/>
      <c r="K2601" s="5" t="s">
        <v>8971</v>
      </c>
      <c r="M2601" s="18"/>
      <c r="N2601" s="1"/>
      <c r="O2601" s="1"/>
      <c r="P2601" s="21" t="str">
        <f>IF(ISNUMBER(MATCH($C2601,StackableKinds,0)), TRUE, "")</f>
        <v/>
      </c>
    </row>
    <row r="2602" spans="1:16" x14ac:dyDescent="0.2">
      <c r="A2602" s="19" t="str">
        <f>_xlfn.IFNA(VLOOKUP($B2602,Keys!$A:$B,2,FALSE),_xlfn.IFNA(VLOOKUP($B2602,Keys!$D:$E,2,FALSE),VLOOKUP($B2602,Keys!$G:$H,2,FALSE)))</f>
        <v>0x000000235F2FCEF7</v>
      </c>
      <c r="B2602" s="5" t="s">
        <v>6892</v>
      </c>
      <c r="C2602" s="5" t="s">
        <v>9467</v>
      </c>
      <c r="D2602" s="5" t="s">
        <v>16862</v>
      </c>
      <c r="E2602" s="5"/>
      <c r="F2602" s="1"/>
      <c r="G2602" s="5" t="s">
        <v>8971</v>
      </c>
      <c r="H2602" s="1"/>
      <c r="I2602" s="1"/>
      <c r="J2602" s="2"/>
      <c r="K2602" s="5" t="s">
        <v>8971</v>
      </c>
      <c r="M2602" s="18"/>
      <c r="N2602" s="1"/>
      <c r="O2602" s="1"/>
      <c r="P2602" s="21" t="str">
        <f>IF(ISNUMBER(MATCH($C2602,StackableKinds,0)), TRUE, "")</f>
        <v/>
      </c>
    </row>
    <row r="2603" spans="1:16" x14ac:dyDescent="0.2">
      <c r="A2603" s="19" t="str">
        <f>_xlfn.IFNA(VLOOKUP($B2603,Keys!$A:$B,2,FALSE),_xlfn.IFNA(VLOOKUP($B2603,Keys!$D:$E,2,FALSE),VLOOKUP($B2603,Keys!$G:$H,2,FALSE)))</f>
        <v>0x000000237BECF383</v>
      </c>
      <c r="B2603" s="5" t="s">
        <v>6894</v>
      </c>
      <c r="C2603" s="5" t="s">
        <v>9467</v>
      </c>
      <c r="D2603" s="5" t="s">
        <v>16862</v>
      </c>
      <c r="E2603" s="5"/>
      <c r="F2603" s="1"/>
      <c r="G2603" s="5" t="s">
        <v>8971</v>
      </c>
      <c r="H2603" s="1"/>
      <c r="I2603" s="1"/>
      <c r="J2603" s="2"/>
      <c r="K2603" s="5" t="s">
        <v>8971</v>
      </c>
      <c r="M2603" s="18"/>
      <c r="N2603" s="1"/>
      <c r="O2603" s="1"/>
      <c r="P2603" s="21" t="str">
        <f>IF(ISNUMBER(MATCH($C2603,StackableKinds,0)), TRUE, "")</f>
        <v/>
      </c>
    </row>
    <row r="2604" spans="1:16" x14ac:dyDescent="0.2">
      <c r="A2604" s="19" t="str">
        <f>_xlfn.IFNA(VLOOKUP($B2604,Keys!$A:$B,2,FALSE),_xlfn.IFNA(VLOOKUP($B2604,Keys!$D:$E,2,FALSE),VLOOKUP($B2604,Keys!$G:$H,2,FALSE)))</f>
        <v>0x00000023E2E5A239</v>
      </c>
      <c r="B2604" s="5" t="s">
        <v>6896</v>
      </c>
      <c r="C2604" s="5" t="s">
        <v>9467</v>
      </c>
      <c r="D2604" s="5" t="s">
        <v>16862</v>
      </c>
      <c r="E2604" s="5"/>
      <c r="F2604" s="1"/>
      <c r="G2604" s="5" t="s">
        <v>8971</v>
      </c>
      <c r="H2604" s="1"/>
      <c r="I2604" s="1"/>
      <c r="J2604" s="2"/>
      <c r="K2604" s="5" t="s">
        <v>8971</v>
      </c>
      <c r="M2604" s="18"/>
      <c r="N2604" s="1"/>
      <c r="O2604" s="1"/>
      <c r="P2604" s="21" t="str">
        <f>IF(ISNUMBER(MATCH($C2604,StackableKinds,0)), TRUE, "")</f>
        <v/>
      </c>
    </row>
    <row r="2605" spans="1:16" x14ac:dyDescent="0.2">
      <c r="A2605" s="19" t="str">
        <f>_xlfn.IFNA(VLOOKUP($B2605,Keys!$A:$B,2,FALSE),_xlfn.IFNA(VLOOKUP($B2605,Keys!$D:$E,2,FALSE),VLOOKUP($B2605,Keys!$G:$H,2,FALSE)))</f>
        <v>0x00000023A67A2A06</v>
      </c>
      <c r="B2605" s="5" t="s">
        <v>6898</v>
      </c>
      <c r="C2605" s="5" t="s">
        <v>9467</v>
      </c>
      <c r="D2605" s="5" t="s">
        <v>16862</v>
      </c>
      <c r="E2605" s="5"/>
      <c r="F2605" s="1"/>
      <c r="G2605" s="5" t="s">
        <v>8971</v>
      </c>
      <c r="H2605" s="1"/>
      <c r="I2605" s="1"/>
      <c r="J2605" s="2"/>
      <c r="K2605" s="5" t="s">
        <v>8971</v>
      </c>
      <c r="M2605" s="18"/>
      <c r="N2605" s="1"/>
      <c r="O2605" s="1"/>
      <c r="P2605" s="21" t="str">
        <f>IF(ISNUMBER(MATCH($C2605,StackableKinds,0)), TRUE, "")</f>
        <v/>
      </c>
    </row>
    <row r="2606" spans="1:16" x14ac:dyDescent="0.2">
      <c r="A2606" s="19" t="str">
        <f>_xlfn.IFNA(VLOOKUP($B2606,Keys!$A:$B,2,FALSE),_xlfn.IFNA(VLOOKUP($B2606,Keys!$D:$E,2,FALSE),VLOOKUP($B2606,Keys!$G:$H,2,FALSE)))</f>
        <v>0x00000023DB092C5E</v>
      </c>
      <c r="B2606" s="5" t="s">
        <v>6900</v>
      </c>
      <c r="C2606" s="5" t="s">
        <v>9467</v>
      </c>
      <c r="D2606" s="5" t="s">
        <v>16862</v>
      </c>
      <c r="E2606" s="5"/>
      <c r="F2606" s="1"/>
      <c r="G2606" s="5" t="s">
        <v>8971</v>
      </c>
      <c r="H2606" s="1"/>
      <c r="I2606" s="1"/>
      <c r="J2606" s="2"/>
      <c r="K2606" s="5" t="s">
        <v>8971</v>
      </c>
      <c r="M2606" s="18"/>
      <c r="N2606" s="1"/>
      <c r="O2606" s="1"/>
      <c r="P2606" s="21" t="str">
        <f>IF(ISNUMBER(MATCH($C2606,StackableKinds,0)), TRUE, "")</f>
        <v/>
      </c>
    </row>
    <row r="2607" spans="1:16" x14ac:dyDescent="0.2">
      <c r="A2607" s="19" t="str">
        <f>_xlfn.IFNA(VLOOKUP($B2607,Keys!$A:$B,2,FALSE),_xlfn.IFNA(VLOOKUP($B2607,Keys!$D:$E,2,FALSE),VLOOKUP($B2607,Keys!$G:$H,2,FALSE)))</f>
        <v>0x00000023069FF5DB</v>
      </c>
      <c r="B2607" s="5" t="s">
        <v>6902</v>
      </c>
      <c r="C2607" s="5" t="s">
        <v>9467</v>
      </c>
      <c r="D2607" s="5" t="s">
        <v>16862</v>
      </c>
      <c r="E2607" s="5"/>
      <c r="F2607" s="1"/>
      <c r="G2607" s="5" t="s">
        <v>8971</v>
      </c>
      <c r="H2607" s="1"/>
      <c r="I2607" s="1"/>
      <c r="J2607" s="2"/>
      <c r="K2607" s="5" t="s">
        <v>8971</v>
      </c>
      <c r="M2607" s="18"/>
      <c r="N2607" s="1"/>
      <c r="O2607" s="1"/>
      <c r="P2607" s="21" t="str">
        <f>IF(ISNUMBER(MATCH($C2607,StackableKinds,0)), TRUE, "")</f>
        <v/>
      </c>
    </row>
    <row r="2608" spans="1:16" x14ac:dyDescent="0.2">
      <c r="A2608" s="19" t="str">
        <f>_xlfn.IFNA(VLOOKUP($B2608,Keys!$A:$B,2,FALSE),_xlfn.IFNA(VLOOKUP($B2608,Keys!$D:$E,2,FALSE),VLOOKUP($B2608,Keys!$G:$H,2,FALSE)))</f>
        <v>0x000000239F96A461</v>
      </c>
      <c r="B2608" s="5" t="s">
        <v>6904</v>
      </c>
      <c r="C2608" s="5" t="s">
        <v>9467</v>
      </c>
      <c r="D2608" s="5" t="s">
        <v>16862</v>
      </c>
      <c r="E2608" s="5"/>
      <c r="F2608" s="1"/>
      <c r="G2608" s="5" t="s">
        <v>8971</v>
      </c>
      <c r="H2608" s="1"/>
      <c r="I2608" s="1"/>
      <c r="J2608" s="2"/>
      <c r="K2608" s="5" t="s">
        <v>8971</v>
      </c>
      <c r="M2608" s="18"/>
      <c r="N2608" s="1"/>
      <c r="O2608" s="1"/>
      <c r="P2608" s="21" t="str">
        <f>IF(ISNUMBER(MATCH($C2608,StackableKinds,0)), TRUE, "")</f>
        <v/>
      </c>
    </row>
    <row r="2609" spans="1:16" x14ac:dyDescent="0.2">
      <c r="A2609" s="19" t="str">
        <f>_xlfn.IFNA(VLOOKUP($B2609,Keys!$A:$B,2,FALSE),_xlfn.IFNA(VLOOKUP($B2609,Keys!$D:$E,2,FALSE),VLOOKUP($B2609,Keys!$G:$H,2,FALSE)))</f>
        <v>0x00000023BB559915</v>
      </c>
      <c r="B2609" s="5" t="s">
        <v>6906</v>
      </c>
      <c r="C2609" s="5" t="s">
        <v>9467</v>
      </c>
      <c r="D2609" s="5" t="s">
        <v>16862</v>
      </c>
      <c r="E2609" s="5"/>
      <c r="F2609" s="1"/>
      <c r="G2609" s="5" t="s">
        <v>8971</v>
      </c>
      <c r="H2609" s="1"/>
      <c r="I2609" s="1"/>
      <c r="J2609" s="2"/>
      <c r="K2609" s="5" t="s">
        <v>8971</v>
      </c>
      <c r="M2609" s="18"/>
      <c r="N2609" s="1"/>
      <c r="O2609" s="1"/>
      <c r="P2609" s="21" t="str">
        <f>IF(ISNUMBER(MATCH($C2609,StackableKinds,0)), TRUE, "")</f>
        <v/>
      </c>
    </row>
    <row r="2610" spans="1:16" x14ac:dyDescent="0.2">
      <c r="A2610" s="19" t="str">
        <f>_xlfn.IFNA(VLOOKUP($B2610,Keys!$A:$B,2,FALSE),_xlfn.IFNA(VLOOKUP($B2610,Keys!$D:$E,2,FALSE),VLOOKUP($B2610,Keys!$G:$H,2,FALSE)))</f>
        <v>0x0000002366C34090</v>
      </c>
      <c r="B2610" s="5" t="s">
        <v>6908</v>
      </c>
      <c r="C2610" s="5" t="s">
        <v>9467</v>
      </c>
      <c r="D2610" s="5" t="s">
        <v>16862</v>
      </c>
      <c r="E2610" s="5"/>
      <c r="F2610" s="1"/>
      <c r="G2610" s="5" t="s">
        <v>8971</v>
      </c>
      <c r="H2610" s="1"/>
      <c r="I2610" s="1"/>
      <c r="J2610" s="2"/>
      <c r="K2610" s="5" t="s">
        <v>8971</v>
      </c>
      <c r="M2610" s="18"/>
      <c r="N2610" s="1"/>
      <c r="O2610" s="1"/>
      <c r="P2610" s="21" t="str">
        <f>IF(ISNUMBER(MATCH($C2610,StackableKinds,0)), TRUE, "")</f>
        <v/>
      </c>
    </row>
    <row r="2611" spans="1:16" x14ac:dyDescent="0.2">
      <c r="A2611" s="19" t="str">
        <f>_xlfn.IFNA(VLOOKUP($B2611,Keys!$A:$B,2,FALSE),_xlfn.IFNA(VLOOKUP($B2611,Keys!$D:$E,2,FALSE),VLOOKUP($B2611,Keys!$G:$H,2,FALSE)))</f>
        <v>0x00000023FFCA112A</v>
      </c>
      <c r="B2611" s="5" t="s">
        <v>6910</v>
      </c>
      <c r="C2611" s="5" t="s">
        <v>9467</v>
      </c>
      <c r="D2611" s="5" t="s">
        <v>16862</v>
      </c>
      <c r="E2611" s="5"/>
      <c r="F2611" s="1"/>
      <c r="G2611" s="5" t="s">
        <v>8971</v>
      </c>
      <c r="H2611" s="1"/>
      <c r="I2611" s="1"/>
      <c r="J2611" s="2"/>
      <c r="K2611" s="5" t="s">
        <v>8971</v>
      </c>
      <c r="M2611" s="18"/>
      <c r="N2611" s="1"/>
      <c r="O2611" s="1"/>
      <c r="P2611" s="21" t="str">
        <f>IF(ISNUMBER(MATCH($C2611,StackableKinds,0)), TRUE, "")</f>
        <v/>
      </c>
    </row>
    <row r="2612" spans="1:16" x14ac:dyDescent="0.2">
      <c r="A2612" s="19" t="str">
        <f>_xlfn.IFNA(VLOOKUP($B2612,Keys!$A:$B,2,FALSE),_xlfn.IFNA(VLOOKUP($B2612,Keys!$D:$E,2,FALSE),VLOOKUP($B2612,Keys!$G:$H,2,FALSE)))</f>
        <v>0x0000002341B395A5</v>
      </c>
      <c r="B2612" s="5" t="s">
        <v>6912</v>
      </c>
      <c r="C2612" s="5" t="s">
        <v>9467</v>
      </c>
      <c r="D2612" s="5" t="s">
        <v>16862</v>
      </c>
      <c r="E2612" s="5"/>
      <c r="F2612" s="1"/>
      <c r="G2612" s="5" t="s">
        <v>8971</v>
      </c>
      <c r="H2612" s="1"/>
      <c r="I2612" s="1"/>
      <c r="J2612" s="2"/>
      <c r="K2612" s="5" t="s">
        <v>8971</v>
      </c>
      <c r="M2612" s="18"/>
      <c r="N2612" s="1"/>
      <c r="O2612" s="1"/>
      <c r="P2612" s="21" t="str">
        <f>IF(ISNUMBER(MATCH($C2612,StackableKinds,0)), TRUE, "")</f>
        <v/>
      </c>
    </row>
    <row r="2613" spans="1:16" x14ac:dyDescent="0.2">
      <c r="A2613" s="19" t="str">
        <f>_xlfn.IFNA(VLOOKUP($B2613,Keys!$A:$B,2,FALSE),_xlfn.IFNA(VLOOKUP($B2613,Keys!$D:$E,2,FALSE),VLOOKUP($B2613,Keys!$G:$H,2,FALSE)))</f>
        <v>0x000000239C254C20</v>
      </c>
      <c r="B2613" s="5" t="s">
        <v>6914</v>
      </c>
      <c r="C2613" s="5" t="s">
        <v>9467</v>
      </c>
      <c r="D2613" s="5" t="s">
        <v>16862</v>
      </c>
      <c r="E2613" s="5"/>
      <c r="F2613" s="1"/>
      <c r="G2613" s="5" t="s">
        <v>8971</v>
      </c>
      <c r="H2613" s="1"/>
      <c r="I2613" s="1"/>
      <c r="J2613" s="2"/>
      <c r="K2613" s="5" t="s">
        <v>8971</v>
      </c>
      <c r="M2613" s="18"/>
      <c r="N2613" s="1"/>
      <c r="O2613" s="1"/>
      <c r="P2613" s="21" t="str">
        <f>IF(ISNUMBER(MATCH($C2613,StackableKinds,0)), TRUE, "")</f>
        <v/>
      </c>
    </row>
    <row r="2614" spans="1:16" x14ac:dyDescent="0.2">
      <c r="A2614" s="19" t="str">
        <f>_xlfn.IFNA(VLOOKUP($B2614,Keys!$A:$B,2,FALSE),_xlfn.IFNA(VLOOKUP($B2614,Keys!$D:$E,2,FALSE),VLOOKUP($B2614,Keys!$G:$H,2,FALSE)))</f>
        <v>0x0000002386BFA7BE</v>
      </c>
      <c r="B2614" s="5" t="s">
        <v>6916</v>
      </c>
      <c r="C2614" s="5" t="s">
        <v>9467</v>
      </c>
      <c r="D2614" s="5" t="s">
        <v>16862</v>
      </c>
      <c r="E2614" s="5"/>
      <c r="F2614" s="1"/>
      <c r="G2614" s="5" t="s">
        <v>8971</v>
      </c>
      <c r="H2614" s="1"/>
      <c r="I2614" s="1"/>
      <c r="J2614" s="2"/>
      <c r="K2614" s="5" t="s">
        <v>8971</v>
      </c>
      <c r="M2614" s="18"/>
      <c r="N2614" s="1"/>
      <c r="O2614" s="1"/>
      <c r="P2614" s="21" t="str">
        <f>IF(ISNUMBER(MATCH($C2614,StackableKinds,0)), TRUE, "")</f>
        <v/>
      </c>
    </row>
    <row r="2615" spans="1:16" x14ac:dyDescent="0.2">
      <c r="A2615" s="19" t="str">
        <f>_xlfn.IFNA(VLOOKUP($B2615,Keys!$A:$B,2,FALSE),_xlfn.IFNA(VLOOKUP($B2615,Keys!$D:$E,2,FALSE),VLOOKUP($B2615,Keys!$G:$H,2,FALSE)))</f>
        <v>0x000000231FB6F604</v>
      </c>
      <c r="B2615" s="5" t="s">
        <v>6918</v>
      </c>
      <c r="C2615" s="5" t="s">
        <v>9467</v>
      </c>
      <c r="D2615" s="5" t="s">
        <v>16862</v>
      </c>
      <c r="E2615" s="5"/>
      <c r="F2615" s="1"/>
      <c r="G2615" s="5" t="s">
        <v>8971</v>
      </c>
      <c r="H2615" s="1"/>
      <c r="I2615" s="1"/>
      <c r="J2615" s="2"/>
      <c r="K2615" s="5" t="s">
        <v>8971</v>
      </c>
      <c r="M2615" s="18"/>
      <c r="N2615" s="1"/>
      <c r="O2615" s="1"/>
      <c r="P2615" s="21" t="str">
        <f>IF(ISNUMBER(MATCH($C2615,StackableKinds,0)), TRUE, "")</f>
        <v/>
      </c>
    </row>
    <row r="2616" spans="1:16" x14ac:dyDescent="0.2">
      <c r="A2616" s="19" t="str">
        <f>_xlfn.IFNA(VLOOKUP($B2616,Keys!$A:$B,2,FALSE),_xlfn.IFNA(VLOOKUP($B2616,Keys!$D:$E,2,FALSE),VLOOKUP($B2616,Keys!$G:$H,2,FALSE)))</f>
        <v>0x000000235B297E3B</v>
      </c>
      <c r="B2616" s="5" t="s">
        <v>6920</v>
      </c>
      <c r="C2616" s="5" t="s">
        <v>9467</v>
      </c>
      <c r="D2616" s="5" t="s">
        <v>16862</v>
      </c>
      <c r="E2616" s="5"/>
      <c r="F2616" s="1"/>
      <c r="G2616" s="5" t="s">
        <v>8971</v>
      </c>
      <c r="H2616" s="1"/>
      <c r="I2616" s="1"/>
      <c r="J2616" s="2"/>
      <c r="K2616" s="5" t="s">
        <v>8971</v>
      </c>
      <c r="M2616" s="18"/>
      <c r="N2616" s="1"/>
      <c r="O2616" s="1"/>
      <c r="P2616" s="21" t="str">
        <f>IF(ISNUMBER(MATCH($C2616,StackableKinds,0)), TRUE, "")</f>
        <v/>
      </c>
    </row>
    <row r="2617" spans="1:16" x14ac:dyDescent="0.2">
      <c r="A2617" s="19" t="str">
        <f>_xlfn.IFNA(VLOOKUP($B2617,Keys!$A:$B,2,FALSE),_xlfn.IFNA(VLOOKUP($B2617,Keys!$D:$E,2,FALSE),VLOOKUP($B2617,Keys!$G:$H,2,FALSE)))</f>
        <v>0x00000023E6E312F5</v>
      </c>
      <c r="B2617" s="5" t="s">
        <v>6922</v>
      </c>
      <c r="C2617" s="5" t="s">
        <v>9467</v>
      </c>
      <c r="D2617" s="5" t="s">
        <v>16862</v>
      </c>
      <c r="E2617" s="5"/>
      <c r="F2617" s="1"/>
      <c r="G2617" s="5" t="s">
        <v>8971</v>
      </c>
      <c r="H2617" s="1"/>
      <c r="I2617" s="1"/>
      <c r="J2617" s="2"/>
      <c r="K2617" s="5" t="s">
        <v>8971</v>
      </c>
      <c r="M2617" s="18"/>
      <c r="N2617" s="1"/>
      <c r="O2617" s="1"/>
      <c r="P2617" s="21" t="str">
        <f>IF(ISNUMBER(MATCH($C2617,StackableKinds,0)), TRUE, "")</f>
        <v/>
      </c>
    </row>
    <row r="2618" spans="1:16" x14ac:dyDescent="0.2">
      <c r="A2618" s="19" t="str">
        <f>_xlfn.IFNA(VLOOKUP($B2618,Keys!$A:$B,2,FALSE),_xlfn.IFNA(VLOOKUP($B2618,Keys!$D:$E,2,FALSE),VLOOKUP($B2618,Keys!$G:$H,2,FALSE)))</f>
        <v>0x000000233B75CB70</v>
      </c>
      <c r="B2618" s="5" t="s">
        <v>6924</v>
      </c>
      <c r="C2618" s="5" t="s">
        <v>9467</v>
      </c>
      <c r="D2618" s="5" t="s">
        <v>16862</v>
      </c>
      <c r="E2618" s="5"/>
      <c r="F2618" s="1"/>
      <c r="G2618" s="5" t="s">
        <v>8971</v>
      </c>
      <c r="H2618" s="1"/>
      <c r="I2618" s="1"/>
      <c r="J2618" s="2"/>
      <c r="K2618" s="5" t="s">
        <v>8971</v>
      </c>
      <c r="M2618" s="18"/>
      <c r="N2618" s="1"/>
      <c r="O2618" s="1"/>
      <c r="P2618" s="21" t="str">
        <f>IF(ISNUMBER(MATCH($C2618,StackableKinds,0)), TRUE, "")</f>
        <v/>
      </c>
    </row>
    <row r="2619" spans="1:16" x14ac:dyDescent="0.2">
      <c r="A2619" s="19" t="str">
        <f>_xlfn.IFNA(VLOOKUP($B2619,Keys!$A:$B,2,FALSE),_xlfn.IFNA(VLOOKUP($B2619,Keys!$D:$E,2,FALSE),VLOOKUP($B2619,Keys!$G:$H,2,FALSE)))</f>
        <v>0x00000023A27C9ACA</v>
      </c>
      <c r="B2619" s="5" t="s">
        <v>6926</v>
      </c>
      <c r="C2619" s="5" t="s">
        <v>9467</v>
      </c>
      <c r="D2619" s="5" t="s">
        <v>16862</v>
      </c>
      <c r="E2619" s="5"/>
      <c r="F2619" s="1"/>
      <c r="G2619" s="5" t="s">
        <v>8971</v>
      </c>
      <c r="H2619" s="1"/>
      <c r="I2619" s="1"/>
      <c r="J2619" s="2"/>
      <c r="K2619" s="5" t="s">
        <v>8971</v>
      </c>
      <c r="M2619" s="18"/>
      <c r="N2619" s="1"/>
      <c r="O2619" s="1"/>
      <c r="P2619" s="21" t="str">
        <f>IF(ISNUMBER(MATCH($C2619,StackableKinds,0)), TRUE, "")</f>
        <v/>
      </c>
    </row>
    <row r="2620" spans="1:16" x14ac:dyDescent="0.2">
      <c r="A2620" s="19" t="str">
        <f>_xlfn.IFNA(VLOOKUP($B2620,Keys!$A:$B,2,FALSE),_xlfn.IFNA(VLOOKUP($B2620,Keys!$D:$E,2,FALSE),VLOOKUP($B2620,Keys!$G:$H,2,FALSE)))</f>
        <v>0x000000234606CD28</v>
      </c>
      <c r="B2620" s="5" t="s">
        <v>6928</v>
      </c>
      <c r="C2620" s="5" t="s">
        <v>9467</v>
      </c>
      <c r="D2620" s="5" t="s">
        <v>16862</v>
      </c>
      <c r="E2620" s="5"/>
      <c r="F2620" s="1"/>
      <c r="G2620" s="5" t="s">
        <v>8971</v>
      </c>
      <c r="H2620" s="1"/>
      <c r="I2620" s="1"/>
      <c r="J2620" s="2"/>
      <c r="K2620" s="5" t="s">
        <v>8971</v>
      </c>
      <c r="M2620" s="18"/>
      <c r="N2620" s="1"/>
      <c r="O2620" s="1"/>
      <c r="P2620" s="21" t="str">
        <f>IF(ISNUMBER(MATCH($C2620,StackableKinds,0)), TRUE, "")</f>
        <v/>
      </c>
    </row>
    <row r="2621" spans="1:16" x14ac:dyDescent="0.2">
      <c r="A2621" s="19" t="str">
        <f>_xlfn.IFNA(VLOOKUP($B2621,Keys!$A:$B,2,FALSE),_xlfn.IFNA(VLOOKUP($B2621,Keys!$D:$E,2,FALSE),VLOOKUP($B2621,Keys!$G:$H,2,FALSE)))</f>
        <v>0x00000023DF0F9C92</v>
      </c>
      <c r="B2621" s="5" t="s">
        <v>6930</v>
      </c>
      <c r="C2621" s="5" t="s">
        <v>9467</v>
      </c>
      <c r="D2621" s="5" t="s">
        <v>16862</v>
      </c>
      <c r="E2621" s="5"/>
      <c r="F2621" s="1"/>
      <c r="G2621" s="5" t="s">
        <v>8971</v>
      </c>
      <c r="H2621" s="1"/>
      <c r="I2621" s="1"/>
      <c r="J2621" s="2"/>
      <c r="K2621" s="5" t="s">
        <v>8971</v>
      </c>
      <c r="M2621" s="18"/>
      <c r="N2621" s="1"/>
      <c r="O2621" s="1"/>
      <c r="P2621" s="21" t="str">
        <f>IF(ISNUMBER(MATCH($C2621,StackableKinds,0)), TRUE, "")</f>
        <v/>
      </c>
    </row>
    <row r="2622" spans="1:16" x14ac:dyDescent="0.2">
      <c r="A2622" s="19" t="str">
        <f>_xlfn.IFNA(VLOOKUP($B2622,Keys!$A:$B,2,FALSE),_xlfn.IFNA(VLOOKUP($B2622,Keys!$D:$E,2,FALSE),VLOOKUP($B2622,Keys!$G:$H,2,FALSE)))</f>
        <v>0x000000239B9014AD</v>
      </c>
      <c r="B2622" s="5" t="s">
        <v>6932</v>
      </c>
      <c r="C2622" s="5" t="s">
        <v>9467</v>
      </c>
      <c r="D2622" s="5" t="s">
        <v>16862</v>
      </c>
      <c r="E2622" s="5"/>
      <c r="F2622" s="1"/>
      <c r="G2622" s="5" t="s">
        <v>8971</v>
      </c>
      <c r="H2622" s="1"/>
      <c r="I2622" s="1"/>
      <c r="J2622" s="2"/>
      <c r="K2622" s="5" t="s">
        <v>8971</v>
      </c>
      <c r="M2622" s="18"/>
      <c r="N2622" s="1"/>
      <c r="O2622" s="1"/>
      <c r="P2622" s="21" t="str">
        <f>IF(ISNUMBER(MATCH($C2622,StackableKinds,0)), TRUE, "")</f>
        <v/>
      </c>
    </row>
    <row r="2623" spans="1:16" x14ac:dyDescent="0.2">
      <c r="A2623" s="19" t="str">
        <f>_xlfn.IFNA(VLOOKUP($B2623,Keys!$A:$B,2,FALSE),_xlfn.IFNA(VLOOKUP($B2623,Keys!$D:$E,2,FALSE),VLOOKUP($B2623,Keys!$G:$H,2,FALSE)))</f>
        <v>0x0000002302994517</v>
      </c>
      <c r="B2623" s="5" t="s">
        <v>6934</v>
      </c>
      <c r="C2623" s="5" t="s">
        <v>9467</v>
      </c>
      <c r="D2623" s="5" t="s">
        <v>16862</v>
      </c>
      <c r="E2623" s="5"/>
      <c r="F2623" s="1"/>
      <c r="G2623" s="5" t="s">
        <v>8971</v>
      </c>
      <c r="H2623" s="1"/>
      <c r="I2623" s="1"/>
      <c r="J2623" s="2"/>
      <c r="K2623" s="5" t="s">
        <v>8971</v>
      </c>
      <c r="M2623" s="18"/>
      <c r="N2623" s="1"/>
      <c r="O2623" s="1"/>
      <c r="P2623" s="21" t="str">
        <f>IF(ISNUMBER(MATCH($C2623,StackableKinds,0)), TRUE, "")</f>
        <v/>
      </c>
    </row>
    <row r="2624" spans="1:16" x14ac:dyDescent="0.2">
      <c r="A2624" s="19" t="str">
        <f>_xlfn.IFNA(VLOOKUP($B2624,Keys!$A:$B,2,FALSE),_xlfn.IFNA(VLOOKUP($B2624,Keys!$D:$E,2,FALSE),VLOOKUP($B2624,Keys!$G:$H,2,FALSE)))</f>
        <v>0x00000023265A7863</v>
      </c>
      <c r="B2624" s="5" t="s">
        <v>6936</v>
      </c>
      <c r="C2624" s="5" t="s">
        <v>9467</v>
      </c>
      <c r="D2624" s="5" t="s">
        <v>16862</v>
      </c>
      <c r="E2624" s="5"/>
      <c r="F2624" s="1"/>
      <c r="G2624" s="5" t="s">
        <v>8971</v>
      </c>
      <c r="H2624" s="1"/>
      <c r="I2624" s="1"/>
      <c r="J2624" s="2"/>
      <c r="K2624" s="5" t="s">
        <v>8971</v>
      </c>
      <c r="M2624" s="18"/>
      <c r="N2624" s="1"/>
      <c r="O2624" s="1"/>
      <c r="P2624" s="21" t="str">
        <f>IF(ISNUMBER(MATCH($C2624,StackableKinds,0)), TRUE, "")</f>
        <v/>
      </c>
    </row>
    <row r="2625" spans="1:16" x14ac:dyDescent="0.2">
      <c r="A2625" s="19" t="str">
        <f>_xlfn.IFNA(VLOOKUP($B2625,Keys!$A:$B,2,FALSE),_xlfn.IFNA(VLOOKUP($B2625,Keys!$D:$E,2,FALSE),VLOOKUP($B2625,Keys!$G:$H,2,FALSE)))</f>
        <v>0x0000001F65F12BCE</v>
      </c>
      <c r="B2625" s="5" t="s">
        <v>6938</v>
      </c>
      <c r="C2625" s="5" t="s">
        <v>9467</v>
      </c>
      <c r="D2625" s="5" t="s">
        <v>16862</v>
      </c>
      <c r="E2625" s="5"/>
      <c r="F2625" s="1"/>
      <c r="G2625" s="5" t="s">
        <v>8971</v>
      </c>
      <c r="H2625" s="1"/>
      <c r="I2625" s="1"/>
      <c r="J2625" s="2"/>
      <c r="K2625" s="5" t="s">
        <v>8971</v>
      </c>
      <c r="M2625" s="18"/>
      <c r="N2625" s="1"/>
      <c r="O2625" s="1"/>
      <c r="P2625" s="21" t="str">
        <f>IF(ISNUMBER(MATCH($C2625,StackableKinds,0)), TRUE, "")</f>
        <v/>
      </c>
    </row>
    <row r="2626" spans="1:16" x14ac:dyDescent="0.2">
      <c r="A2626" s="19" t="str">
        <f>_xlfn.IFNA(VLOOKUP($B2626,Keys!$A:$B,2,FALSE),_xlfn.IFNA(VLOOKUP($B2626,Keys!$D:$E,2,FALSE),VLOOKUP($B2626,Keys!$G:$H,2,FALSE)))</f>
        <v>0x0000001FFCF87A74</v>
      </c>
      <c r="B2626" s="5" t="s">
        <v>6940</v>
      </c>
      <c r="C2626" s="5" t="s">
        <v>9467</v>
      </c>
      <c r="D2626" s="5" t="s">
        <v>16862</v>
      </c>
      <c r="E2626" s="5"/>
      <c r="F2626" s="1"/>
      <c r="G2626" s="5" t="s">
        <v>8971</v>
      </c>
      <c r="H2626" s="1"/>
      <c r="I2626" s="1"/>
      <c r="J2626" s="2"/>
      <c r="K2626" s="5" t="s">
        <v>8971</v>
      </c>
      <c r="M2626" s="18"/>
      <c r="N2626" s="1"/>
      <c r="O2626" s="1"/>
      <c r="P2626" s="21" t="str">
        <f>IF(ISNUMBER(MATCH($C2626,StackableKinds,0)), TRUE, "")</f>
        <v/>
      </c>
    </row>
    <row r="2627" spans="1:16" x14ac:dyDescent="0.2">
      <c r="A2627" s="19" t="str">
        <f>_xlfn.IFNA(VLOOKUP($B2627,Keys!$A:$B,2,FALSE),_xlfn.IFNA(VLOOKUP($B2627,Keys!$D:$E,2,FALSE),VLOOKUP($B2627,Keys!$G:$H,2,FALSE)))</f>
        <v>0x0000001F05AD9E85</v>
      </c>
      <c r="B2627" s="5" t="s">
        <v>6942</v>
      </c>
      <c r="C2627" s="5" t="s">
        <v>9467</v>
      </c>
      <c r="D2627" s="5" t="s">
        <v>16862</v>
      </c>
      <c r="E2627" s="5"/>
      <c r="F2627" s="1"/>
      <c r="G2627" s="5" t="s">
        <v>8971</v>
      </c>
      <c r="H2627" s="1"/>
      <c r="I2627" s="1"/>
      <c r="J2627" s="2"/>
      <c r="K2627" s="5" t="s">
        <v>8971</v>
      </c>
      <c r="M2627" s="18"/>
      <c r="N2627" s="1"/>
      <c r="O2627" s="1"/>
      <c r="P2627" s="21" t="str">
        <f>IF(ISNUMBER(MATCH($C2627,StackableKinds,0)), TRUE, "")</f>
        <v/>
      </c>
    </row>
    <row r="2628" spans="1:16" x14ac:dyDescent="0.2">
      <c r="A2628" s="19" t="str">
        <f>_xlfn.IFNA(VLOOKUP($B2628,Keys!$A:$B,2,FALSE),_xlfn.IFNA(VLOOKUP($B2628,Keys!$D:$E,2,FALSE),VLOOKUP($B2628,Keys!$G:$H,2,FALSE)))</f>
        <v>0x0000001F9CA4CF3F</v>
      </c>
      <c r="B2628" s="5" t="s">
        <v>6944</v>
      </c>
      <c r="C2628" s="5" t="s">
        <v>9467</v>
      </c>
      <c r="D2628" s="5" t="s">
        <v>16862</v>
      </c>
      <c r="E2628" s="5"/>
      <c r="F2628" s="1"/>
      <c r="G2628" s="5" t="s">
        <v>8971</v>
      </c>
      <c r="H2628" s="1"/>
      <c r="I2628" s="1"/>
      <c r="J2628" s="2"/>
      <c r="K2628" s="5" t="s">
        <v>8971</v>
      </c>
      <c r="M2628" s="18"/>
      <c r="N2628" s="1"/>
      <c r="O2628" s="1"/>
      <c r="P2628" s="21" t="str">
        <f>IF(ISNUMBER(MATCH($C2628,StackableKinds,0)), TRUE, "")</f>
        <v/>
      </c>
    </row>
    <row r="2629" spans="1:16" x14ac:dyDescent="0.2">
      <c r="A2629" s="19" t="str">
        <f>_xlfn.IFNA(VLOOKUP($B2629,Keys!$A:$B,2,FALSE),_xlfn.IFNA(VLOOKUP($B2629,Keys!$D:$E,2,FALSE),VLOOKUP($B2629,Keys!$G:$H,2,FALSE)))</f>
        <v>0x0000001F2568133D</v>
      </c>
      <c r="B2629" s="5" t="s">
        <v>6946</v>
      </c>
      <c r="C2629" s="5" t="s">
        <v>9467</v>
      </c>
      <c r="D2629" s="5" t="s">
        <v>16862</v>
      </c>
      <c r="E2629" s="5"/>
      <c r="F2629" s="1"/>
      <c r="G2629" s="5" t="s">
        <v>8971</v>
      </c>
      <c r="H2629" s="1"/>
      <c r="I2629" s="1"/>
      <c r="J2629" s="2"/>
      <c r="K2629" s="5" t="s">
        <v>8971</v>
      </c>
      <c r="M2629" s="18"/>
      <c r="N2629" s="1"/>
      <c r="O2629" s="1"/>
      <c r="P2629" s="21" t="str">
        <f>IF(ISNUMBER(MATCH($C2629,StackableKinds,0)), TRUE, "")</f>
        <v/>
      </c>
    </row>
    <row r="2630" spans="1:16" x14ac:dyDescent="0.2">
      <c r="A2630" s="19" t="str">
        <f>_xlfn.IFNA(VLOOKUP($B2630,Keys!$A:$B,2,FALSE),_xlfn.IFNA(VLOOKUP($B2630,Keys!$D:$E,2,FALSE),VLOOKUP($B2630,Keys!$G:$H,2,FALSE)))</f>
        <v>0x0000001F3847A02E</v>
      </c>
      <c r="B2630" s="5" t="s">
        <v>6948</v>
      </c>
      <c r="C2630" s="5" t="s">
        <v>9467</v>
      </c>
      <c r="D2630" s="5" t="s">
        <v>16862</v>
      </c>
      <c r="E2630" s="5"/>
      <c r="F2630" s="1"/>
      <c r="G2630" s="5" t="s">
        <v>8971</v>
      </c>
      <c r="H2630" s="1"/>
      <c r="I2630" s="1"/>
      <c r="J2630" s="2"/>
      <c r="K2630" s="5" t="s">
        <v>8971</v>
      </c>
      <c r="M2630" s="18"/>
      <c r="N2630" s="1"/>
      <c r="O2630" s="1"/>
      <c r="P2630" s="21" t="str">
        <f>IF(ISNUMBER(MATCH($C2630,StackableKinds,0)), TRUE, "")</f>
        <v/>
      </c>
    </row>
    <row r="2631" spans="1:16" x14ac:dyDescent="0.2">
      <c r="A2631" s="19" t="str">
        <f>_xlfn.IFNA(VLOOKUP($B2631,Keys!$A:$B,2,FALSE),_xlfn.IFNA(VLOOKUP($B2631,Keys!$D:$E,2,FALSE),VLOOKUP($B2631,Keys!$G:$H,2,FALSE)))</f>
        <v>0x0000001FA14EF194</v>
      </c>
      <c r="B2631" s="5" t="s">
        <v>6950</v>
      </c>
      <c r="C2631" s="5" t="s">
        <v>9467</v>
      </c>
      <c r="D2631" s="5" t="s">
        <v>16862</v>
      </c>
      <c r="E2631" s="5"/>
      <c r="F2631" s="1"/>
      <c r="G2631" s="5" t="s">
        <v>8971</v>
      </c>
      <c r="H2631" s="1"/>
      <c r="I2631" s="1"/>
      <c r="J2631" s="2"/>
      <c r="K2631" s="5" t="s">
        <v>8971</v>
      </c>
      <c r="M2631" s="18"/>
      <c r="N2631" s="1"/>
      <c r="O2631" s="1"/>
      <c r="P2631" s="21" t="str">
        <f>IF(ISNUMBER(MATCH($C2631,StackableKinds,0)), TRUE, "")</f>
        <v/>
      </c>
    </row>
    <row r="2632" spans="1:16" x14ac:dyDescent="0.2">
      <c r="A2632" s="19" t="str">
        <f>_xlfn.IFNA(VLOOKUP($B2632,Keys!$A:$B,2,FALSE),_xlfn.IFNA(VLOOKUP($B2632,Keys!$D:$E,2,FALSE),VLOOKUP($B2632,Keys!$G:$H,2,FALSE)))</f>
        <v>0x0000001F858DCCE0</v>
      </c>
      <c r="B2632" s="5" t="s">
        <v>6952</v>
      </c>
      <c r="C2632" s="5" t="s">
        <v>9467</v>
      </c>
      <c r="D2632" s="5" t="s">
        <v>16862</v>
      </c>
      <c r="E2632" s="5"/>
      <c r="F2632" s="1"/>
      <c r="G2632" s="5" t="s">
        <v>8971</v>
      </c>
      <c r="H2632" s="1"/>
      <c r="I2632" s="1"/>
      <c r="J2632" s="2"/>
      <c r="K2632" s="5" t="s">
        <v>8971</v>
      </c>
      <c r="M2632" s="18"/>
      <c r="N2632" s="1"/>
      <c r="O2632" s="1"/>
      <c r="P2632" s="21" t="str">
        <f>IF(ISNUMBER(MATCH($C2632,StackableKinds,0)), TRUE, "")</f>
        <v/>
      </c>
    </row>
    <row r="2633" spans="1:16" x14ac:dyDescent="0.2">
      <c r="A2633" s="19" t="str">
        <f>_xlfn.IFNA(VLOOKUP($B2633,Keys!$A:$B,2,FALSE),_xlfn.IFNA(VLOOKUP($B2633,Keys!$D:$E,2,FALSE),VLOOKUP($B2633,Keys!$G:$H,2,FALSE)))</f>
        <v>0x0000001F1C849D5A</v>
      </c>
      <c r="B2633" s="5" t="s">
        <v>6954</v>
      </c>
      <c r="C2633" s="5" t="s">
        <v>9467</v>
      </c>
      <c r="D2633" s="5" t="s">
        <v>16862</v>
      </c>
      <c r="E2633" s="5"/>
      <c r="F2633" s="1"/>
      <c r="G2633" s="5" t="s">
        <v>8971</v>
      </c>
      <c r="H2633" s="1"/>
      <c r="I2633" s="1"/>
      <c r="J2633" s="2"/>
      <c r="K2633" s="5" t="s">
        <v>8971</v>
      </c>
      <c r="M2633" s="18"/>
      <c r="N2633" s="1"/>
      <c r="O2633" s="1"/>
      <c r="P2633" s="21" t="str">
        <f>IF(ISNUMBER(MATCH($C2633,StackableKinds,0)), TRUE, "")</f>
        <v/>
      </c>
    </row>
    <row r="2634" spans="1:16" x14ac:dyDescent="0.2">
      <c r="A2634" s="19" t="str">
        <f>_xlfn.IFNA(VLOOKUP($B2634,Keys!$A:$B,2,FALSE),_xlfn.IFNA(VLOOKUP($B2634,Keys!$D:$E,2,FALSE),VLOOKUP($B2634,Keys!$G:$H,2,FALSE)))</f>
        <v>0x0000001F581B1565</v>
      </c>
      <c r="B2634" s="5" t="s">
        <v>6956</v>
      </c>
      <c r="C2634" s="5" t="s">
        <v>9467</v>
      </c>
      <c r="D2634" s="5" t="s">
        <v>16862</v>
      </c>
      <c r="E2634" s="5"/>
      <c r="F2634" s="1"/>
      <c r="G2634" s="5" t="s">
        <v>8971</v>
      </c>
      <c r="H2634" s="1"/>
      <c r="I2634" s="1"/>
      <c r="J2634" s="2"/>
      <c r="K2634" s="5" t="s">
        <v>8971</v>
      </c>
      <c r="M2634" s="18"/>
      <c r="N2634" s="1"/>
      <c r="O2634" s="1"/>
      <c r="P2634" s="21" t="str">
        <f>IF(ISNUMBER(MATCH($C2634,StackableKinds,0)), TRUE, "")</f>
        <v/>
      </c>
    </row>
    <row r="2635" spans="1:16" x14ac:dyDescent="0.2">
      <c r="A2635" s="19" t="str">
        <f>_xlfn.IFNA(VLOOKUP($B2635,Keys!$A:$B,2,FALSE),_xlfn.IFNA(VLOOKUP($B2635,Keys!$D:$E,2,FALSE),VLOOKUP($B2635,Keys!$G:$H,2,FALSE)))</f>
        <v>0x0000001FC11244DF</v>
      </c>
      <c r="B2635" s="5" t="s">
        <v>6958</v>
      </c>
      <c r="C2635" s="5" t="s">
        <v>9467</v>
      </c>
      <c r="D2635" s="5" t="s">
        <v>16862</v>
      </c>
      <c r="E2635" s="5"/>
      <c r="F2635" s="1"/>
      <c r="G2635" s="5" t="s">
        <v>8971</v>
      </c>
      <c r="H2635" s="1"/>
      <c r="I2635" s="1"/>
      <c r="J2635" s="2"/>
      <c r="K2635" s="5" t="s">
        <v>8971</v>
      </c>
      <c r="M2635" s="18"/>
      <c r="N2635" s="1"/>
      <c r="O2635" s="1"/>
      <c r="P2635" s="21" t="str">
        <f>IF(ISNUMBER(MATCH($C2635,StackableKinds,0)), TRUE, "")</f>
        <v/>
      </c>
    </row>
    <row r="2636" spans="1:16" x14ac:dyDescent="0.2">
      <c r="A2636" s="19" t="str">
        <f>_xlfn.IFNA(VLOOKUP($B2636,Keys!$A:$B,2,FALSE),_xlfn.IFNA(VLOOKUP($B2636,Keys!$D:$E,2,FALSE),VLOOKUP($B2636,Keys!$G:$H,2,FALSE)))</f>
        <v>0x0000001F7F6BC050</v>
      </c>
      <c r="B2636" s="5" t="s">
        <v>6960</v>
      </c>
      <c r="C2636" s="5" t="s">
        <v>9467</v>
      </c>
      <c r="D2636" s="5" t="s">
        <v>16862</v>
      </c>
      <c r="E2636" s="5"/>
      <c r="F2636" s="1"/>
      <c r="G2636" s="5" t="s">
        <v>8971</v>
      </c>
      <c r="H2636" s="1"/>
      <c r="I2636" s="1"/>
      <c r="J2636" s="2"/>
      <c r="K2636" s="5" t="s">
        <v>8971</v>
      </c>
      <c r="M2636" s="18"/>
      <c r="N2636" s="1"/>
      <c r="O2636" s="1"/>
      <c r="P2636" s="21" t="str">
        <f>IF(ISNUMBER(MATCH($C2636,StackableKinds,0)), TRUE, "")</f>
        <v/>
      </c>
    </row>
    <row r="2637" spans="1:16" x14ac:dyDescent="0.2">
      <c r="A2637" s="19" t="str">
        <f>_xlfn.IFNA(VLOOKUP($B2637,Keys!$A:$B,2,FALSE),_xlfn.IFNA(VLOOKUP($B2637,Keys!$D:$E,2,FALSE),VLOOKUP($B2637,Keys!$G:$H,2,FALSE)))</f>
        <v>0x0000001FC5C1747C</v>
      </c>
      <c r="B2637" s="5" t="s">
        <v>6962</v>
      </c>
      <c r="C2637" s="5" t="s">
        <v>9467</v>
      </c>
      <c r="D2637" s="5" t="s">
        <v>16862</v>
      </c>
      <c r="E2637" s="5"/>
      <c r="F2637" s="1"/>
      <c r="G2637" s="5" t="s">
        <v>8971</v>
      </c>
      <c r="H2637" s="1"/>
      <c r="I2637" s="1"/>
      <c r="J2637" s="2"/>
      <c r="K2637" s="5" t="s">
        <v>8971</v>
      </c>
      <c r="M2637" s="18"/>
      <c r="N2637" s="1"/>
      <c r="O2637" s="1"/>
      <c r="P2637" s="21" t="str">
        <f>IF(ISNUMBER(MATCH($C2637,StackableKinds,0)), TRUE, "")</f>
        <v/>
      </c>
    </row>
    <row r="2638" spans="1:16" x14ac:dyDescent="0.2">
      <c r="A2638" s="19" t="str">
        <f>_xlfn.IFNA(VLOOKUP($B2638,Keys!$A:$B,2,FALSE),_xlfn.IFNA(VLOOKUP($B2638,Keys!$D:$E,2,FALSE),VLOOKUP($B2638,Keys!$G:$H,2,FALSE)))</f>
        <v>0x0000001F5CC825C6</v>
      </c>
      <c r="B2638" s="5" t="s">
        <v>6964</v>
      </c>
      <c r="C2638" s="5" t="s">
        <v>9467</v>
      </c>
      <c r="D2638" s="5" t="s">
        <v>16862</v>
      </c>
      <c r="E2638" s="5"/>
      <c r="F2638" s="1"/>
      <c r="G2638" s="5" t="s">
        <v>8971</v>
      </c>
      <c r="H2638" s="1"/>
      <c r="I2638" s="1"/>
      <c r="J2638" s="2"/>
      <c r="K2638" s="5" t="s">
        <v>8971</v>
      </c>
      <c r="M2638" s="18"/>
      <c r="N2638" s="1"/>
      <c r="O2638" s="1"/>
      <c r="P2638" s="21" t="str">
        <f>IF(ISNUMBER(MATCH($C2638,StackableKinds,0)), TRUE, "")</f>
        <v/>
      </c>
    </row>
    <row r="2639" spans="1:16" x14ac:dyDescent="0.2">
      <c r="A2639" s="19" t="str">
        <f>_xlfn.IFNA(VLOOKUP($B2639,Keys!$A:$B,2,FALSE),_xlfn.IFNA(VLOOKUP($B2639,Keys!$D:$E,2,FALSE),VLOOKUP($B2639,Keys!$G:$H,2,FALSE)))</f>
        <v>0x0000001F2BCF1550</v>
      </c>
      <c r="B2639" s="5" t="s">
        <v>6966</v>
      </c>
      <c r="C2639" s="5" t="s">
        <v>9467</v>
      </c>
      <c r="D2639" s="5" t="s">
        <v>16862</v>
      </c>
      <c r="E2639" s="5"/>
      <c r="F2639" s="1"/>
      <c r="G2639" s="5" t="s">
        <v>8971</v>
      </c>
      <c r="H2639" s="1"/>
      <c r="I2639" s="1"/>
      <c r="J2639" s="2"/>
      <c r="K2639" s="5" t="s">
        <v>8971</v>
      </c>
      <c r="M2639" s="18"/>
      <c r="N2639" s="1"/>
      <c r="O2639" s="1"/>
      <c r="P2639" s="21" t="str">
        <f>IF(ISNUMBER(MATCH($C2639,StackableKinds,0)), TRUE, "")</f>
        <v/>
      </c>
    </row>
    <row r="2640" spans="1:16" x14ac:dyDescent="0.2">
      <c r="A2640" s="19" t="str">
        <f>_xlfn.IFNA(VLOOKUP($B2640,Keys!$A:$B,2,FALSE),_xlfn.IFNA(VLOOKUP($B2640,Keys!$D:$E,2,FALSE),VLOOKUP($B2640,Keys!$G:$H,2,FALSE)))</f>
        <v>0x0000001F780B18B2</v>
      </c>
      <c r="B2640" s="5" t="s">
        <v>6968</v>
      </c>
      <c r="C2640" s="5" t="s">
        <v>9467</v>
      </c>
      <c r="D2640" s="5" t="s">
        <v>16862</v>
      </c>
      <c r="E2640" s="5"/>
      <c r="F2640" s="1"/>
      <c r="G2640" s="5" t="s">
        <v>8971</v>
      </c>
      <c r="H2640" s="1"/>
      <c r="I2640" s="1"/>
      <c r="J2640" s="2"/>
      <c r="K2640" s="5" t="s">
        <v>8971</v>
      </c>
      <c r="M2640" s="18"/>
      <c r="N2640" s="1"/>
      <c r="O2640" s="1"/>
      <c r="P2640" s="21" t="str">
        <f>IF(ISNUMBER(MATCH($C2640,StackableKinds,0)), TRUE, "")</f>
        <v/>
      </c>
    </row>
    <row r="2641" spans="1:16" x14ac:dyDescent="0.2">
      <c r="A2641" s="19" t="str">
        <f>_xlfn.IFNA(VLOOKUP($B2641,Keys!$A:$B,2,FALSE),_xlfn.IFNA(VLOOKUP($B2641,Keys!$D:$E,2,FALSE),VLOOKUP($B2641,Keys!$G:$H,2,FALSE)))</f>
        <v>0x0000001FE1024908</v>
      </c>
      <c r="B2641" s="5" t="s">
        <v>6970</v>
      </c>
      <c r="C2641" s="5" t="s">
        <v>9467</v>
      </c>
      <c r="D2641" s="5" t="s">
        <v>16862</v>
      </c>
      <c r="E2641" s="5"/>
      <c r="F2641" s="1"/>
      <c r="G2641" s="5" t="s">
        <v>8971</v>
      </c>
      <c r="H2641" s="1"/>
      <c r="I2641" s="1"/>
      <c r="J2641" s="2"/>
      <c r="K2641" s="5" t="s">
        <v>8971</v>
      </c>
      <c r="M2641" s="18"/>
      <c r="N2641" s="1"/>
      <c r="O2641" s="1"/>
      <c r="P2641" s="21" t="str">
        <f>IF(ISNUMBER(MATCH($C2641,StackableKinds,0)), TRUE, "")</f>
        <v/>
      </c>
    </row>
    <row r="2642" spans="1:16" x14ac:dyDescent="0.2">
      <c r="A2642" s="19" t="str">
        <f>_xlfn.IFNA(VLOOKUP($B2642,Keys!$A:$B,2,FALSE),_xlfn.IFNA(VLOOKUP($B2642,Keys!$D:$E,2,FALSE),VLOOKUP($B2642,Keys!$G:$H,2,FALSE)))</f>
        <v>0x0000001FA59DC137</v>
      </c>
      <c r="B2642" s="5" t="s">
        <v>6972</v>
      </c>
      <c r="C2642" s="5" t="s">
        <v>9467</v>
      </c>
      <c r="D2642" s="5" t="s">
        <v>16862</v>
      </c>
      <c r="E2642" s="5"/>
      <c r="F2642" s="1"/>
      <c r="G2642" s="5" t="s">
        <v>8971</v>
      </c>
      <c r="H2642" s="1"/>
      <c r="I2642" s="1"/>
      <c r="J2642" s="2"/>
      <c r="K2642" s="5" t="s">
        <v>8971</v>
      </c>
      <c r="M2642" s="18"/>
      <c r="N2642" s="1"/>
      <c r="O2642" s="1"/>
      <c r="P2642" s="21" t="str">
        <f>IF(ISNUMBER(MATCH($C2642,StackableKinds,0)), TRUE, "")</f>
        <v/>
      </c>
    </row>
    <row r="2643" spans="1:16" x14ac:dyDescent="0.2">
      <c r="A2643" s="19" t="str">
        <f>_xlfn.IFNA(VLOOKUP($B2643,Keys!$A:$B,2,FALSE),_xlfn.IFNA(VLOOKUP($B2643,Keys!$D:$E,2,FALSE),VLOOKUP($B2643,Keys!$G:$H,2,FALSE)))</f>
        <v>0x0000001F3C94908D</v>
      </c>
      <c r="B2643" s="5" t="s">
        <v>6974</v>
      </c>
      <c r="C2643" s="5" t="s">
        <v>9467</v>
      </c>
      <c r="D2643" s="5" t="s">
        <v>16862</v>
      </c>
      <c r="E2643" s="5"/>
      <c r="F2643" s="1"/>
      <c r="G2643" s="5" t="s">
        <v>8971</v>
      </c>
      <c r="H2643" s="1"/>
      <c r="I2643" s="1"/>
      <c r="J2643" s="2"/>
      <c r="K2643" s="5" t="s">
        <v>8971</v>
      </c>
      <c r="M2643" s="18"/>
      <c r="N2643" s="1"/>
      <c r="O2643" s="1"/>
      <c r="P2643" s="21" t="str">
        <f>IF(ISNUMBER(MATCH($C2643,StackableKinds,0)), TRUE, "")</f>
        <v/>
      </c>
    </row>
    <row r="2644" spans="1:16" x14ac:dyDescent="0.2">
      <c r="A2644" s="19" t="str">
        <f>_xlfn.IFNA(VLOOKUP($B2644,Keys!$A:$B,2,FALSE),_xlfn.IFNA(VLOOKUP($B2644,Keys!$D:$E,2,FALSE),VLOOKUP($B2644,Keys!$G:$H,2,FALSE)))</f>
        <v>0x0000001F6524ABA1</v>
      </c>
      <c r="B2644" s="5" t="s">
        <v>6976</v>
      </c>
      <c r="C2644" s="5" t="s">
        <v>9467</v>
      </c>
      <c r="D2644" s="5" t="s">
        <v>16862</v>
      </c>
      <c r="E2644" s="5"/>
      <c r="F2644" s="1"/>
      <c r="G2644" s="5" t="s">
        <v>8971</v>
      </c>
      <c r="H2644" s="1"/>
      <c r="I2644" s="1"/>
      <c r="J2644" s="2"/>
      <c r="K2644" s="5" t="s">
        <v>8971</v>
      </c>
      <c r="M2644" s="18"/>
      <c r="N2644" s="1"/>
      <c r="O2644" s="1"/>
      <c r="P2644" s="21" t="str">
        <f>IF(ISNUMBER(MATCH($C2644,StackableKinds,0)), TRUE, "")</f>
        <v/>
      </c>
    </row>
    <row r="2645" spans="1:16" x14ac:dyDescent="0.2">
      <c r="A2645" s="19" t="str">
        <f>_xlfn.IFNA(VLOOKUP($B2645,Keys!$A:$B,2,FALSE),_xlfn.IFNA(VLOOKUP($B2645,Keys!$D:$E,2,FALSE),VLOOKUP($B2645,Keys!$G:$H,2,FALSE)))</f>
        <v>0x0000001FFC2DFA1B</v>
      </c>
      <c r="B2645" s="5" t="s">
        <v>6978</v>
      </c>
      <c r="C2645" s="5" t="s">
        <v>9467</v>
      </c>
      <c r="D2645" s="5" t="s">
        <v>16862</v>
      </c>
      <c r="E2645" s="5"/>
      <c r="F2645" s="1"/>
      <c r="G2645" s="5" t="s">
        <v>8971</v>
      </c>
      <c r="H2645" s="1"/>
      <c r="I2645" s="1"/>
      <c r="J2645" s="2"/>
      <c r="K2645" s="5" t="s">
        <v>8971</v>
      </c>
      <c r="M2645" s="18"/>
      <c r="N2645" s="1"/>
      <c r="O2645" s="1"/>
      <c r="P2645" s="21" t="str">
        <f>IF(ISNUMBER(MATCH($C2645,StackableKinds,0)), TRUE, "")</f>
        <v/>
      </c>
    </row>
    <row r="2646" spans="1:16" x14ac:dyDescent="0.2">
      <c r="A2646" s="19" t="str">
        <f>_xlfn.IFNA(VLOOKUP($B2646,Keys!$A:$B,2,FALSE),_xlfn.IFNA(VLOOKUP($B2646,Keys!$D:$E,2,FALSE),VLOOKUP($B2646,Keys!$G:$H,2,FALSE)))</f>
        <v>0x0000001F9FC2A711</v>
      </c>
      <c r="B2646" s="5" t="s">
        <v>6980</v>
      </c>
      <c r="C2646" s="5" t="s">
        <v>9467</v>
      </c>
      <c r="D2646" s="5" t="s">
        <v>16862</v>
      </c>
      <c r="E2646" s="5"/>
      <c r="F2646" s="1"/>
      <c r="G2646" s="5" t="s">
        <v>8971</v>
      </c>
      <c r="H2646" s="1"/>
      <c r="I2646" s="1"/>
      <c r="J2646" s="2"/>
      <c r="K2646" s="5" t="s">
        <v>8971</v>
      </c>
      <c r="M2646" s="18"/>
      <c r="N2646" s="1"/>
      <c r="O2646" s="1"/>
      <c r="P2646" s="21" t="str">
        <f>IF(ISNUMBER(MATCH($C2646,StackableKinds,0)), TRUE, "")</f>
        <v/>
      </c>
    </row>
    <row r="2647" spans="1:16" x14ac:dyDescent="0.2">
      <c r="A2647" s="19" t="str">
        <f>_xlfn.IFNA(VLOOKUP($B2647,Keys!$A:$B,2,FALSE),_xlfn.IFNA(VLOOKUP($B2647,Keys!$D:$E,2,FALSE),VLOOKUP($B2647,Keys!$G:$H,2,FALSE)))</f>
        <v>0x0000001F06CBF6AB</v>
      </c>
      <c r="B2647" s="5" t="s">
        <v>6982</v>
      </c>
      <c r="C2647" s="5" t="s">
        <v>9467</v>
      </c>
      <c r="D2647" s="5" t="s">
        <v>16862</v>
      </c>
      <c r="E2647" s="5"/>
      <c r="F2647" s="1"/>
      <c r="G2647" s="5" t="s">
        <v>8971</v>
      </c>
      <c r="H2647" s="1"/>
      <c r="I2647" s="1"/>
      <c r="J2647" s="2"/>
      <c r="K2647" s="5" t="s">
        <v>8971</v>
      </c>
      <c r="M2647" s="18"/>
      <c r="N2647" s="1"/>
      <c r="O2647" s="1"/>
      <c r="P2647" s="21" t="str">
        <f>IF(ISNUMBER(MATCH($C2647,StackableKinds,0)), TRUE, "")</f>
        <v/>
      </c>
    </row>
    <row r="2648" spans="1:16" x14ac:dyDescent="0.2">
      <c r="A2648" s="19" t="str">
        <f>_xlfn.IFNA(VLOOKUP($B2648,Keys!$A:$B,2,FALSE),_xlfn.IFNA(VLOOKUP($B2648,Keys!$D:$E,2,FALSE),VLOOKUP($B2648,Keys!$G:$H,2,FALSE)))</f>
        <v>0x00000023C65C9621</v>
      </c>
      <c r="B2648" s="5" t="s">
        <v>6984</v>
      </c>
      <c r="C2648" s="5" t="s">
        <v>9467</v>
      </c>
      <c r="D2648" s="5" t="s">
        <v>16862</v>
      </c>
      <c r="E2648" s="5"/>
      <c r="F2648" s="1"/>
      <c r="G2648" s="5" t="s">
        <v>8971</v>
      </c>
      <c r="H2648" s="1"/>
      <c r="I2648" s="1"/>
      <c r="J2648" s="2"/>
      <c r="K2648" s="5" t="s">
        <v>8971</v>
      </c>
      <c r="M2648" s="18"/>
      <c r="N2648" s="1"/>
      <c r="O2648" s="1"/>
      <c r="P2648" s="21" t="str">
        <f>IF(ISNUMBER(MATCH($C2648,StackableKinds,0)), TRUE, "")</f>
        <v/>
      </c>
    </row>
    <row r="2649" spans="1:16" x14ac:dyDescent="0.2">
      <c r="A2649" s="19" t="str">
        <f>_xlfn.IFNA(VLOOKUP($B2649,Keys!$A:$B,2,FALSE),_xlfn.IFNA(VLOOKUP($B2649,Keys!$D:$E,2,FALSE),VLOOKUP($B2649,Keys!$G:$H,2,FALSE)))</f>
        <v>0x0000001FE504F9C4</v>
      </c>
      <c r="B2649" s="5" t="s">
        <v>6986</v>
      </c>
      <c r="C2649" s="5" t="s">
        <v>9467</v>
      </c>
      <c r="D2649" s="5" t="s">
        <v>16862</v>
      </c>
      <c r="E2649" s="5"/>
      <c r="F2649" s="1"/>
      <c r="G2649" s="5" t="s">
        <v>8971</v>
      </c>
      <c r="H2649" s="1"/>
      <c r="I2649" s="1"/>
      <c r="J2649" s="2"/>
      <c r="K2649" s="5" t="s">
        <v>8971</v>
      </c>
      <c r="M2649" s="18"/>
      <c r="N2649" s="1"/>
      <c r="O2649" s="1"/>
      <c r="P2649" s="21" t="str">
        <f>IF(ISNUMBER(MATCH($C2649,StackableKinds,0)), TRUE, "")</f>
        <v/>
      </c>
    </row>
    <row r="2650" spans="1:16" x14ac:dyDescent="0.2">
      <c r="A2650" s="19" t="str">
        <f>_xlfn.IFNA(VLOOKUP($B2650,Keys!$A:$B,2,FALSE),_xlfn.IFNA(VLOOKUP($B2650,Keys!$D:$E,2,FALSE),VLOOKUP($B2650,Keys!$G:$H,2,FALSE)))</f>
        <v>0x0000001F7C0DA87E</v>
      </c>
      <c r="B2650" s="5" t="s">
        <v>6988</v>
      </c>
      <c r="C2650" s="5" t="s">
        <v>9467</v>
      </c>
      <c r="D2650" s="5" t="s">
        <v>16862</v>
      </c>
      <c r="E2650" s="5"/>
      <c r="F2650" s="1"/>
      <c r="G2650" s="5" t="s">
        <v>8971</v>
      </c>
      <c r="H2650" s="1"/>
      <c r="I2650" s="1"/>
      <c r="J2650" s="2"/>
      <c r="K2650" s="5" t="s">
        <v>8971</v>
      </c>
      <c r="M2650" s="18"/>
      <c r="N2650" s="1"/>
      <c r="O2650" s="1"/>
      <c r="P2650" s="21" t="str">
        <f>IF(ISNUMBER(MATCH($C2650,StackableKinds,0)), TRUE, "")</f>
        <v/>
      </c>
    </row>
    <row r="2651" spans="1:16" x14ac:dyDescent="0.2">
      <c r="A2651" s="19" t="str">
        <f>_xlfn.IFNA(VLOOKUP($B2651,Keys!$A:$B,2,FALSE),_xlfn.IFNA(VLOOKUP($B2651,Keys!$D:$E,2,FALSE),VLOOKUP($B2651,Keys!$G:$H,2,FALSE)))</f>
        <v>0x0000001F0B0A98E8</v>
      </c>
      <c r="B2651" s="5" t="s">
        <v>6990</v>
      </c>
      <c r="C2651" s="5" t="s">
        <v>9467</v>
      </c>
      <c r="D2651" s="5" t="s">
        <v>16862</v>
      </c>
      <c r="E2651" s="5"/>
      <c r="F2651" s="1"/>
      <c r="G2651" s="5" t="s">
        <v>8971</v>
      </c>
      <c r="H2651" s="1"/>
      <c r="I2651" s="1"/>
      <c r="J2651" s="2"/>
      <c r="K2651" s="5" t="s">
        <v>8971</v>
      </c>
      <c r="M2651" s="18"/>
      <c r="N2651" s="1"/>
      <c r="O2651" s="1"/>
      <c r="P2651" s="21" t="str">
        <f>IF(ISNUMBER(MATCH($C2651,StackableKinds,0)), TRUE, "")</f>
        <v/>
      </c>
    </row>
    <row r="2652" spans="1:16" x14ac:dyDescent="0.2">
      <c r="A2652" s="19" t="str">
        <f>_xlfn.IFNA(VLOOKUP($B2652,Keys!$A:$B,2,FALSE),_xlfn.IFNA(VLOOKUP($B2652,Keys!$D:$E,2,FALSE),VLOOKUP($B2652,Keys!$G:$H,2,FALSE)))</f>
        <v>0x0000001F45E12619</v>
      </c>
      <c r="B2652" s="5" t="s">
        <v>6992</v>
      </c>
      <c r="C2652" s="5" t="s">
        <v>9467</v>
      </c>
      <c r="D2652" s="5" t="s">
        <v>16862</v>
      </c>
      <c r="E2652" s="5"/>
      <c r="F2652" s="1"/>
      <c r="G2652" s="5" t="s">
        <v>8971</v>
      </c>
      <c r="H2652" s="1"/>
      <c r="I2652" s="1"/>
      <c r="J2652" s="2"/>
      <c r="K2652" s="5" t="s">
        <v>8971</v>
      </c>
      <c r="M2652" s="18"/>
      <c r="N2652" s="1"/>
      <c r="O2652" s="1"/>
      <c r="P2652" s="21" t="str">
        <f>IF(ISNUMBER(MATCH($C2652,StackableKinds,0)), TRUE, "")</f>
        <v/>
      </c>
    </row>
    <row r="2653" spans="1:16" x14ac:dyDescent="0.2">
      <c r="A2653" s="19" t="str">
        <f>_xlfn.IFNA(VLOOKUP($B2653,Keys!$A:$B,2,FALSE),_xlfn.IFNA(VLOOKUP($B2653,Keys!$D:$E,2,FALSE),VLOOKUP($B2653,Keys!$G:$H,2,FALSE)))</f>
        <v>0x0000001FDCE877A3</v>
      </c>
      <c r="B2653" s="5" t="s">
        <v>6994</v>
      </c>
      <c r="C2653" s="5" t="s">
        <v>9467</v>
      </c>
      <c r="D2653" s="5" t="s">
        <v>16862</v>
      </c>
      <c r="E2653" s="5"/>
      <c r="F2653" s="1"/>
      <c r="G2653" s="5" t="s">
        <v>8971</v>
      </c>
      <c r="H2653" s="1"/>
      <c r="I2653" s="1"/>
      <c r="J2653" s="2"/>
      <c r="K2653" s="5" t="s">
        <v>8971</v>
      </c>
      <c r="M2653" s="18"/>
      <c r="N2653" s="1"/>
      <c r="O2653" s="1"/>
      <c r="P2653" s="21" t="str">
        <f>IF(ISNUMBER(MATCH($C2653,StackableKinds,0)), TRUE, "")</f>
        <v/>
      </c>
    </row>
    <row r="2654" spans="1:16" x14ac:dyDescent="0.2">
      <c r="A2654" s="19" t="str">
        <f>_xlfn.IFNA(VLOOKUP($B2654,Keys!$A:$B,2,FALSE),_xlfn.IFNA(VLOOKUP($B2654,Keys!$D:$E,2,FALSE),VLOOKUP($B2654,Keys!$G:$H,2,FALSE)))</f>
        <v>0x0000001F9877FF9C</v>
      </c>
      <c r="B2654" s="5" t="s">
        <v>6996</v>
      </c>
      <c r="C2654" s="5" t="s">
        <v>9467</v>
      </c>
      <c r="D2654" s="5" t="s">
        <v>16862</v>
      </c>
      <c r="E2654" s="5"/>
      <c r="F2654" s="1"/>
      <c r="G2654" s="5" t="s">
        <v>8971</v>
      </c>
      <c r="H2654" s="1"/>
      <c r="I2654" s="1"/>
      <c r="J2654" s="2"/>
      <c r="K2654" s="5" t="s">
        <v>8971</v>
      </c>
      <c r="M2654" s="18"/>
      <c r="N2654" s="1"/>
      <c r="O2654" s="1"/>
      <c r="P2654" s="21" t="str">
        <f>IF(ISNUMBER(MATCH($C2654,StackableKinds,0)), TRUE, "")</f>
        <v/>
      </c>
    </row>
    <row r="2655" spans="1:16" x14ac:dyDescent="0.2">
      <c r="A2655" s="19" t="str">
        <f>_xlfn.IFNA(VLOOKUP($B2655,Keys!$A:$B,2,FALSE),_xlfn.IFNA(VLOOKUP($B2655,Keys!$D:$E,2,FALSE),VLOOKUP($B2655,Keys!$G:$H,2,FALSE)))</f>
        <v>0x0000001FF82B4AD7</v>
      </c>
      <c r="B2655" s="5" t="s">
        <v>6998</v>
      </c>
      <c r="C2655" s="5" t="s">
        <v>9467</v>
      </c>
      <c r="D2655" s="5" t="s">
        <v>16862</v>
      </c>
      <c r="E2655" s="5"/>
      <c r="F2655" s="1"/>
      <c r="G2655" s="5" t="s">
        <v>8971</v>
      </c>
      <c r="H2655" s="1"/>
      <c r="I2655" s="1"/>
      <c r="J2655" s="2"/>
      <c r="K2655" s="5" t="s">
        <v>8971</v>
      </c>
      <c r="M2655" s="18"/>
      <c r="N2655" s="1"/>
      <c r="O2655" s="1"/>
      <c r="P2655" s="21" t="str">
        <f>IF(ISNUMBER(MATCH($C2655,StackableKinds,0)), TRUE, "")</f>
        <v/>
      </c>
    </row>
    <row r="2656" spans="1:16" x14ac:dyDescent="0.2">
      <c r="A2656" s="19" t="str">
        <f>_xlfn.IFNA(VLOOKUP($B2656,Keys!$A:$B,2,FALSE),_xlfn.IFNA(VLOOKUP($B2656,Keys!$D:$E,2,FALSE),VLOOKUP($B2656,Keys!$G:$H,2,FALSE)))</f>
        <v>0x0000001FF940B0A5</v>
      </c>
      <c r="B2656" s="5" t="s">
        <v>7000</v>
      </c>
      <c r="C2656" s="5" t="s">
        <v>9467</v>
      </c>
      <c r="D2656" s="5" t="s">
        <v>16862</v>
      </c>
      <c r="E2656" s="5"/>
      <c r="F2656" s="1"/>
      <c r="G2656" s="5" t="s">
        <v>8971</v>
      </c>
      <c r="H2656" s="1"/>
      <c r="I2656" s="1"/>
      <c r="J2656" s="2"/>
      <c r="K2656" s="5" t="s">
        <v>8971</v>
      </c>
      <c r="M2656" s="18"/>
      <c r="N2656" s="1"/>
      <c r="O2656" s="1"/>
      <c r="P2656" s="21" t="str">
        <f>IF(ISNUMBER(MATCH($C2656,StackableKinds,0)), TRUE, "")</f>
        <v/>
      </c>
    </row>
    <row r="2657" spans="1:16" x14ac:dyDescent="0.2">
      <c r="A2657" s="19" t="str">
        <f>_xlfn.IFNA(VLOOKUP($B2657,Keys!$A:$B,2,FALSE),_xlfn.IFNA(VLOOKUP($B2657,Keys!$D:$E,2,FALSE),VLOOKUP($B2657,Keys!$G:$H,2,FALSE)))</f>
        <v>0x0000001F24D66920</v>
      </c>
      <c r="B2657" s="5" t="s">
        <v>7002</v>
      </c>
      <c r="C2657" s="5" t="s">
        <v>9467</v>
      </c>
      <c r="D2657" s="5" t="s">
        <v>16862</v>
      </c>
      <c r="E2657" s="5"/>
      <c r="F2657" s="1"/>
      <c r="G2657" s="5" t="s">
        <v>8971</v>
      </c>
      <c r="H2657" s="1"/>
      <c r="I2657" s="1"/>
      <c r="J2657" s="2"/>
      <c r="K2657" s="5" t="s">
        <v>8971</v>
      </c>
      <c r="M2657" s="18"/>
      <c r="N2657" s="1"/>
      <c r="O2657" s="1"/>
      <c r="P2657" s="21" t="str">
        <f>IF(ISNUMBER(MATCH($C2657,StackableKinds,0)), TRUE, "")</f>
        <v/>
      </c>
    </row>
    <row r="2658" spans="1:16" x14ac:dyDescent="0.2">
      <c r="A2658" s="19" t="str">
        <f>_xlfn.IFNA(VLOOKUP($B2658,Keys!$A:$B,2,FALSE),_xlfn.IFNA(VLOOKUP($B2658,Keys!$D:$E,2,FALSE),VLOOKUP($B2658,Keys!$G:$H,2,FALSE)))</f>
        <v>0x0000001F8433B6FD</v>
      </c>
      <c r="B2658" s="5" t="s">
        <v>7004</v>
      </c>
      <c r="C2658" s="5" t="s">
        <v>9467</v>
      </c>
      <c r="D2658" s="5" t="s">
        <v>16862</v>
      </c>
      <c r="E2658" s="5"/>
      <c r="F2658" s="1"/>
      <c r="G2658" s="5" t="s">
        <v>8971</v>
      </c>
      <c r="H2658" s="1"/>
      <c r="I2658" s="1"/>
      <c r="J2658" s="2"/>
      <c r="K2658" s="5" t="s">
        <v>8971</v>
      </c>
      <c r="M2658" s="18"/>
      <c r="N2658" s="1"/>
      <c r="O2658" s="1"/>
      <c r="P2658" s="21" t="str">
        <f>IF(ISNUMBER(MATCH($C2658,StackableKinds,0)), TRUE, "")</f>
        <v/>
      </c>
    </row>
    <row r="2659" spans="1:16" x14ac:dyDescent="0.2">
      <c r="A2659" s="19" t="str">
        <f>_xlfn.IFNA(VLOOKUP($B2659,Keys!$A:$B,2,FALSE),_xlfn.IFNA(VLOOKUP($B2659,Keys!$D:$E,2,FALSE),VLOOKUP($B2659,Keys!$G:$H,2,FALSE)))</f>
        <v>0x0000001FE46F03B6</v>
      </c>
      <c r="B2659" s="5" t="s">
        <v>7006</v>
      </c>
      <c r="C2659" s="5" t="s">
        <v>9467</v>
      </c>
      <c r="D2659" s="5" t="s">
        <v>16862</v>
      </c>
      <c r="E2659" s="5"/>
      <c r="F2659" s="1"/>
      <c r="G2659" s="5" t="s">
        <v>8971</v>
      </c>
      <c r="H2659" s="1"/>
      <c r="I2659" s="1"/>
      <c r="J2659" s="2"/>
      <c r="K2659" s="5" t="s">
        <v>8971</v>
      </c>
      <c r="M2659" s="18"/>
      <c r="N2659" s="1"/>
      <c r="O2659" s="1"/>
      <c r="P2659" s="21" t="str">
        <f>IF(ISNUMBER(MATCH($C2659,StackableKinds,0)), TRUE, "")</f>
        <v/>
      </c>
    </row>
    <row r="2660" spans="1:16" x14ac:dyDescent="0.2">
      <c r="A2660" s="19" t="str">
        <f>_xlfn.IFNA(VLOOKUP($B2660,Keys!$A:$B,2,FALSE),_xlfn.IFNA(VLOOKUP($B2660,Keys!$D:$E,2,FALSE),VLOOKUP($B2660,Keys!$G:$H,2,FALSE)))</f>
        <v>0x0000001F7D66520C</v>
      </c>
      <c r="B2660" s="5" t="s">
        <v>7008</v>
      </c>
      <c r="C2660" s="5" t="s">
        <v>9467</v>
      </c>
      <c r="D2660" s="5" t="s">
        <v>16862</v>
      </c>
      <c r="E2660" s="5"/>
      <c r="F2660" s="1"/>
      <c r="G2660" s="5" t="s">
        <v>8971</v>
      </c>
      <c r="H2660" s="1"/>
      <c r="I2660" s="1"/>
      <c r="J2660" s="2"/>
      <c r="K2660" s="5" t="s">
        <v>8971</v>
      </c>
      <c r="M2660" s="18"/>
      <c r="N2660" s="1"/>
      <c r="O2660" s="1"/>
      <c r="P2660" s="21" t="str">
        <f>IF(ISNUMBER(MATCH($C2660,StackableKinds,0)), TRUE, "")</f>
        <v/>
      </c>
    </row>
    <row r="2661" spans="1:16" x14ac:dyDescent="0.2">
      <c r="A2661" s="19" t="str">
        <f>_xlfn.IFNA(VLOOKUP($B2661,Keys!$A:$B,2,FALSE),_xlfn.IFNA(VLOOKUP($B2661,Keys!$D:$E,2,FALSE),VLOOKUP($B2661,Keys!$G:$H,2,FALSE)))</f>
        <v>0x0000001FC31FD683</v>
      </c>
      <c r="B2661" s="5" t="s">
        <v>7010</v>
      </c>
      <c r="C2661" s="5" t="s">
        <v>9467</v>
      </c>
      <c r="D2661" s="5" t="s">
        <v>16862</v>
      </c>
      <c r="E2661" s="5"/>
      <c r="F2661" s="1"/>
      <c r="G2661" s="5" t="s">
        <v>8971</v>
      </c>
      <c r="H2661" s="1"/>
      <c r="I2661" s="1"/>
      <c r="J2661" s="2"/>
      <c r="K2661" s="5" t="s">
        <v>8971</v>
      </c>
      <c r="M2661" s="18"/>
      <c r="N2661" s="1"/>
      <c r="O2661" s="1"/>
      <c r="P2661" s="21" t="str">
        <f>IF(ISNUMBER(MATCH($C2661,StackableKinds,0)), TRUE, "")</f>
        <v/>
      </c>
    </row>
    <row r="2662" spans="1:16" x14ac:dyDescent="0.2">
      <c r="A2662" s="19" t="str">
        <f>_xlfn.IFNA(VLOOKUP($B2662,Keys!$A:$B,2,FALSE),_xlfn.IFNA(VLOOKUP($B2662,Keys!$D:$E,2,FALSE),VLOOKUP($B2662,Keys!$G:$H,2,FALSE)))</f>
        <v>0x0000001F1E890F06</v>
      </c>
      <c r="B2662" s="5" t="s">
        <v>7012</v>
      </c>
      <c r="C2662" s="5" t="s">
        <v>9467</v>
      </c>
      <c r="D2662" s="5" t="s">
        <v>16862</v>
      </c>
      <c r="E2662" s="5"/>
      <c r="F2662" s="1"/>
      <c r="G2662" s="5" t="s">
        <v>8971</v>
      </c>
      <c r="H2662" s="1"/>
      <c r="I2662" s="1"/>
      <c r="J2662" s="2"/>
      <c r="K2662" s="5" t="s">
        <v>8971</v>
      </c>
      <c r="M2662" s="18"/>
      <c r="N2662" s="1"/>
      <c r="O2662" s="1"/>
      <c r="P2662" s="21" t="str">
        <f>IF(ISNUMBER(MATCH($C2662,StackableKinds,0)), TRUE, "")</f>
        <v/>
      </c>
    </row>
    <row r="2663" spans="1:16" x14ac:dyDescent="0.2">
      <c r="A2663" s="19" t="str">
        <f>_xlfn.IFNA(VLOOKUP($B2663,Keys!$A:$B,2,FALSE),_xlfn.IFNA(VLOOKUP($B2663,Keys!$D:$E,2,FALSE),VLOOKUP($B2663,Keys!$G:$H,2,FALSE)))</f>
        <v>0x0000001FD9853D1D</v>
      </c>
      <c r="B2663" s="5" t="s">
        <v>7014</v>
      </c>
      <c r="C2663" s="5" t="s">
        <v>9467</v>
      </c>
      <c r="D2663" s="5" t="s">
        <v>16862</v>
      </c>
      <c r="E2663" s="5"/>
      <c r="F2663" s="1"/>
      <c r="G2663" s="5" t="s">
        <v>8971</v>
      </c>
      <c r="H2663" s="1"/>
      <c r="I2663" s="1"/>
      <c r="J2663" s="2"/>
      <c r="K2663" s="5" t="s">
        <v>8971</v>
      </c>
      <c r="M2663" s="18"/>
      <c r="N2663" s="1"/>
      <c r="O2663" s="1"/>
      <c r="P2663" s="21" t="str">
        <f>IF(ISNUMBER(MATCH($C2663,StackableKinds,0)), TRUE, "")</f>
        <v/>
      </c>
    </row>
    <row r="2664" spans="1:16" x14ac:dyDescent="0.2">
      <c r="A2664" s="19" t="str">
        <f>_xlfn.IFNA(VLOOKUP($B2664,Keys!$A:$B,2,FALSE),_xlfn.IFNA(VLOOKUP($B2664,Keys!$D:$E,2,FALSE),VLOOKUP($B2664,Keys!$G:$H,2,FALSE)))</f>
        <v>0x0000001FB9D98856</v>
      </c>
      <c r="B2664" s="5" t="s">
        <v>7016</v>
      </c>
      <c r="C2664" s="5" t="s">
        <v>9467</v>
      </c>
      <c r="D2664" s="5" t="s">
        <v>16862</v>
      </c>
      <c r="E2664" s="5"/>
      <c r="F2664" s="1"/>
      <c r="G2664" s="5" t="s">
        <v>8971</v>
      </c>
      <c r="H2664" s="1"/>
      <c r="I2664" s="1"/>
      <c r="J2664" s="2"/>
      <c r="K2664" s="5" t="s">
        <v>8971</v>
      </c>
      <c r="M2664" s="18"/>
      <c r="N2664" s="1"/>
      <c r="O2664" s="1"/>
      <c r="P2664" s="21" t="str">
        <f>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16862</v>
      </c>
      <c r="E2665" s="5"/>
      <c r="F2665" s="1"/>
      <c r="G2665" s="5" t="s">
        <v>8971</v>
      </c>
      <c r="H2665" s="1"/>
      <c r="I2665" s="1"/>
      <c r="J2665" s="2"/>
      <c r="K2665" s="5" t="s">
        <v>8971</v>
      </c>
      <c r="M2665" s="18"/>
      <c r="N2665" s="1"/>
      <c r="O2665" s="1"/>
      <c r="P2665" s="21" t="str">
        <f>IF(ISNUMBER(MATCH($C2665,StackableKinds,0)), TRUE, "")</f>
        <v/>
      </c>
    </row>
    <row r="2666" spans="1:16" x14ac:dyDescent="0.2">
      <c r="A2666" s="19" t="str">
        <f>_xlfn.IFNA(VLOOKUP($B2666,Keys!$A:$B,2,FALSE),_xlfn.IFNA(VLOOKUP($B2666,Keys!$D:$E,2,FALSE),VLOOKUP($B2666,Keys!$G:$H,2,FALSE)))</f>
        <v>0x0000001F80350631</v>
      </c>
      <c r="B2666" s="5" t="s">
        <v>7020</v>
      </c>
      <c r="C2666" s="5" t="s">
        <v>9467</v>
      </c>
      <c r="D2666" s="5" t="s">
        <v>16862</v>
      </c>
      <c r="E2666" s="5"/>
      <c r="F2666" s="1"/>
      <c r="G2666" s="5" t="s">
        <v>8971</v>
      </c>
      <c r="H2666" s="1"/>
      <c r="I2666" s="1"/>
      <c r="J2666" s="2"/>
      <c r="K2666" s="5" t="s">
        <v>8971</v>
      </c>
      <c r="M2666" s="18"/>
      <c r="N2666" s="1"/>
      <c r="O2666" s="1"/>
      <c r="P2666" s="21" t="str">
        <f>IF(ISNUMBER(MATCH($C2666,StackableKinds,0)), TRUE, "")</f>
        <v/>
      </c>
    </row>
    <row r="2667" spans="1:16" x14ac:dyDescent="0.2">
      <c r="A2667" s="19" t="str">
        <f>_xlfn.IFNA(VLOOKUP($B2667,Keys!$A:$B,2,FALSE),_xlfn.IFNA(VLOOKUP($B2667,Keys!$D:$E,2,FALSE),VLOOKUP($B2667,Keys!$G:$H,2,FALSE)))</f>
        <v>0x0000001FA4F63B45</v>
      </c>
      <c r="B2667" s="5" t="s">
        <v>7022</v>
      </c>
      <c r="C2667" s="5" t="s">
        <v>9467</v>
      </c>
      <c r="D2667" s="5" t="s">
        <v>16862</v>
      </c>
      <c r="E2667" s="5"/>
      <c r="F2667" s="1"/>
      <c r="G2667" s="5" t="s">
        <v>8971</v>
      </c>
      <c r="H2667" s="1"/>
      <c r="I2667" s="1"/>
      <c r="J2667" s="2"/>
      <c r="K2667" s="5" t="s">
        <v>8971</v>
      </c>
      <c r="M2667" s="18"/>
      <c r="N2667" s="1"/>
      <c r="O2667" s="1"/>
      <c r="P2667" s="21" t="str">
        <f>IF(ISNUMBER(MATCH($C2667,StackableKinds,0)), TRUE, "")</f>
        <v/>
      </c>
    </row>
    <row r="2668" spans="1:16" x14ac:dyDescent="0.2">
      <c r="A2668" s="19" t="str">
        <f>_xlfn.IFNA(VLOOKUP($B2668,Keys!$A:$B,2,FALSE),_xlfn.IFNA(VLOOKUP($B2668,Keys!$D:$E,2,FALSE),VLOOKUP($B2668,Keys!$G:$H,2,FALSE)))</f>
        <v>0x0000001F3DFF6AFF</v>
      </c>
      <c r="B2668" s="5" t="s">
        <v>7024</v>
      </c>
      <c r="C2668" s="5" t="s">
        <v>9467</v>
      </c>
      <c r="D2668" s="5" t="s">
        <v>16862</v>
      </c>
      <c r="E2668" s="5"/>
      <c r="F2668" s="1"/>
      <c r="G2668" s="5" t="s">
        <v>8971</v>
      </c>
      <c r="H2668" s="1"/>
      <c r="I2668" s="1"/>
      <c r="J2668" s="2"/>
      <c r="K2668" s="5" t="s">
        <v>8971</v>
      </c>
      <c r="M2668" s="18"/>
      <c r="N2668" s="1"/>
      <c r="O2668" s="1"/>
      <c r="P2668" s="21" t="str">
        <f>IF(ISNUMBER(MATCH($C2668,StackableKinds,0)), TRUE, "")</f>
        <v/>
      </c>
    </row>
    <row r="2669" spans="1:16" x14ac:dyDescent="0.2">
      <c r="A2669" s="19" t="str">
        <f>_xlfn.IFNA(VLOOKUP($B2669,Keys!$A:$B,2,FALSE),_xlfn.IFNA(VLOOKUP($B2669,Keys!$D:$E,2,FALSE),VLOOKUP($B2669,Keys!$G:$H,2,FALSE)))</f>
        <v>0x0000001FAE60881F</v>
      </c>
      <c r="B2669" s="5" t="s">
        <v>7026</v>
      </c>
      <c r="C2669" s="5" t="s">
        <v>9467</v>
      </c>
      <c r="D2669" s="5" t="s">
        <v>16862</v>
      </c>
      <c r="E2669" s="5"/>
      <c r="F2669" s="1"/>
      <c r="G2669" s="5" t="s">
        <v>8971</v>
      </c>
      <c r="H2669" s="1"/>
      <c r="I2669" s="1"/>
      <c r="J2669" s="2"/>
      <c r="K2669" s="5" t="s">
        <v>8971</v>
      </c>
      <c r="M2669" s="18"/>
      <c r="N2669" s="1"/>
      <c r="O2669" s="1"/>
      <c r="P2669" s="21" t="str">
        <f>IF(ISNUMBER(MATCH($C2669,StackableKinds,0)), TRUE, "")</f>
        <v/>
      </c>
    </row>
    <row r="2670" spans="1:16" x14ac:dyDescent="0.2">
      <c r="A2670" s="19" t="str">
        <f>_xlfn.IFNA(VLOOKUP($B2670,Keys!$A:$B,2,FALSE),_xlfn.IFNA(VLOOKUP($B2670,Keys!$D:$E,2,FALSE),VLOOKUP($B2670,Keys!$G:$H,2,FALSE)))</f>
        <v>0x0000001F3769D9A5</v>
      </c>
      <c r="B2670" s="5" t="s">
        <v>7028</v>
      </c>
      <c r="C2670" s="5" t="s">
        <v>9467</v>
      </c>
      <c r="D2670" s="5" t="s">
        <v>16862</v>
      </c>
      <c r="E2670" s="5"/>
      <c r="F2670" s="1"/>
      <c r="G2670" s="5" t="s">
        <v>8971</v>
      </c>
      <c r="H2670" s="1"/>
      <c r="I2670" s="1"/>
      <c r="J2670" s="2"/>
      <c r="K2670" s="5" t="s">
        <v>8971</v>
      </c>
      <c r="M2670" s="18"/>
      <c r="N2670" s="1"/>
      <c r="O2670" s="1"/>
      <c r="P2670" s="21" t="str">
        <f>IF(ISNUMBER(MATCH($C2670,StackableKinds,0)), TRUE, "")</f>
        <v/>
      </c>
    </row>
    <row r="2671" spans="1:16" x14ac:dyDescent="0.2">
      <c r="A2671" s="19" t="str">
        <f>_xlfn.IFNA(VLOOKUP($B2671,Keys!$A:$B,2,FALSE),_xlfn.IFNA(VLOOKUP($B2671,Keys!$D:$E,2,FALSE),VLOOKUP($B2671,Keys!$G:$H,2,FALSE)))</f>
        <v>0x0000001F13AAE4D1</v>
      </c>
      <c r="B2671" s="5" t="s">
        <v>7030</v>
      </c>
      <c r="C2671" s="5" t="s">
        <v>9467</v>
      </c>
      <c r="D2671" s="5" t="s">
        <v>16862</v>
      </c>
      <c r="E2671" s="5"/>
      <c r="F2671" s="1"/>
      <c r="G2671" s="5" t="s">
        <v>8971</v>
      </c>
      <c r="H2671" s="1"/>
      <c r="I2671" s="1"/>
      <c r="J2671" s="2"/>
      <c r="K2671" s="5" t="s">
        <v>8971</v>
      </c>
      <c r="M2671" s="18"/>
      <c r="N2671" s="1"/>
      <c r="O2671" s="1"/>
      <c r="P2671" s="21" t="str">
        <f>IF(ISNUMBER(MATCH($C2671,StackableKinds,0)), TRUE, "")</f>
        <v/>
      </c>
    </row>
    <row r="2672" spans="1:16" x14ac:dyDescent="0.2">
      <c r="A2672" s="19" t="str">
        <f>_xlfn.IFNA(VLOOKUP($B2672,Keys!$A:$B,2,FALSE),_xlfn.IFNA(VLOOKUP($B2672,Keys!$D:$E,2,FALSE),VLOOKUP($B2672,Keys!$G:$H,2,FALSE)))</f>
        <v>0x0000001F8AA3B56B</v>
      </c>
      <c r="B2672" s="5" t="s">
        <v>7032</v>
      </c>
      <c r="C2672" s="5" t="s">
        <v>9467</v>
      </c>
      <c r="D2672" s="5" t="s">
        <v>16862</v>
      </c>
      <c r="E2672" s="5"/>
      <c r="F2672" s="1"/>
      <c r="G2672" s="5" t="s">
        <v>8971</v>
      </c>
      <c r="H2672" s="1"/>
      <c r="I2672" s="1"/>
      <c r="J2672" s="2"/>
      <c r="K2672" s="5" t="s">
        <v>8971</v>
      </c>
      <c r="M2672" s="18"/>
      <c r="N2672" s="1"/>
      <c r="O2672" s="1"/>
      <c r="P2672" s="21" t="str">
        <f>IF(ISNUMBER(MATCH($C2672,StackableKinds,0)), TRUE, "")</f>
        <v/>
      </c>
    </row>
    <row r="2673" spans="1:16" x14ac:dyDescent="0.2">
      <c r="A2673" s="19" t="str">
        <f>_xlfn.IFNA(VLOOKUP($B2673,Keys!$A:$B,2,FALSE),_xlfn.IFNA(VLOOKUP($B2673,Keys!$D:$E,2,FALSE),VLOOKUP($B2673,Keys!$G:$H,2,FALSE)))</f>
        <v>0x0000001FFDA485FD</v>
      </c>
      <c r="B2673" s="5" t="s">
        <v>7034</v>
      </c>
      <c r="C2673" s="5" t="s">
        <v>9467</v>
      </c>
      <c r="D2673" s="5" t="s">
        <v>16862</v>
      </c>
      <c r="E2673" s="5"/>
      <c r="F2673" s="1"/>
      <c r="G2673" s="5" t="s">
        <v>8971</v>
      </c>
      <c r="H2673" s="1"/>
      <c r="I2673" s="1"/>
      <c r="J2673" s="2"/>
      <c r="K2673" s="5" t="s">
        <v>8971</v>
      </c>
      <c r="M2673" s="18"/>
      <c r="N2673" s="1"/>
      <c r="O2673" s="1"/>
      <c r="P2673" s="21" t="str">
        <f>IF(ISNUMBER(MATCH($C2673,StackableKinds,0)), TRUE, "")</f>
        <v/>
      </c>
    </row>
    <row r="2674" spans="1:16" x14ac:dyDescent="0.2">
      <c r="A2674" s="19" t="str">
        <f>_xlfn.IFNA(VLOOKUP($B2674,Keys!$A:$B,2,FALSE),_xlfn.IFNA(VLOOKUP($B2674,Keys!$D:$E,2,FALSE),VLOOKUP($B2674,Keys!$G:$H,2,FALSE)))</f>
        <v>0x0000001FCE3C3D54</v>
      </c>
      <c r="B2674" s="5" t="s">
        <v>7036</v>
      </c>
      <c r="C2674" s="5" t="s">
        <v>9467</v>
      </c>
      <c r="D2674" s="5" t="s">
        <v>16862</v>
      </c>
      <c r="E2674" s="5"/>
      <c r="F2674" s="1"/>
      <c r="G2674" s="5" t="s">
        <v>8971</v>
      </c>
      <c r="H2674" s="1"/>
      <c r="I2674" s="1"/>
      <c r="J2674" s="2"/>
      <c r="K2674" s="5" t="s">
        <v>8971</v>
      </c>
      <c r="M2674" s="18"/>
      <c r="N2674" s="1"/>
      <c r="O2674" s="1"/>
      <c r="P2674" s="21" t="str">
        <f>IF(ISNUMBER(MATCH($C2674,StackableKinds,0)), TRUE, "")</f>
        <v/>
      </c>
    </row>
    <row r="2675" spans="1:16" x14ac:dyDescent="0.2">
      <c r="A2675" s="19" t="str">
        <f>_xlfn.IFNA(VLOOKUP($B2675,Keys!$A:$B,2,FALSE),_xlfn.IFNA(VLOOKUP($B2675,Keys!$D:$E,2,FALSE),VLOOKUP($B2675,Keys!$G:$H,2,FALSE)))</f>
        <v>0x0000001F57356CEE</v>
      </c>
      <c r="B2675" s="5" t="s">
        <v>7038</v>
      </c>
      <c r="C2675" s="5" t="s">
        <v>9467</v>
      </c>
      <c r="D2675" s="5" t="s">
        <v>16862</v>
      </c>
      <c r="E2675" s="5"/>
      <c r="F2675" s="1"/>
      <c r="G2675" s="5" t="s">
        <v>8971</v>
      </c>
      <c r="H2675" s="1"/>
      <c r="I2675" s="1"/>
      <c r="J2675" s="2"/>
      <c r="K2675" s="5" t="s">
        <v>8971</v>
      </c>
      <c r="M2675" s="18"/>
      <c r="N2675" s="1"/>
      <c r="O2675" s="1"/>
      <c r="P2675" s="21" t="str">
        <f>IF(ISNUMBER(MATCH($C2675,StackableKinds,0)), TRUE, "")</f>
        <v/>
      </c>
    </row>
    <row r="2676" spans="1:16" x14ac:dyDescent="0.2">
      <c r="A2676" s="19" t="str">
        <f>_xlfn.IFNA(VLOOKUP($B2676,Keys!$A:$B,2,FALSE),_xlfn.IFNA(VLOOKUP($B2676,Keys!$D:$E,2,FALSE),VLOOKUP($B2676,Keys!$G:$H,2,FALSE)))</f>
        <v>0x0000001FB34F3B0C</v>
      </c>
      <c r="B2676" s="5" t="s">
        <v>7040</v>
      </c>
      <c r="C2676" s="5" t="s">
        <v>9467</v>
      </c>
      <c r="D2676" s="5" t="s">
        <v>16862</v>
      </c>
      <c r="E2676" s="5"/>
      <c r="F2676" s="1"/>
      <c r="G2676" s="5" t="s">
        <v>8971</v>
      </c>
      <c r="H2676" s="1"/>
      <c r="I2676" s="1"/>
      <c r="J2676" s="2"/>
      <c r="K2676" s="5" t="s">
        <v>8971</v>
      </c>
      <c r="M2676" s="18"/>
      <c r="N2676" s="1"/>
      <c r="O2676" s="1"/>
      <c r="P2676" s="21" t="str">
        <f>IF(ISNUMBER(MATCH($C2676,StackableKinds,0)), TRUE, "")</f>
        <v/>
      </c>
    </row>
    <row r="2677" spans="1:16" x14ac:dyDescent="0.2">
      <c r="A2677" s="19" t="str">
        <f>_xlfn.IFNA(VLOOKUP($B2677,Keys!$A:$B,2,FALSE),_xlfn.IFNA(VLOOKUP($B2677,Keys!$D:$E,2,FALSE),VLOOKUP($B2677,Keys!$G:$H,2,FALSE)))</f>
        <v>0x0000001F6ED9E289</v>
      </c>
      <c r="B2677" s="5" t="s">
        <v>7042</v>
      </c>
      <c r="C2677" s="5" t="s">
        <v>9467</v>
      </c>
      <c r="D2677" s="5" t="s">
        <v>16862</v>
      </c>
      <c r="E2677" s="5"/>
      <c r="F2677" s="1"/>
      <c r="G2677" s="5" t="s">
        <v>8971</v>
      </c>
      <c r="H2677" s="1"/>
      <c r="I2677" s="1"/>
      <c r="J2677" s="2"/>
      <c r="K2677" s="5" t="s">
        <v>8971</v>
      </c>
      <c r="M2677" s="18"/>
      <c r="N2677" s="1"/>
      <c r="O2677" s="1"/>
      <c r="P2677" s="21" t="str">
        <f>IF(ISNUMBER(MATCH($C2677,StackableKinds,0)), TRUE, "")</f>
        <v/>
      </c>
    </row>
    <row r="2678" spans="1:16" x14ac:dyDescent="0.2">
      <c r="A2678" s="19" t="str">
        <f>_xlfn.IFNA(VLOOKUP($B2678,Keys!$A:$B,2,FALSE),_xlfn.IFNA(VLOOKUP($B2678,Keys!$D:$E,2,FALSE),VLOOKUP($B2678,Keys!$G:$H,2,FALSE)))</f>
        <v>0x0000001FF81660B2</v>
      </c>
      <c r="B2678" s="5" t="s">
        <v>7044</v>
      </c>
      <c r="C2678" s="5" t="s">
        <v>9467</v>
      </c>
      <c r="D2678" s="5" t="s">
        <v>16862</v>
      </c>
      <c r="E2678" s="5"/>
      <c r="F2678" s="1"/>
      <c r="G2678" s="5" t="s">
        <v>8971</v>
      </c>
      <c r="H2678" s="1"/>
      <c r="I2678" s="1"/>
      <c r="J2678" s="2"/>
      <c r="K2678" s="5" t="s">
        <v>8971</v>
      </c>
      <c r="M2678" s="18"/>
      <c r="N2678" s="1"/>
      <c r="O2678" s="1"/>
      <c r="P2678" s="21" t="str">
        <f>IF(ISNUMBER(MATCH($C2678,StackableKinds,0)), TRUE, "")</f>
        <v/>
      </c>
    </row>
    <row r="2679" spans="1:16" x14ac:dyDescent="0.2">
      <c r="A2679" s="19" t="str">
        <f>_xlfn.IFNA(VLOOKUP($B2679,Keys!$A:$B,2,FALSE),_xlfn.IFNA(VLOOKUP($B2679,Keys!$D:$E,2,FALSE),VLOOKUP($B2679,Keys!$G:$H,2,FALSE)))</f>
        <v>0x0000001F611F3108</v>
      </c>
      <c r="B2679" s="5" t="s">
        <v>7046</v>
      </c>
      <c r="C2679" s="5" t="s">
        <v>9467</v>
      </c>
      <c r="D2679" s="5" t="s">
        <v>16862</v>
      </c>
      <c r="E2679" s="5"/>
      <c r="F2679" s="1"/>
      <c r="G2679" s="5" t="s">
        <v>8971</v>
      </c>
      <c r="H2679" s="1"/>
      <c r="I2679" s="1"/>
      <c r="J2679" s="2"/>
      <c r="K2679" s="5" t="s">
        <v>8971</v>
      </c>
      <c r="M2679" s="18"/>
      <c r="N2679" s="1"/>
      <c r="O2679" s="1"/>
      <c r="P2679" s="21" t="str">
        <f>IF(ISNUMBER(MATCH($C2679,StackableKinds,0)), TRUE, "")</f>
        <v/>
      </c>
    </row>
    <row r="2680" spans="1:16" x14ac:dyDescent="0.2">
      <c r="A2680" s="19" t="str">
        <f>_xlfn.IFNA(VLOOKUP($B2680,Keys!$A:$B,2,FALSE),_xlfn.IFNA(VLOOKUP($B2680,Keys!$D:$E,2,FALSE),VLOOKUP($B2680,Keys!$G:$H,2,FALSE)))</f>
        <v>0x0000001F45DC0C7C</v>
      </c>
      <c r="B2680" s="5" t="s">
        <v>7048</v>
      </c>
      <c r="C2680" s="5" t="s">
        <v>9467</v>
      </c>
      <c r="D2680" s="5" t="s">
        <v>16862</v>
      </c>
      <c r="E2680" s="5"/>
      <c r="F2680" s="1"/>
      <c r="G2680" s="5" t="s">
        <v>8971</v>
      </c>
      <c r="H2680" s="1"/>
      <c r="I2680" s="1"/>
      <c r="J2680" s="2"/>
      <c r="K2680" s="5" t="s">
        <v>8971</v>
      </c>
      <c r="M2680" s="18"/>
      <c r="N2680" s="1"/>
      <c r="O2680" s="1"/>
      <c r="P2680" s="21" t="str">
        <f>IF(ISNUMBER(MATCH($C2680,StackableKinds,0)), TRUE, "")</f>
        <v/>
      </c>
    </row>
    <row r="2681" spans="1:16" x14ac:dyDescent="0.2">
      <c r="A2681" s="19" t="str">
        <f>_xlfn.IFNA(VLOOKUP($B2681,Keys!$A:$B,2,FALSE),_xlfn.IFNA(VLOOKUP($B2681,Keys!$D:$E,2,FALSE),VLOOKUP($B2681,Keys!$G:$H,2,FALSE)))</f>
        <v>0x0000001FDCD55DC6</v>
      </c>
      <c r="B2681" s="5" t="s">
        <v>7050</v>
      </c>
      <c r="C2681" s="5" t="s">
        <v>9467</v>
      </c>
      <c r="D2681" s="5" t="s">
        <v>16862</v>
      </c>
      <c r="E2681" s="5"/>
      <c r="F2681" s="1"/>
      <c r="G2681" s="5" t="s">
        <v>8971</v>
      </c>
      <c r="H2681" s="1"/>
      <c r="I2681" s="1"/>
      <c r="J2681" s="2"/>
      <c r="K2681" s="5" t="s">
        <v>8971</v>
      </c>
      <c r="M2681" s="18"/>
      <c r="N2681" s="1"/>
      <c r="O2681" s="1"/>
      <c r="P2681" s="21" t="str">
        <f>IF(ISNUMBER(MATCH($C2681,StackableKinds,0)), TRUE, "")</f>
        <v/>
      </c>
    </row>
    <row r="2682" spans="1:16" x14ac:dyDescent="0.2">
      <c r="A2682" s="19" t="str">
        <f>_xlfn.IFNA(VLOOKUP($B2682,Keys!$A:$B,2,FALSE),_xlfn.IFNA(VLOOKUP($B2682,Keys!$D:$E,2,FALSE),VLOOKUP($B2682,Keys!$G:$H,2,FALSE)))</f>
        <v>0x0000001F984AD5F9</v>
      </c>
      <c r="B2682" s="5" t="s">
        <v>7052</v>
      </c>
      <c r="C2682" s="5" t="s">
        <v>9467</v>
      </c>
      <c r="D2682" s="5" t="s">
        <v>16862</v>
      </c>
      <c r="E2682" s="5"/>
      <c r="F2682" s="1"/>
      <c r="G2682" s="5" t="s">
        <v>8971</v>
      </c>
      <c r="H2682" s="1"/>
      <c r="I2682" s="1"/>
      <c r="J2682" s="2"/>
      <c r="K2682" s="5" t="s">
        <v>8971</v>
      </c>
      <c r="M2682" s="18"/>
      <c r="N2682" s="1"/>
      <c r="O2682" s="1"/>
      <c r="P2682" s="21" t="str">
        <f>IF(ISNUMBER(MATCH($C2682,StackableKinds,0)), TRUE, "")</f>
        <v/>
      </c>
    </row>
    <row r="2683" spans="1:16" x14ac:dyDescent="0.2">
      <c r="A2683" s="19" t="str">
        <f>_xlfn.IFNA(VLOOKUP($B2683,Keys!$A:$B,2,FALSE),_xlfn.IFNA(VLOOKUP($B2683,Keys!$D:$E,2,FALSE),VLOOKUP($B2683,Keys!$G:$H,2,FALSE)))</f>
        <v>0x0000001F01438443</v>
      </c>
      <c r="B2683" s="5" t="s">
        <v>7054</v>
      </c>
      <c r="C2683" s="5" t="s">
        <v>9467</v>
      </c>
      <c r="D2683" s="5" t="s">
        <v>16862</v>
      </c>
      <c r="E2683" s="5"/>
      <c r="F2683" s="1"/>
      <c r="G2683" s="5" t="s">
        <v>8971</v>
      </c>
      <c r="H2683" s="1"/>
      <c r="I2683" s="1"/>
      <c r="J2683" s="2"/>
      <c r="K2683" s="5" t="s">
        <v>8971</v>
      </c>
      <c r="M2683" s="18"/>
      <c r="N2683" s="1"/>
      <c r="O2683" s="1"/>
      <c r="P2683" s="21" t="str">
        <f>IF(ISNUMBER(MATCH($C2683,StackableKinds,0)), TRUE, "")</f>
        <v/>
      </c>
    </row>
    <row r="2684" spans="1:16" x14ac:dyDescent="0.2">
      <c r="A2684" s="19" t="str">
        <f>_xlfn.IFNA(VLOOKUP($B2684,Keys!$A:$B,2,FALSE),_xlfn.IFNA(VLOOKUP($B2684,Keys!$D:$E,2,FALSE),VLOOKUP($B2684,Keys!$G:$H,2,FALSE)))</f>
        <v>0x0000001FE539D3A1</v>
      </c>
      <c r="B2684" s="5" t="s">
        <v>7056</v>
      </c>
      <c r="C2684" s="5" t="s">
        <v>9467</v>
      </c>
      <c r="D2684" s="5" t="s">
        <v>16862</v>
      </c>
      <c r="E2684" s="5"/>
      <c r="F2684" s="1"/>
      <c r="G2684" s="5" t="s">
        <v>8971</v>
      </c>
      <c r="H2684" s="1"/>
      <c r="I2684" s="1"/>
      <c r="J2684" s="2"/>
      <c r="K2684" s="5" t="s">
        <v>8971</v>
      </c>
      <c r="M2684" s="18"/>
      <c r="N2684" s="1"/>
      <c r="O2684" s="1"/>
      <c r="P2684" s="21" t="str">
        <f>IF(ISNUMBER(MATCH($C2684,StackableKinds,0)), TRUE, "")</f>
        <v/>
      </c>
    </row>
    <row r="2685" spans="1:16" x14ac:dyDescent="0.2">
      <c r="A2685" s="19" t="str">
        <f>_xlfn.IFNA(VLOOKUP($B2685,Keys!$A:$B,2,FALSE),_xlfn.IFNA(VLOOKUP($B2685,Keys!$D:$E,2,FALSE),VLOOKUP($B2685,Keys!$G:$H,2,FALSE)))</f>
        <v>0x0000001F7C30821B</v>
      </c>
      <c r="B2685" s="5" t="s">
        <v>7058</v>
      </c>
      <c r="C2685" s="5" t="s">
        <v>9467</v>
      </c>
      <c r="D2685" s="5" t="s">
        <v>16862</v>
      </c>
      <c r="E2685" s="5"/>
      <c r="F2685" s="1"/>
      <c r="G2685" s="5" t="s">
        <v>8971</v>
      </c>
      <c r="H2685" s="1"/>
      <c r="I2685" s="1"/>
      <c r="J2685" s="2"/>
      <c r="K2685" s="5" t="s">
        <v>8971</v>
      </c>
      <c r="M2685" s="18"/>
      <c r="N2685" s="1"/>
      <c r="O2685" s="1"/>
      <c r="P2685" s="21" t="str">
        <f>IF(ISNUMBER(MATCH($C2685,StackableKinds,0)), TRUE, "")</f>
        <v/>
      </c>
    </row>
    <row r="2686" spans="1:16" x14ac:dyDescent="0.2">
      <c r="A2686" s="19" t="str">
        <f>_xlfn.IFNA(VLOOKUP($B2686,Keys!$A:$B,2,FALSE),_xlfn.IFNA(VLOOKUP($B2686,Keys!$D:$E,2,FALSE),VLOOKUP($B2686,Keys!$G:$H,2,FALSE)))</f>
        <v>0x0000001F0B37B28D</v>
      </c>
      <c r="B2686" s="5" t="s">
        <v>7060</v>
      </c>
      <c r="C2686" s="5" t="s">
        <v>9467</v>
      </c>
      <c r="D2686" s="5" t="s">
        <v>16862</v>
      </c>
      <c r="E2686" s="5"/>
      <c r="F2686" s="1"/>
      <c r="G2686" s="5" t="s">
        <v>8971</v>
      </c>
      <c r="H2686" s="1"/>
      <c r="I2686" s="1"/>
      <c r="J2686" s="2"/>
      <c r="K2686" s="5" t="s">
        <v>8971</v>
      </c>
      <c r="M2686" s="18"/>
      <c r="N2686" s="1"/>
      <c r="O2686" s="1"/>
      <c r="P2686" s="21" t="str">
        <f>IF(ISNUMBER(MATCH($C2686,StackableKinds,0)), TRUE, "")</f>
        <v/>
      </c>
    </row>
    <row r="2687" spans="1:16" x14ac:dyDescent="0.2">
      <c r="A2687" s="19" t="str">
        <f>_xlfn.IFNA(VLOOKUP($B2687,Keys!$A:$B,2,FALSE),_xlfn.IFNA(VLOOKUP($B2687,Keys!$D:$E,2,FALSE),VLOOKUP($B2687,Keys!$G:$H,2,FALSE)))</f>
        <v>0x0000001F856566EA</v>
      </c>
      <c r="B2687" s="5" t="s">
        <v>7062</v>
      </c>
      <c r="C2687" s="5" t="s">
        <v>9467</v>
      </c>
      <c r="D2687" s="5" t="s">
        <v>16862</v>
      </c>
      <c r="E2687" s="5"/>
      <c r="F2687" s="1"/>
      <c r="G2687" s="5" t="s">
        <v>8971</v>
      </c>
      <c r="H2687" s="1"/>
      <c r="I2687" s="1"/>
      <c r="J2687" s="2"/>
      <c r="K2687" s="5" t="s">
        <v>8971</v>
      </c>
      <c r="M2687" s="18"/>
      <c r="N2687" s="1"/>
      <c r="O2687" s="1"/>
      <c r="P2687" s="21" t="str">
        <f>IF(ISNUMBER(MATCH($C2687,StackableKinds,0)), TRUE, "")</f>
        <v/>
      </c>
    </row>
    <row r="2688" spans="1:16" x14ac:dyDescent="0.2">
      <c r="A2688" s="19" t="str">
        <f>_xlfn.IFNA(VLOOKUP($B2688,Keys!$A:$B,2,FALSE),_xlfn.IFNA(VLOOKUP($B2688,Keys!$D:$E,2,FALSE),VLOOKUP($B2688,Keys!$G:$H,2,FALSE)))</f>
        <v>0x0000001F1C6C3750</v>
      </c>
      <c r="B2688" s="5" t="s">
        <v>7064</v>
      </c>
      <c r="C2688" s="5" t="s">
        <v>9467</v>
      </c>
      <c r="D2688" s="5" t="s">
        <v>16862</v>
      </c>
      <c r="E2688" s="5"/>
      <c r="F2688" s="1"/>
      <c r="G2688" s="5" t="s">
        <v>8971</v>
      </c>
      <c r="H2688" s="1"/>
      <c r="I2688" s="1"/>
      <c r="J2688" s="2"/>
      <c r="K2688" s="5" t="s">
        <v>8971</v>
      </c>
      <c r="M2688" s="18"/>
      <c r="N2688" s="1"/>
      <c r="O2688" s="1"/>
      <c r="P2688" s="21" t="str">
        <f>IF(ISNUMBER(MATCH($C2688,StackableKinds,0)), TRUE, "")</f>
        <v/>
      </c>
    </row>
    <row r="2689" spans="1:16" x14ac:dyDescent="0.2">
      <c r="A2689" s="19" t="str">
        <f>_xlfn.IFNA(VLOOKUP($B2689,Keys!$A:$B,2,FALSE),_xlfn.IFNA(VLOOKUP($B2689,Keys!$D:$E,2,FALSE),VLOOKUP($B2689,Keys!$G:$H,2,FALSE)))</f>
        <v>0x0000001FB88F5841</v>
      </c>
      <c r="B2689" s="5" t="s">
        <v>7066</v>
      </c>
      <c r="C2689" s="5" t="s">
        <v>9467</v>
      </c>
      <c r="D2689" s="5" t="s">
        <v>16862</v>
      </c>
      <c r="E2689" s="5"/>
      <c r="F2689" s="1"/>
      <c r="G2689" s="5" t="s">
        <v>8971</v>
      </c>
      <c r="H2689" s="1"/>
      <c r="I2689" s="1"/>
      <c r="J2689" s="2"/>
      <c r="K2689" s="5" t="s">
        <v>8971</v>
      </c>
      <c r="M2689" s="18"/>
      <c r="N2689" s="1"/>
      <c r="O2689" s="1"/>
      <c r="P2689" s="21" t="str">
        <f>IF(ISNUMBER(MATCH($C2689,StackableKinds,0)), TRUE, "")</f>
        <v/>
      </c>
    </row>
    <row r="2690" spans="1:16" x14ac:dyDescent="0.2">
      <c r="A2690" s="19" t="str">
        <f>_xlfn.IFNA(VLOOKUP($B2690,Keys!$A:$B,2,FALSE),_xlfn.IFNA(VLOOKUP($B2690,Keys!$D:$E,2,FALSE),VLOOKUP($B2690,Keys!$G:$H,2,FALSE)))</f>
        <v>0x0000001F218609FB</v>
      </c>
      <c r="B2690" s="5" t="s">
        <v>7068</v>
      </c>
      <c r="C2690" s="5" t="s">
        <v>9467</v>
      </c>
      <c r="D2690" s="5" t="s">
        <v>16862</v>
      </c>
      <c r="E2690" s="5"/>
      <c r="F2690" s="1"/>
      <c r="G2690" s="5" t="s">
        <v>8971</v>
      </c>
      <c r="H2690" s="1"/>
      <c r="I2690" s="1"/>
      <c r="J2690" s="2"/>
      <c r="K2690" s="5" t="s">
        <v>8971</v>
      </c>
      <c r="M2690" s="18"/>
      <c r="N2690" s="1"/>
      <c r="O2690" s="1"/>
      <c r="P2690" s="21" t="str">
        <f>IF(ISNUMBER(MATCH($C2690,StackableKinds,0)), TRUE, "")</f>
        <v/>
      </c>
    </row>
    <row r="2691" spans="1:16" x14ac:dyDescent="0.2">
      <c r="A2691" s="19" t="str">
        <f>_xlfn.IFNA(VLOOKUP($B2691,Keys!$A:$B,2,FALSE),_xlfn.IFNA(VLOOKUP($B2691,Keys!$D:$E,2,FALSE),VLOOKUP($B2691,Keys!$G:$H,2,FALSE)))</f>
        <v>0x0000001F651981C4</v>
      </c>
      <c r="B2691" s="5" t="s">
        <v>7070</v>
      </c>
      <c r="C2691" s="5" t="s">
        <v>9467</v>
      </c>
      <c r="D2691" s="5" t="s">
        <v>16862</v>
      </c>
      <c r="E2691" s="5"/>
      <c r="F2691" s="1"/>
      <c r="G2691" s="5" t="s">
        <v>8971</v>
      </c>
      <c r="H2691" s="1"/>
      <c r="I2691" s="1"/>
      <c r="J2691" s="2"/>
      <c r="K2691" s="5" t="s">
        <v>8971</v>
      </c>
      <c r="M2691" s="18"/>
      <c r="N2691" s="1"/>
      <c r="O2691" s="1"/>
      <c r="P2691" s="21" t="str">
        <f>IF(ISNUMBER(MATCH($C2691,StackableKinds,0)), TRUE, "")</f>
        <v/>
      </c>
    </row>
    <row r="2692" spans="1:16" x14ac:dyDescent="0.2">
      <c r="A2692" s="19" t="str">
        <f>_xlfn.IFNA(VLOOKUP($B2692,Keys!$A:$B,2,FALSE),_xlfn.IFNA(VLOOKUP($B2692,Keys!$D:$E,2,FALSE),VLOOKUP($B2692,Keys!$G:$H,2,FALSE)))</f>
        <v>0x0000001FD8D3ED0A</v>
      </c>
      <c r="B2692" s="5" t="s">
        <v>7072</v>
      </c>
      <c r="C2692" s="5" t="s">
        <v>9467</v>
      </c>
      <c r="D2692" s="5" t="s">
        <v>16862</v>
      </c>
      <c r="E2692" s="5"/>
      <c r="F2692" s="1"/>
      <c r="G2692" s="5" t="s">
        <v>8971</v>
      </c>
      <c r="H2692" s="1"/>
      <c r="I2692" s="1"/>
      <c r="J2692" s="2"/>
      <c r="K2692" s="5" t="s">
        <v>8971</v>
      </c>
      <c r="M2692" s="18"/>
      <c r="N2692" s="1"/>
      <c r="O2692" s="1"/>
      <c r="P2692" s="21" t="str">
        <f>IF(ISNUMBER(MATCH($C2692,StackableKinds,0)), TRUE, "")</f>
        <v/>
      </c>
    </row>
    <row r="2693" spans="1:16" x14ac:dyDescent="0.2">
      <c r="A2693" s="19" t="str">
        <f>_xlfn.IFNA(VLOOKUP($B2693,Keys!$A:$B,2,FALSE),_xlfn.IFNA(VLOOKUP($B2693,Keys!$D:$E,2,FALSE),VLOOKUP($B2693,Keys!$G:$H,2,FALSE)))</f>
        <v>0x0000001F41DABCB0</v>
      </c>
      <c r="B2693" s="5" t="s">
        <v>7074</v>
      </c>
      <c r="C2693" s="5" t="s">
        <v>9467</v>
      </c>
      <c r="D2693" s="5" t="s">
        <v>16862</v>
      </c>
      <c r="E2693" s="5"/>
      <c r="F2693" s="1"/>
      <c r="G2693" s="5" t="s">
        <v>8971</v>
      </c>
      <c r="H2693" s="1"/>
      <c r="I2693" s="1"/>
      <c r="J2693" s="2"/>
      <c r="K2693" s="5" t="s">
        <v>8971</v>
      </c>
      <c r="M2693" s="18"/>
      <c r="N2693" s="1"/>
      <c r="O2693" s="1"/>
      <c r="P2693" s="21" t="str">
        <f>IF(ISNUMBER(MATCH($C2693,StackableKinds,0)), TRUE, "")</f>
        <v/>
      </c>
    </row>
    <row r="2694" spans="1:16" x14ac:dyDescent="0.2">
      <c r="A2694" s="19" t="str">
        <f>_xlfn.IFNA(VLOOKUP($B2694,Keys!$A:$B,2,FALSE),_xlfn.IFNA(VLOOKUP($B2694,Keys!$D:$E,2,FALSE),VLOOKUP($B2694,Keys!$G:$H,2,FALSE)))</f>
        <v>0x0000001F78E3FD60</v>
      </c>
      <c r="B2694" s="5" t="s">
        <v>7076</v>
      </c>
      <c r="C2694" s="5" t="s">
        <v>9467</v>
      </c>
      <c r="D2694" s="5" t="s">
        <v>16862</v>
      </c>
      <c r="E2694" s="5"/>
      <c r="F2694" s="1"/>
      <c r="G2694" s="5" t="s">
        <v>8971</v>
      </c>
      <c r="H2694" s="1"/>
      <c r="I2694" s="1"/>
      <c r="J2694" s="2"/>
      <c r="K2694" s="5" t="s">
        <v>8971</v>
      </c>
      <c r="M2694" s="18"/>
      <c r="N2694" s="1"/>
      <c r="O2694" s="1"/>
      <c r="P2694" s="21" t="str">
        <f>IF(ISNUMBER(MATCH($C2694,StackableKinds,0)), TRUE, "")</f>
        <v/>
      </c>
    </row>
    <row r="2695" spans="1:16" x14ac:dyDescent="0.2">
      <c r="A2695" s="19" t="str">
        <f>_xlfn.IFNA(VLOOKUP($B2695,Keys!$A:$B,2,FALSE),_xlfn.IFNA(VLOOKUP($B2695,Keys!$D:$E,2,FALSE),VLOOKUP($B2695,Keys!$G:$H,2,FALSE)))</f>
        <v>0x00000019AAE7EA74</v>
      </c>
      <c r="B2695" s="5" t="s">
        <v>7078</v>
      </c>
      <c r="C2695" s="5" t="s">
        <v>9467</v>
      </c>
      <c r="D2695" s="5" t="s">
        <v>16862</v>
      </c>
      <c r="E2695" s="5"/>
      <c r="F2695" s="1"/>
      <c r="G2695" s="5" t="s">
        <v>8971</v>
      </c>
      <c r="H2695" s="1"/>
      <c r="I2695" s="1"/>
      <c r="J2695" s="2"/>
      <c r="K2695" s="5" t="s">
        <v>8971</v>
      </c>
      <c r="M2695" s="18"/>
      <c r="N2695" s="1"/>
      <c r="O2695" s="1"/>
      <c r="P2695" s="21" t="str">
        <f>IF(ISNUMBER(MATCH($C2695,StackableKinds,0)), TRUE, "")</f>
        <v/>
      </c>
    </row>
    <row r="2696" spans="1:16" x14ac:dyDescent="0.2">
      <c r="A2696" s="19" t="str">
        <f>_xlfn.IFNA(VLOOKUP($B2696,Keys!$A:$B,2,FALSE),_xlfn.IFNA(VLOOKUP($B2696,Keys!$D:$E,2,FALSE),VLOOKUP($B2696,Keys!$G:$H,2,FALSE)))</f>
        <v>0x0000001F18BF482B</v>
      </c>
      <c r="B2696" s="5" t="s">
        <v>7080</v>
      </c>
      <c r="C2696" s="5" t="s">
        <v>9467</v>
      </c>
      <c r="D2696" s="5" t="s">
        <v>16862</v>
      </c>
      <c r="E2696" s="5"/>
      <c r="F2696" s="1"/>
      <c r="G2696" s="5" t="s">
        <v>8971</v>
      </c>
      <c r="H2696" s="1"/>
      <c r="I2696" s="1"/>
      <c r="J2696" s="2"/>
      <c r="K2696" s="5" t="s">
        <v>8971</v>
      </c>
      <c r="M2696" s="18"/>
      <c r="N2696" s="1"/>
      <c r="O2696" s="1"/>
      <c r="P2696" s="21" t="str">
        <f>IF(ISNUMBER(MATCH($C2696,StackableKinds,0)), TRUE, "")</f>
        <v/>
      </c>
    </row>
    <row r="2697" spans="1:16" x14ac:dyDescent="0.2">
      <c r="A2697" s="19" t="str">
        <f>_xlfn.IFNA(VLOOKUP($B2697,Keys!$A:$B,2,FALSE),_xlfn.IFNA(VLOOKUP($B2697,Keys!$D:$E,2,FALSE),VLOOKUP($B2697,Keys!$G:$H,2,FALSE)))</f>
        <v>0x000000193D78FB5D</v>
      </c>
      <c r="B2697" s="5" t="s">
        <v>7082</v>
      </c>
      <c r="C2697" s="5" t="s">
        <v>9467</v>
      </c>
      <c r="D2697" s="5" t="s">
        <v>16862</v>
      </c>
      <c r="E2697" s="5"/>
      <c r="F2697" s="1"/>
      <c r="G2697" s="5" t="s">
        <v>8971</v>
      </c>
      <c r="H2697" s="1"/>
      <c r="I2697" s="1"/>
      <c r="J2697" s="2"/>
      <c r="K2697" s="5" t="s">
        <v>8971</v>
      </c>
      <c r="M2697" s="18"/>
      <c r="N2697" s="1"/>
      <c r="O2697" s="1"/>
      <c r="P2697" s="21" t="str">
        <f>IF(ISNUMBER(MATCH($C2697,StackableKinds,0)), TRUE, "")</f>
        <v/>
      </c>
    </row>
    <row r="2698" spans="1:16" x14ac:dyDescent="0.2">
      <c r="A2698" s="19" t="str">
        <f>_xlfn.IFNA(VLOOKUP($B2698,Keys!$A:$B,2,FALSE),_xlfn.IFNA(VLOOKUP($B2698,Keys!$D:$E,2,FALSE),VLOOKUP($B2698,Keys!$G:$H,2,FALSE)))</f>
        <v>0x0000001FB85A97F6</v>
      </c>
      <c r="B2698" s="5" t="s">
        <v>7084</v>
      </c>
      <c r="C2698" s="5" t="s">
        <v>9467</v>
      </c>
      <c r="D2698" s="5" t="s">
        <v>16862</v>
      </c>
      <c r="E2698" s="5"/>
      <c r="F2698" s="1"/>
      <c r="G2698" s="5" t="s">
        <v>8971</v>
      </c>
      <c r="H2698" s="1"/>
      <c r="I2698" s="1"/>
      <c r="J2698" s="2"/>
      <c r="K2698" s="5" t="s">
        <v>8971</v>
      </c>
      <c r="M2698" s="18"/>
      <c r="N2698" s="1"/>
      <c r="O2698" s="1"/>
      <c r="P2698" s="21" t="str">
        <f>IF(ISNUMBER(MATCH($C2698,StackableKinds,0)), TRUE, "")</f>
        <v/>
      </c>
    </row>
    <row r="2699" spans="1:16" x14ac:dyDescent="0.2">
      <c r="A2699" s="19" t="str">
        <f>_xlfn.IFNA(VLOOKUP($B2699,Keys!$A:$B,2,FALSE),_xlfn.IFNA(VLOOKUP($B2699,Keys!$D:$E,2,FALSE),VLOOKUP($B2699,Keys!$G:$H,2,FALSE)))</f>
        <v>0x0000001B2B416E1D</v>
      </c>
      <c r="B2699" s="5" t="s">
        <v>7086</v>
      </c>
      <c r="C2699" s="5" t="s">
        <v>9467</v>
      </c>
      <c r="D2699" s="5" t="s">
        <v>16862</v>
      </c>
      <c r="E2699" s="5"/>
      <c r="F2699" s="1"/>
      <c r="G2699" s="5" t="s">
        <v>8971</v>
      </c>
      <c r="H2699" s="1"/>
      <c r="I2699" s="1"/>
      <c r="J2699" s="2"/>
      <c r="K2699" s="5" t="s">
        <v>8971</v>
      </c>
      <c r="M2699" s="18"/>
      <c r="N2699" s="1"/>
      <c r="O2699" s="1"/>
      <c r="P2699" s="21" t="str">
        <f>IF(ISNUMBER(MATCH($C2699,StackableKinds,0)), TRUE, "")</f>
        <v/>
      </c>
    </row>
    <row r="2700" spans="1:16" x14ac:dyDescent="0.2">
      <c r="A2700" s="19" t="str">
        <f>_xlfn.IFNA(VLOOKUP($B2700,Keys!$A:$B,2,FALSE),_xlfn.IFNA(VLOOKUP($B2700,Keys!$D:$E,2,FALSE),VLOOKUP($B2700,Keys!$G:$H,2,FALSE)))</f>
        <v>0x0000001BB2483FA7</v>
      </c>
      <c r="B2700" s="5" t="s">
        <v>7088</v>
      </c>
      <c r="C2700" s="5" t="s">
        <v>9467</v>
      </c>
      <c r="D2700" s="5" t="s">
        <v>16862</v>
      </c>
      <c r="E2700" s="5"/>
      <c r="F2700" s="1"/>
      <c r="G2700" s="5" t="s">
        <v>8971</v>
      </c>
      <c r="H2700" s="1"/>
      <c r="I2700" s="1"/>
      <c r="J2700" s="2"/>
      <c r="K2700" s="5" t="s">
        <v>8971</v>
      </c>
      <c r="M2700" s="18"/>
      <c r="N2700" s="1"/>
      <c r="O2700" s="1"/>
      <c r="P2700" s="21" t="str">
        <f>IF(ISNUMBER(MATCH($C2700,StackableKinds,0)), TRUE, "")</f>
        <v/>
      </c>
    </row>
    <row r="2701" spans="1:16" x14ac:dyDescent="0.2">
      <c r="A2701" s="19" t="str">
        <f>_xlfn.IFNA(VLOOKUP($B2701,Keys!$A:$B,2,FALSE),_xlfn.IFNA(VLOOKUP($B2701,Keys!$D:$E,2,FALSE),VLOOKUP($B2701,Keys!$G:$H,2,FALSE)))</f>
        <v>0x0000001FD80622BD</v>
      </c>
      <c r="B2701" s="5" t="s">
        <v>7090</v>
      </c>
      <c r="C2701" s="5" t="s">
        <v>9467</v>
      </c>
      <c r="D2701" s="5" t="s">
        <v>16862</v>
      </c>
      <c r="E2701" s="5"/>
      <c r="F2701" s="1"/>
      <c r="G2701" s="5" t="s">
        <v>8971</v>
      </c>
      <c r="H2701" s="1"/>
      <c r="I2701" s="1"/>
      <c r="J2701" s="2"/>
      <c r="K2701" s="5" t="s">
        <v>8971</v>
      </c>
      <c r="M2701" s="18"/>
      <c r="N2701" s="1"/>
      <c r="O2701" s="1"/>
      <c r="P2701" s="21" t="str">
        <f>IF(ISNUMBER(MATCH($C2701,StackableKinds,0)), TRUE, "")</f>
        <v/>
      </c>
    </row>
    <row r="2702" spans="1:16" x14ac:dyDescent="0.2">
      <c r="A2702" s="19" t="str">
        <f>_xlfn.IFNA(VLOOKUP($B2702,Keys!$A:$B,2,FALSE),_xlfn.IFNA(VLOOKUP($B2702,Keys!$D:$E,2,FALSE),VLOOKUP($B2702,Keys!$G:$H,2,FALSE)))</f>
        <v>0x0000001F410F7307</v>
      </c>
      <c r="B2702" s="5" t="s">
        <v>7092</v>
      </c>
      <c r="C2702" s="5" t="s">
        <v>9467</v>
      </c>
      <c r="D2702" s="5" t="s">
        <v>16862</v>
      </c>
      <c r="E2702" s="5"/>
      <c r="F2702" s="1"/>
      <c r="G2702" s="5" t="s">
        <v>8971</v>
      </c>
      <c r="H2702" s="1"/>
      <c r="I2702" s="1"/>
      <c r="J2702" s="2"/>
      <c r="K2702" s="5" t="s">
        <v>8971</v>
      </c>
      <c r="M2702" s="18"/>
      <c r="N2702" s="1"/>
      <c r="O2702" s="1"/>
      <c r="P2702" s="21" t="str">
        <f>IF(ISNUMBER(MATCH($C2702,StackableKinds,0)), TRUE, "")</f>
        <v/>
      </c>
    </row>
    <row r="2703" spans="1:16" x14ac:dyDescent="0.2">
      <c r="A2703" s="19" t="str">
        <f>_xlfn.IFNA(VLOOKUP($B2703,Keys!$A:$B,2,FALSE),_xlfn.IFNA(VLOOKUP($B2703,Keys!$D:$E,2,FALSE),VLOOKUP($B2703,Keys!$G:$H,2,FALSE)))</f>
        <v>0x0000001B05B7469B</v>
      </c>
      <c r="B2703" s="5" t="s">
        <v>7094</v>
      </c>
      <c r="C2703" s="5" t="s">
        <v>9467</v>
      </c>
      <c r="D2703" s="5" t="s">
        <v>16862</v>
      </c>
      <c r="E2703" s="5"/>
      <c r="F2703" s="1"/>
      <c r="G2703" s="5" t="s">
        <v>8971</v>
      </c>
      <c r="H2703" s="1"/>
      <c r="I2703" s="1"/>
      <c r="J2703" s="2"/>
      <c r="K2703" s="5" t="s">
        <v>8971</v>
      </c>
      <c r="M2703" s="18"/>
      <c r="N2703" s="1"/>
      <c r="O2703" s="1"/>
      <c r="P2703" s="21" t="str">
        <f>IF(ISNUMBER(MATCH($C2703,StackableKinds,0)), TRUE, "")</f>
        <v/>
      </c>
    </row>
    <row r="2704" spans="1:16" x14ac:dyDescent="0.2">
      <c r="A2704" s="19" t="str">
        <f>_xlfn.IFNA(VLOOKUP($B2704,Keys!$A:$B,2,FALSE),_xlfn.IFNA(VLOOKUP($B2704,Keys!$D:$E,2,FALSE),VLOOKUP($B2704,Keys!$G:$H,2,FALSE)))</f>
        <v>0x0000001B9CBE1721</v>
      </c>
      <c r="B2704" s="5" t="s">
        <v>7096</v>
      </c>
      <c r="C2704" s="5" t="s">
        <v>9467</v>
      </c>
      <c r="D2704" s="5" t="s">
        <v>16862</v>
      </c>
      <c r="E2704" s="5"/>
      <c r="F2704" s="1"/>
      <c r="G2704" s="5" t="s">
        <v>8971</v>
      </c>
      <c r="H2704" s="1"/>
      <c r="I2704" s="1"/>
      <c r="J2704" s="2"/>
      <c r="K2704" s="5" t="s">
        <v>8971</v>
      </c>
      <c r="M2704" s="18"/>
      <c r="N2704" s="1"/>
      <c r="O2704" s="1"/>
      <c r="P2704" s="21" t="str">
        <f>IF(ISNUMBER(MATCH($C2704,StackableKinds,0)), TRUE, "")</f>
        <v/>
      </c>
    </row>
    <row r="2705" spans="1:16" x14ac:dyDescent="0.2">
      <c r="A2705" s="19" t="str">
        <f>_xlfn.IFNA(VLOOKUP($B2705,Keys!$A:$B,2,FALSE),_xlfn.IFNA(VLOOKUP($B2705,Keys!$D:$E,2,FALSE),VLOOKUP($B2705,Keys!$G:$H,2,FALSE)))</f>
        <v>0x0000001FFF76F788</v>
      </c>
      <c r="B2705" s="5" t="s">
        <v>7098</v>
      </c>
      <c r="C2705" s="5" t="s">
        <v>9467</v>
      </c>
      <c r="D2705" s="5" t="s">
        <v>16862</v>
      </c>
      <c r="E2705" s="5"/>
      <c r="F2705" s="1"/>
      <c r="G2705" s="5" t="s">
        <v>8971</v>
      </c>
      <c r="H2705" s="1"/>
      <c r="I2705" s="1"/>
      <c r="J2705" s="2"/>
      <c r="K2705" s="5" t="s">
        <v>8971</v>
      </c>
      <c r="M2705" s="18"/>
      <c r="N2705" s="1"/>
      <c r="O2705" s="1"/>
      <c r="P2705" s="21" t="str">
        <f>IF(ISNUMBER(MATCH($C2705,StackableKinds,0)), TRUE, "")</f>
        <v/>
      </c>
    </row>
    <row r="2706" spans="1:16" x14ac:dyDescent="0.2">
      <c r="A2706" s="19" t="str">
        <f>_xlfn.IFNA(VLOOKUP($B2706,Keys!$A:$B,2,FALSE),_xlfn.IFNA(VLOOKUP($B2706,Keys!$D:$E,2,FALSE),VLOOKUP($B2706,Keys!$G:$H,2,FALSE)))</f>
        <v>0x0000001F667FA632</v>
      </c>
      <c r="B2706" s="5" t="s">
        <v>7100</v>
      </c>
      <c r="C2706" s="5" t="s">
        <v>9467</v>
      </c>
      <c r="D2706" s="5" t="s">
        <v>16862</v>
      </c>
      <c r="E2706" s="5"/>
      <c r="F2706" s="1"/>
      <c r="G2706" s="5" t="s">
        <v>8971</v>
      </c>
      <c r="H2706" s="1"/>
      <c r="I2706" s="1"/>
      <c r="J2706" s="2"/>
      <c r="K2706" s="5" t="s">
        <v>8971</v>
      </c>
      <c r="M2706" s="18"/>
      <c r="N2706" s="1"/>
      <c r="O2706" s="1"/>
      <c r="P2706" s="21" t="str">
        <f>IF(ISNUMBER(MATCH($C2706,StackableKinds,0)), TRUE, "")</f>
        <v/>
      </c>
    </row>
    <row r="2707" spans="1:16" x14ac:dyDescent="0.2">
      <c r="A2707" s="19" t="str">
        <f>_xlfn.IFNA(VLOOKUP($B2707,Keys!$A:$B,2,FALSE),_xlfn.IFNA(VLOOKUP($B2707,Keys!$D:$E,2,FALSE),VLOOKUP($B2707,Keys!$G:$H,2,FALSE)))</f>
        <v>0x0000001BDA0E894A</v>
      </c>
      <c r="B2707" s="5" t="s">
        <v>7102</v>
      </c>
      <c r="C2707" s="5" t="s">
        <v>9467</v>
      </c>
      <c r="D2707" s="5" t="s">
        <v>16862</v>
      </c>
      <c r="E2707" s="5"/>
      <c r="F2707" s="1"/>
      <c r="G2707" s="5" t="s">
        <v>8971</v>
      </c>
      <c r="H2707" s="1"/>
      <c r="I2707" s="1"/>
      <c r="J2707" s="2"/>
      <c r="K2707" s="5" t="s">
        <v>8971</v>
      </c>
      <c r="M2707" s="18"/>
      <c r="N2707" s="1"/>
      <c r="O2707" s="1"/>
      <c r="P2707" s="21" t="str">
        <f>IF(ISNUMBER(MATCH($C2707,StackableKinds,0)), TRUE, "")</f>
        <v/>
      </c>
    </row>
    <row r="2708" spans="1:16" x14ac:dyDescent="0.2">
      <c r="A2708" s="19" t="str">
        <f>_xlfn.IFNA(VLOOKUP($B2708,Keys!$A:$B,2,FALSE),_xlfn.IFNA(VLOOKUP($B2708,Keys!$D:$E,2,FALSE),VLOOKUP($B2708,Keys!$G:$H,2,FALSE)))</f>
        <v>0x0000001B4307D8F0</v>
      </c>
      <c r="B2708" s="5" t="s">
        <v>7104</v>
      </c>
      <c r="C2708" s="5" t="s">
        <v>9467</v>
      </c>
      <c r="D2708" s="5" t="s">
        <v>16862</v>
      </c>
      <c r="E2708" s="5"/>
      <c r="F2708" s="1"/>
      <c r="G2708" s="5" t="s">
        <v>8971</v>
      </c>
      <c r="H2708" s="1"/>
      <c r="I2708" s="1"/>
      <c r="J2708" s="2"/>
      <c r="K2708" s="5" t="s">
        <v>8971</v>
      </c>
      <c r="M2708" s="18"/>
      <c r="N2708" s="1"/>
      <c r="O2708" s="1"/>
      <c r="P2708" s="21" t="str">
        <f>IF(ISNUMBER(MATCH($C2708,StackableKinds,0)), TRUE, "")</f>
        <v/>
      </c>
    </row>
    <row r="2709" spans="1:16" x14ac:dyDescent="0.2">
      <c r="A2709" s="19" t="str">
        <f>_xlfn.IFNA(VLOOKUP($B2709,Keys!$A:$B,2,FALSE),_xlfn.IFNA(VLOOKUP($B2709,Keys!$D:$E,2,FALSE),VLOOKUP($B2709,Keys!$G:$H,2,FALSE)))</f>
        <v>0x0000001F22E02E0D</v>
      </c>
      <c r="B2709" s="5" t="s">
        <v>7106</v>
      </c>
      <c r="C2709" s="5" t="s">
        <v>9467</v>
      </c>
      <c r="D2709" s="5" t="s">
        <v>16862</v>
      </c>
      <c r="E2709" s="5"/>
      <c r="F2709" s="1"/>
      <c r="G2709" s="5" t="s">
        <v>8971</v>
      </c>
      <c r="H2709" s="1"/>
      <c r="I2709" s="1"/>
      <c r="J2709" s="2"/>
      <c r="K2709" s="5" t="s">
        <v>8971</v>
      </c>
      <c r="M2709" s="18"/>
      <c r="N2709" s="1"/>
      <c r="O2709" s="1"/>
      <c r="P2709" s="21" t="str">
        <f>IF(ISNUMBER(MATCH($C2709,StackableKinds,0)), TRUE, "")</f>
        <v/>
      </c>
    </row>
    <row r="2710" spans="1:16" x14ac:dyDescent="0.2">
      <c r="A2710" s="19" t="str">
        <f>_xlfn.IFNA(VLOOKUP($B2710,Keys!$A:$B,2,FALSE),_xlfn.IFNA(VLOOKUP($B2710,Keys!$D:$E,2,FALSE),VLOOKUP($B2710,Keys!$G:$H,2,FALSE)))</f>
        <v>0x000000199908A413</v>
      </c>
      <c r="B2710" s="5" t="s">
        <v>7108</v>
      </c>
      <c r="C2710" s="5" t="s">
        <v>9467</v>
      </c>
      <c r="D2710" s="5" t="s">
        <v>16862</v>
      </c>
      <c r="E2710" s="5"/>
      <c r="F2710" s="1"/>
      <c r="G2710" s="5" t="s">
        <v>8971</v>
      </c>
      <c r="H2710" s="1"/>
      <c r="I2710" s="1"/>
      <c r="J2710" s="2"/>
      <c r="K2710" s="5" t="s">
        <v>8971</v>
      </c>
      <c r="M2710" s="18"/>
      <c r="N2710" s="1"/>
      <c r="O2710" s="1"/>
      <c r="P2710" s="21" t="str">
        <f>IF(ISNUMBER(MATCH($C2710,StackableKinds,0)), TRUE, "")</f>
        <v/>
      </c>
    </row>
    <row r="2711" spans="1:16" x14ac:dyDescent="0.2">
      <c r="A2711" s="19" t="str">
        <f>_xlfn.IFNA(VLOOKUP($B2711,Keys!$A:$B,2,FALSE),_xlfn.IFNA(VLOOKUP($B2711,Keys!$D:$E,2,FALSE),VLOOKUP($B2711,Keys!$G:$H,2,FALSE)))</f>
        <v>0x00000023F42947DF</v>
      </c>
      <c r="B2711" s="5" t="s">
        <v>7110</v>
      </c>
      <c r="C2711" s="5" t="s">
        <v>9467</v>
      </c>
      <c r="D2711" s="5" t="s">
        <v>16862</v>
      </c>
      <c r="E2711" s="5"/>
      <c r="F2711" s="1"/>
      <c r="G2711" s="5" t="s">
        <v>8971</v>
      </c>
      <c r="H2711" s="1"/>
      <c r="I2711" s="1"/>
      <c r="J2711" s="2"/>
      <c r="K2711" s="5" t="s">
        <v>8971</v>
      </c>
      <c r="M2711" s="18"/>
      <c r="N2711" s="1"/>
      <c r="O2711" s="1"/>
      <c r="P2711" s="21" t="str">
        <f>IF(ISNUMBER(MATCH($C2711,StackableKinds,0)), TRUE, "")</f>
        <v/>
      </c>
    </row>
    <row r="2712" spans="1:16" x14ac:dyDescent="0.2">
      <c r="A2712" s="19" t="str">
        <f>_xlfn.IFNA(VLOOKUP($B2712,Keys!$A:$B,2,FALSE),_xlfn.IFNA(VLOOKUP($B2712,Keys!$D:$E,2,FALSE),VLOOKUP($B2712,Keys!$G:$H,2,FALSE)))</f>
        <v>0x0000001F387AC593</v>
      </c>
      <c r="B2712" s="5" t="s">
        <v>7112</v>
      </c>
      <c r="C2712" s="5" t="s">
        <v>9467</v>
      </c>
      <c r="D2712" s="5" t="s">
        <v>16862</v>
      </c>
      <c r="E2712" s="5"/>
      <c r="F2712" s="1"/>
      <c r="G2712" s="5" t="s">
        <v>8971</v>
      </c>
      <c r="H2712" s="1"/>
      <c r="I2712" s="1"/>
      <c r="J2712" s="2"/>
      <c r="K2712" s="5" t="s">
        <v>8971</v>
      </c>
      <c r="M2712" s="18"/>
      <c r="N2712" s="1"/>
      <c r="O2712" s="1"/>
      <c r="P2712" s="21" t="str">
        <f>IF(ISNUMBER(MATCH($C2712,StackableKinds,0)), TRUE, "")</f>
        <v/>
      </c>
    </row>
    <row r="2713" spans="1:16" x14ac:dyDescent="0.2">
      <c r="A2713" s="19" t="str">
        <f>_xlfn.IFNA(VLOOKUP($B2713,Keys!$A:$B,2,FALSE),_xlfn.IFNA(VLOOKUP($B2713,Keys!$D:$E,2,FALSE),VLOOKUP($B2713,Keys!$G:$H,2,FALSE)))</f>
        <v>0x0000001B8E14406C</v>
      </c>
      <c r="B2713" s="5" t="s">
        <v>7114</v>
      </c>
      <c r="C2713" s="5" t="s">
        <v>9467</v>
      </c>
      <c r="D2713" s="5" t="s">
        <v>16862</v>
      </c>
      <c r="E2713" s="5"/>
      <c r="F2713" s="1"/>
      <c r="G2713" s="5" t="s">
        <v>8971</v>
      </c>
      <c r="H2713" s="1"/>
      <c r="I2713" s="1"/>
      <c r="J2713" s="2"/>
      <c r="K2713" s="5" t="s">
        <v>8971</v>
      </c>
      <c r="M2713" s="18"/>
      <c r="N2713" s="1"/>
      <c r="O2713" s="1"/>
      <c r="P2713" s="21" t="str">
        <f>IF(ISNUMBER(MATCH($C2713,StackableKinds,0)), TRUE, "")</f>
        <v/>
      </c>
    </row>
    <row r="2714" spans="1:16" x14ac:dyDescent="0.2">
      <c r="A2714" s="19" t="str">
        <f>_xlfn.IFNA(VLOOKUP($B2714,Keys!$A:$B,2,FALSE),_xlfn.IFNA(VLOOKUP($B2714,Keys!$D:$E,2,FALSE),VLOOKUP($B2714,Keys!$G:$H,2,FALSE)))</f>
        <v>0x0000001B171D11D6</v>
      </c>
      <c r="B2714" s="5" t="s">
        <v>7116</v>
      </c>
      <c r="C2714" s="5" t="s">
        <v>9467</v>
      </c>
      <c r="D2714" s="5" t="s">
        <v>16862</v>
      </c>
      <c r="E2714" s="5"/>
      <c r="F2714" s="1"/>
      <c r="G2714" s="5" t="s">
        <v>8971</v>
      </c>
      <c r="H2714" s="1"/>
      <c r="I2714" s="1"/>
      <c r="J2714" s="2"/>
      <c r="K2714" s="5" t="s">
        <v>8971</v>
      </c>
      <c r="M2714" s="18"/>
      <c r="N2714" s="1"/>
      <c r="O2714" s="1"/>
      <c r="P2714" s="21" t="str">
        <f>IF(ISNUMBER(MATCH($C2714,StackableKinds,0)), TRUE, "")</f>
        <v/>
      </c>
    </row>
    <row r="2715" spans="1:16" x14ac:dyDescent="0.2">
      <c r="A2715" s="19" t="str">
        <f>_xlfn.IFNA(VLOOKUP($B2715,Keys!$A:$B,2,FALSE),_xlfn.IFNA(VLOOKUP($B2715,Keys!$D:$E,2,FALSE),VLOOKUP($B2715,Keys!$G:$H,2,FALSE)))</f>
        <v>0x0000001FE5EC1C16</v>
      </c>
      <c r="B2715" s="5" t="s">
        <v>7118</v>
      </c>
      <c r="C2715" s="5" t="s">
        <v>9467</v>
      </c>
      <c r="D2715" s="5" t="s">
        <v>16862</v>
      </c>
      <c r="E2715" s="5"/>
      <c r="F2715" s="1"/>
      <c r="G2715" s="5" t="s">
        <v>8971</v>
      </c>
      <c r="H2715" s="1"/>
      <c r="I2715" s="1"/>
      <c r="J2715" s="2"/>
      <c r="K2715" s="5" t="s">
        <v>8971</v>
      </c>
      <c r="M2715" s="18"/>
      <c r="N2715" s="1"/>
      <c r="O2715" s="1"/>
      <c r="P2715" s="21" t="str">
        <f>IF(ISNUMBER(MATCH($C2715,StackableKinds,0)), TRUE, "")</f>
        <v/>
      </c>
    </row>
    <row r="2716" spans="1:16" x14ac:dyDescent="0.2">
      <c r="A2716" s="19" t="str">
        <f>_xlfn.IFNA(VLOOKUP($B2716,Keys!$A:$B,2,FALSE),_xlfn.IFNA(VLOOKUP($B2716,Keys!$D:$E,2,FALSE),VLOOKUP($B2716,Keys!$G:$H,2,FALSE)))</f>
        <v>0x00000019664DEAEA</v>
      </c>
      <c r="B2716" s="5" t="s">
        <v>7120</v>
      </c>
      <c r="C2716" s="5" t="s">
        <v>9467</v>
      </c>
      <c r="D2716" s="5" t="s">
        <v>16862</v>
      </c>
      <c r="E2716" s="5"/>
      <c r="F2716" s="1"/>
      <c r="G2716" s="5" t="s">
        <v>8971</v>
      </c>
      <c r="H2716" s="1"/>
      <c r="I2716" s="1"/>
      <c r="J2716" s="2"/>
      <c r="K2716" s="5" t="s">
        <v>8971</v>
      </c>
      <c r="M2716" s="18"/>
      <c r="N2716" s="1"/>
      <c r="O2716" s="1"/>
      <c r="P2716" s="21" t="str">
        <f>IF(ISNUMBER(MATCH($C2716,StackableKinds,0)), TRUE, "")</f>
        <v/>
      </c>
    </row>
    <row r="2717" spans="1:16" x14ac:dyDescent="0.2">
      <c r="A2717" s="19" t="str">
        <f>_xlfn.IFNA(VLOOKUP($B2717,Keys!$A:$B,2,FALSE),_xlfn.IFNA(VLOOKUP($B2717,Keys!$D:$E,2,FALSE),VLOOKUP($B2717,Keys!$G:$H,2,FALSE)))</f>
        <v>0x0000001F582670D8</v>
      </c>
      <c r="B2717" s="5" t="s">
        <v>7122</v>
      </c>
      <c r="C2717" s="5" t="s">
        <v>9467</v>
      </c>
      <c r="D2717" s="5" t="s">
        <v>16862</v>
      </c>
      <c r="E2717" s="5"/>
      <c r="F2717" s="1"/>
      <c r="G2717" s="5" t="s">
        <v>8971</v>
      </c>
      <c r="H2717" s="1"/>
      <c r="I2717" s="1"/>
      <c r="J2717" s="2"/>
      <c r="K2717" s="5" t="s">
        <v>8971</v>
      </c>
      <c r="M2717" s="18"/>
      <c r="N2717" s="1"/>
      <c r="O2717" s="1"/>
      <c r="P2717" s="21" t="str">
        <f>IF(ISNUMBER(MATCH($C2717,StackableKinds,0)), TRUE, "")</f>
        <v/>
      </c>
    </row>
    <row r="2718" spans="1:16" x14ac:dyDescent="0.2">
      <c r="A2718" s="19" t="str">
        <f>_xlfn.IFNA(VLOOKUP($B2718,Keys!$A:$B,2,FALSE),_xlfn.IFNA(VLOOKUP($B2718,Keys!$D:$E,2,FALSE),VLOOKUP($B2718,Keys!$G:$H,2,FALSE)))</f>
        <v>0x0000001957A5F077</v>
      </c>
      <c r="B2718" s="5" t="s">
        <v>7124</v>
      </c>
      <c r="C2718" s="5" t="s">
        <v>9467</v>
      </c>
      <c r="D2718" s="5" t="s">
        <v>16862</v>
      </c>
      <c r="E2718" s="5"/>
      <c r="F2718" s="1"/>
      <c r="G2718" s="5" t="s">
        <v>8971</v>
      </c>
      <c r="H2718" s="1"/>
      <c r="I2718" s="1"/>
      <c r="J2718" s="2"/>
      <c r="K2718" s="5" t="s">
        <v>8971</v>
      </c>
      <c r="M2718" s="18"/>
      <c r="N2718" s="1"/>
      <c r="O2718" s="1"/>
      <c r="P2718" s="21" t="str">
        <f>IF(ISNUMBER(MATCH($C2718,StackableKinds,0)), TRUE, "")</f>
        <v/>
      </c>
    </row>
    <row r="2719" spans="1:16" x14ac:dyDescent="0.2">
      <c r="A2719" s="19" t="str">
        <f>_xlfn.IFNA(VLOOKUP($B2719,Keys!$A:$B,2,FALSE),_xlfn.IFNA(VLOOKUP($B2719,Keys!$D:$E,2,FALSE),VLOOKUP($B2719,Keys!$G:$H,2,FALSE)))</f>
        <v>0x00000023A7B31C5B</v>
      </c>
      <c r="B2719" s="5" t="s">
        <v>7126</v>
      </c>
      <c r="C2719" s="5" t="s">
        <v>9467</v>
      </c>
      <c r="D2719" s="5" t="s">
        <v>16862</v>
      </c>
      <c r="E2719" s="5"/>
      <c r="F2719" s="1"/>
      <c r="G2719" s="5" t="s">
        <v>8971</v>
      </c>
      <c r="H2719" s="1"/>
      <c r="I2719" s="1"/>
      <c r="J2719" s="2"/>
      <c r="K2719" s="5" t="s">
        <v>8971</v>
      </c>
      <c r="M2719" s="18"/>
      <c r="N2719" s="1"/>
      <c r="O2719" s="1"/>
      <c r="P2719" s="21" t="str">
        <f>IF(ISNUMBER(MATCH($C2719,StackableKinds,0)), TRUE, "")</f>
        <v/>
      </c>
    </row>
    <row r="2720" spans="1:16" x14ac:dyDescent="0.2">
      <c r="A2720" s="19" t="str">
        <f>_xlfn.IFNA(VLOOKUP($B2720,Keys!$A:$B,2,FALSE),_xlfn.IFNA(VLOOKUP($B2720,Keys!$D:$E,2,FALSE),VLOOKUP($B2720,Keys!$G:$H,2,FALSE)))</f>
        <v>0x0000001F85B0A95D</v>
      </c>
      <c r="B2720" s="5" t="s">
        <v>7128</v>
      </c>
      <c r="C2720" s="5" t="s">
        <v>9467</v>
      </c>
      <c r="D2720" s="5" t="s">
        <v>16862</v>
      </c>
      <c r="E2720" s="5"/>
      <c r="F2720" s="1"/>
      <c r="G2720" s="5" t="s">
        <v>8971</v>
      </c>
      <c r="H2720" s="1"/>
      <c r="I2720" s="1"/>
      <c r="J2720" s="2"/>
      <c r="K2720" s="5" t="s">
        <v>8971</v>
      </c>
      <c r="M2720" s="18"/>
      <c r="N2720" s="1"/>
      <c r="O2720" s="1"/>
      <c r="P2720" s="21" t="str">
        <f>IF(ISNUMBER(MATCH($C2720,StackableKinds,0)), TRUE, "")</f>
        <v/>
      </c>
    </row>
    <row r="2721" spans="1:16" x14ac:dyDescent="0.2">
      <c r="A2721" s="19" t="str">
        <f>_xlfn.IFNA(VLOOKUP($B2721,Keys!$A:$B,2,FALSE),_xlfn.IFNA(VLOOKUP($B2721,Keys!$D:$E,2,FALSE),VLOOKUP($B2721,Keys!$G:$H,2,FALSE)))</f>
        <v>0x0000001F1CB9F8E7</v>
      </c>
      <c r="B2721" s="5" t="s">
        <v>7130</v>
      </c>
      <c r="C2721" s="5" t="s">
        <v>9467</v>
      </c>
      <c r="D2721" s="5" t="s">
        <v>16862</v>
      </c>
      <c r="E2721" s="5"/>
      <c r="F2721" s="1"/>
      <c r="G2721" s="5" t="s">
        <v>8971</v>
      </c>
      <c r="H2721" s="1"/>
      <c r="I2721" s="1"/>
      <c r="J2721" s="2"/>
      <c r="K2721" s="5" t="s">
        <v>8971</v>
      </c>
      <c r="M2721" s="18"/>
      <c r="N2721" s="1"/>
      <c r="O2721" s="1"/>
      <c r="P2721" s="21" t="str">
        <f>IF(ISNUMBER(MATCH($C2721,StackableKinds,0)), TRUE, "")</f>
        <v/>
      </c>
    </row>
    <row r="2722" spans="1:16" x14ac:dyDescent="0.2">
      <c r="A2722" s="19" t="str">
        <f>_xlfn.IFNA(VLOOKUP($B2722,Keys!$A:$B,2,FALSE),_xlfn.IFNA(VLOOKUP($B2722,Keys!$D:$E,2,FALSE),VLOOKUP($B2722,Keys!$G:$H,2,FALSE)))</f>
        <v>0x0000001BB7997CA9</v>
      </c>
      <c r="B2722" s="5" t="s">
        <v>7132</v>
      </c>
      <c r="C2722" s="5" t="s">
        <v>9467</v>
      </c>
      <c r="D2722" s="5" t="s">
        <v>16862</v>
      </c>
      <c r="E2722" s="5"/>
      <c r="F2722" s="1"/>
      <c r="G2722" s="5" t="s">
        <v>8971</v>
      </c>
      <c r="H2722" s="1"/>
      <c r="I2722" s="1"/>
      <c r="J2722" s="2"/>
      <c r="K2722" s="5" t="s">
        <v>8971</v>
      </c>
      <c r="M2722" s="18"/>
      <c r="N2722" s="1"/>
      <c r="O2722" s="1"/>
      <c r="P2722" s="21" t="str">
        <f>IF(ISNUMBER(MATCH($C2722,StackableKinds,0)), TRUE, "")</f>
        <v/>
      </c>
    </row>
    <row r="2723" spans="1:16" x14ac:dyDescent="0.2">
      <c r="A2723" s="19" t="str">
        <f>_xlfn.IFNA(VLOOKUP($B2723,Keys!$A:$B,2,FALSE),_xlfn.IFNA(VLOOKUP($B2723,Keys!$D:$E,2,FALSE),VLOOKUP($B2723,Keys!$G:$H,2,FALSE)))</f>
        <v>0x0000001B2E902D13</v>
      </c>
      <c r="B2723" s="5" t="s">
        <v>7134</v>
      </c>
      <c r="C2723" s="5" t="s">
        <v>9467</v>
      </c>
      <c r="D2723" s="5" t="s">
        <v>16862</v>
      </c>
      <c r="E2723" s="5"/>
      <c r="F2723" s="1"/>
      <c r="G2723" s="5" t="s">
        <v>8971</v>
      </c>
      <c r="H2723" s="1"/>
      <c r="I2723" s="1"/>
      <c r="J2723" s="2"/>
      <c r="K2723" s="5" t="s">
        <v>8971</v>
      </c>
      <c r="M2723" s="18"/>
      <c r="N2723" s="1"/>
      <c r="O2723" s="1"/>
      <c r="P2723" s="21" t="str">
        <f>IF(ISNUMBER(MATCH($C2723,StackableKinds,0)), TRUE, "")</f>
        <v/>
      </c>
    </row>
    <row r="2724" spans="1:16" x14ac:dyDescent="0.2">
      <c r="A2724" s="19" t="str">
        <f>_xlfn.IFNA(VLOOKUP($B2724,Keys!$A:$B,2,FALSE),_xlfn.IFNA(VLOOKUP($B2724,Keys!$D:$E,2,FALSE),VLOOKUP($B2724,Keys!$G:$H,2,FALSE)))</f>
        <v>0x0000001FF8C3AF05</v>
      </c>
      <c r="B2724" s="5" t="s">
        <v>7136</v>
      </c>
      <c r="C2724" s="5" t="s">
        <v>9467</v>
      </c>
      <c r="D2724" s="5" t="s">
        <v>16862</v>
      </c>
      <c r="E2724" s="5"/>
      <c r="F2724" s="1"/>
      <c r="G2724" s="5" t="s">
        <v>8971</v>
      </c>
      <c r="H2724" s="1"/>
      <c r="I2724" s="1"/>
      <c r="J2724" s="2"/>
      <c r="K2724" s="5" t="s">
        <v>8971</v>
      </c>
      <c r="M2724" s="18"/>
      <c r="N2724" s="1"/>
      <c r="O2724" s="1"/>
      <c r="P2724" s="21" t="str">
        <f>IF(ISNUMBER(MATCH($C2724,StackableKinds,0)), TRUE, "")</f>
        <v/>
      </c>
    </row>
    <row r="2725" spans="1:16" x14ac:dyDescent="0.2">
      <c r="A2725" s="19" t="str">
        <f>_xlfn.IFNA(VLOOKUP($B2725,Keys!$A:$B,2,FALSE),_xlfn.IFNA(VLOOKUP($B2725,Keys!$D:$E,2,FALSE),VLOOKUP($B2725,Keys!$G:$H,2,FALSE)))</f>
        <v>0x000000193475C54D</v>
      </c>
      <c r="B2725" s="5" t="s">
        <v>7138</v>
      </c>
      <c r="C2725" s="5" t="s">
        <v>9467</v>
      </c>
      <c r="D2725" s="5" t="s">
        <v>16862</v>
      </c>
      <c r="E2725" s="5"/>
      <c r="F2725" s="1"/>
      <c r="G2725" s="5" t="s">
        <v>8971</v>
      </c>
      <c r="H2725" s="1"/>
      <c r="I2725" s="1"/>
      <c r="J2725" s="2"/>
      <c r="K2725" s="5" t="s">
        <v>8971</v>
      </c>
      <c r="M2725" s="18"/>
      <c r="N2725" s="1"/>
      <c r="O2725" s="1"/>
      <c r="P2725" s="21" t="str">
        <f>IF(ISNUMBER(MATCH($C2725,StackableKinds,0)), TRUE, "")</f>
        <v/>
      </c>
    </row>
    <row r="2726" spans="1:16" x14ac:dyDescent="0.2">
      <c r="A2726" s="19" t="str">
        <f>_xlfn.IFNA(VLOOKUP($B2726,Keys!$A:$B,2,FALSE),_xlfn.IFNA(VLOOKUP($B2726,Keys!$D:$E,2,FALSE),VLOOKUP($B2726,Keys!$G:$H,2,FALSE)))</f>
        <v>0x0000001FD304FF64</v>
      </c>
      <c r="B2726" s="5" t="s">
        <v>7140</v>
      </c>
      <c r="C2726" s="5" t="s">
        <v>9467</v>
      </c>
      <c r="D2726" s="5" t="s">
        <v>16862</v>
      </c>
      <c r="E2726" s="5"/>
      <c r="F2726" s="1"/>
      <c r="G2726" s="5" t="s">
        <v>8971</v>
      </c>
      <c r="H2726" s="1"/>
      <c r="I2726" s="1"/>
      <c r="J2726" s="2"/>
      <c r="K2726" s="5" t="s">
        <v>8971</v>
      </c>
      <c r="M2726" s="18"/>
      <c r="N2726" s="1"/>
      <c r="O2726" s="1"/>
      <c r="P2726" s="21" t="str">
        <f>IF(ISNUMBER(MATCH($C2726,StackableKinds,0)), TRUE, "")</f>
        <v/>
      </c>
    </row>
    <row r="2727" spans="1:16" x14ac:dyDescent="0.2">
      <c r="A2727" s="19" t="str">
        <f>_xlfn.IFNA(VLOOKUP($B2727,Keys!$A:$B,2,FALSE),_xlfn.IFNA(VLOOKUP($B2727,Keys!$D:$E,2,FALSE),VLOOKUP($B2727,Keys!$G:$H,2,FALSE)))</f>
        <v>0x0000001F4A0DAEDE</v>
      </c>
      <c r="B2727" s="5" t="s">
        <v>7142</v>
      </c>
      <c r="C2727" s="5" t="s">
        <v>9467</v>
      </c>
      <c r="D2727" s="5" t="s">
        <v>16862</v>
      </c>
      <c r="E2727" s="5"/>
      <c r="F2727" s="1"/>
      <c r="G2727" s="5" t="s">
        <v>8971</v>
      </c>
      <c r="H2727" s="1"/>
      <c r="I2727" s="1"/>
      <c r="J2727" s="2"/>
      <c r="K2727" s="5" t="s">
        <v>8971</v>
      </c>
      <c r="M2727" s="18"/>
      <c r="N2727" s="1"/>
      <c r="O2727" s="1"/>
      <c r="P2727" s="21" t="str">
        <f>IF(ISNUMBER(MATCH($C2727,StackableKinds,0)), TRUE, "")</f>
        <v/>
      </c>
    </row>
    <row r="2728" spans="1:16" x14ac:dyDescent="0.2">
      <c r="A2728" s="19" t="str">
        <f>_xlfn.IFNA(VLOOKUP($B2728,Keys!$A:$B,2,FALSE),_xlfn.IFNA(VLOOKUP($B2728,Keys!$D:$E,2,FALSE),VLOOKUP($B2728,Keys!$G:$H,2,FALSE)))</f>
        <v>0x0000001F6ECE93AA</v>
      </c>
      <c r="B2728" s="5" t="s">
        <v>7144</v>
      </c>
      <c r="C2728" s="5" t="s">
        <v>9467</v>
      </c>
      <c r="D2728" s="5" t="s">
        <v>16862</v>
      </c>
      <c r="E2728" s="5"/>
      <c r="F2728" s="1"/>
      <c r="G2728" s="5" t="s">
        <v>8971</v>
      </c>
      <c r="H2728" s="1"/>
      <c r="I2728" s="1"/>
      <c r="J2728" s="2"/>
      <c r="K2728" s="5" t="s">
        <v>8971</v>
      </c>
      <c r="M2728" s="18"/>
      <c r="N2728" s="1"/>
      <c r="O2728" s="1"/>
      <c r="P2728" s="21" t="str">
        <f>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16862</v>
      </c>
      <c r="E2729" s="5"/>
      <c r="F2729" s="1"/>
      <c r="G2729" s="5" t="s">
        <v>8971</v>
      </c>
      <c r="H2729" s="1"/>
      <c r="I2729" s="1"/>
      <c r="J2729" s="2"/>
      <c r="K2729" s="5" t="s">
        <v>8971</v>
      </c>
      <c r="M2729" s="18"/>
      <c r="N2729" s="1"/>
      <c r="O2729" s="1"/>
      <c r="P2729" s="21" t="str">
        <f>IF(ISNUMBER(MATCH($C2729,StackableKinds,0)), TRUE, "")</f>
        <v/>
      </c>
    </row>
    <row r="2730" spans="1:16" x14ac:dyDescent="0.2">
      <c r="A2730" s="19" t="str">
        <f>_xlfn.IFNA(VLOOKUP($B2730,Keys!$A:$B,2,FALSE),_xlfn.IFNA(VLOOKUP($B2730,Keys!$D:$E,2,FALSE),VLOOKUP($B2730,Keys!$G:$H,2,FALSE)))</f>
        <v>0x0000001FCE2B4C77</v>
      </c>
      <c r="B2730" s="5" t="s">
        <v>7148</v>
      </c>
      <c r="C2730" s="5" t="s">
        <v>9467</v>
      </c>
      <c r="D2730" s="5" t="s">
        <v>16862</v>
      </c>
      <c r="E2730" s="5"/>
      <c r="F2730" s="1"/>
      <c r="G2730" s="5" t="s">
        <v>8971</v>
      </c>
      <c r="H2730" s="1"/>
      <c r="I2730" s="1"/>
      <c r="J2730" s="2"/>
      <c r="K2730" s="5" t="s">
        <v>8971</v>
      </c>
      <c r="M2730" s="18"/>
      <c r="N2730" s="1"/>
      <c r="O2730" s="1"/>
      <c r="P2730" s="21" t="str">
        <f>IF(ISNUMBER(MATCH($C2730,StackableKinds,0)), TRUE, "")</f>
        <v/>
      </c>
    </row>
    <row r="2731" spans="1:16" x14ac:dyDescent="0.2">
      <c r="A2731" s="19" t="str">
        <f>_xlfn.IFNA(VLOOKUP($B2731,Keys!$A:$B,2,FALSE),_xlfn.IFNA(VLOOKUP($B2731,Keys!$D:$E,2,FALSE),VLOOKUP($B2731,Keys!$G:$H,2,FALSE)))</f>
        <v>0x0000001F13BD95F2</v>
      </c>
      <c r="B2731" s="5" t="s">
        <v>7150</v>
      </c>
      <c r="C2731" s="5" t="s">
        <v>9467</v>
      </c>
      <c r="D2731" s="5" t="s">
        <v>16862</v>
      </c>
      <c r="E2731" s="5"/>
      <c r="F2731" s="1"/>
      <c r="G2731" s="5" t="s">
        <v>8971</v>
      </c>
      <c r="H2731" s="1"/>
      <c r="I2731" s="1"/>
      <c r="J2731" s="2"/>
      <c r="K2731" s="5" t="s">
        <v>8971</v>
      </c>
      <c r="M2731" s="18"/>
      <c r="N2731" s="1"/>
      <c r="O2731" s="1"/>
      <c r="P2731" s="21" t="str">
        <f>IF(ISNUMBER(MATCH($C2731,StackableKinds,0)), TRUE, "")</f>
        <v/>
      </c>
    </row>
    <row r="2732" spans="1:16" x14ac:dyDescent="0.2">
      <c r="A2732" s="19" t="str">
        <f>_xlfn.IFNA(VLOOKUP($B2732,Keys!$A:$B,2,FALSE),_xlfn.IFNA(VLOOKUP($B2732,Keys!$D:$E,2,FALSE),VLOOKUP($B2732,Keys!$G:$H,2,FALSE)))</f>
        <v>0x0000001F8AB4C448</v>
      </c>
      <c r="B2732" s="5" t="s">
        <v>7152</v>
      </c>
      <c r="C2732" s="5" t="s">
        <v>9467</v>
      </c>
      <c r="D2732" s="5" t="s">
        <v>16862</v>
      </c>
      <c r="E2732" s="5"/>
      <c r="F2732" s="1"/>
      <c r="G2732" s="5" t="s">
        <v>8971</v>
      </c>
      <c r="H2732" s="1"/>
      <c r="I2732" s="1"/>
      <c r="J2732" s="2"/>
      <c r="K2732" s="5" t="s">
        <v>8971</v>
      </c>
      <c r="M2732" s="18"/>
      <c r="N2732" s="1"/>
      <c r="O2732" s="1"/>
      <c r="P2732" s="21" t="str">
        <f>IF(ISNUMBER(MATCH($C2732,StackableKinds,0)), TRUE, "")</f>
        <v/>
      </c>
    </row>
    <row r="2733" spans="1:16" x14ac:dyDescent="0.2">
      <c r="A2733" s="19" t="str">
        <f>_xlfn.IFNA(VLOOKUP($B2733,Keys!$A:$B,2,FALSE),_xlfn.IFNA(VLOOKUP($B2733,Keys!$D:$E,2,FALSE),VLOOKUP($B2733,Keys!$G:$H,2,FALSE)))</f>
        <v>0x0000001F5491F58C</v>
      </c>
      <c r="B2733" s="5" t="s">
        <v>7154</v>
      </c>
      <c r="C2733" s="5" t="s">
        <v>9467</v>
      </c>
      <c r="D2733" s="5" t="s">
        <v>16862</v>
      </c>
      <c r="E2733" s="5"/>
      <c r="F2733" s="1"/>
      <c r="G2733" s="5" t="s">
        <v>8971</v>
      </c>
      <c r="H2733" s="1"/>
      <c r="I2733" s="1"/>
      <c r="J2733" s="2"/>
      <c r="K2733" s="5" t="s">
        <v>8971</v>
      </c>
      <c r="M2733" s="18"/>
      <c r="N2733" s="1"/>
      <c r="O2733" s="1"/>
      <c r="P2733" s="21" t="str">
        <f>IF(ISNUMBER(MATCH($C2733,StackableKinds,0)), TRUE, "")</f>
        <v/>
      </c>
    </row>
    <row r="2734" spans="1:16" x14ac:dyDescent="0.2">
      <c r="A2734" s="19" t="str">
        <f>_xlfn.IFNA(VLOOKUP($B2734,Keys!$A:$B,2,FALSE),_xlfn.IFNA(VLOOKUP($B2734,Keys!$D:$E,2,FALSE),VLOOKUP($B2734,Keys!$G:$H,2,FALSE)))</f>
        <v>0x0000001FAC383A15</v>
      </c>
      <c r="B2734" s="5" t="s">
        <v>7156</v>
      </c>
      <c r="C2734" s="5" t="s">
        <v>9467</v>
      </c>
      <c r="D2734" s="5" t="s">
        <v>16862</v>
      </c>
      <c r="E2734" s="5"/>
      <c r="F2734" s="1"/>
      <c r="G2734" s="5" t="s">
        <v>8971</v>
      </c>
      <c r="H2734" s="1"/>
      <c r="I2734" s="1"/>
      <c r="J2734" s="2"/>
      <c r="K2734" s="5" t="s">
        <v>8971</v>
      </c>
      <c r="M2734" s="18"/>
      <c r="N2734" s="1"/>
      <c r="O2734" s="1"/>
      <c r="P2734" s="21" t="str">
        <f>IF(ISNUMBER(MATCH($C2734,StackableKinds,0)), TRUE, "")</f>
        <v/>
      </c>
    </row>
    <row r="2735" spans="1:16" x14ac:dyDescent="0.2">
      <c r="A2735" s="19" t="str">
        <f>_xlfn.IFNA(VLOOKUP($B2735,Keys!$A:$B,2,FALSE),_xlfn.IFNA(VLOOKUP($B2735,Keys!$D:$E,2,FALSE),VLOOKUP($B2735,Keys!$G:$H,2,FALSE)))</f>
        <v>0x0000001F35316BAF</v>
      </c>
      <c r="B2735" s="5" t="s">
        <v>7158</v>
      </c>
      <c r="C2735" s="5" t="s">
        <v>9467</v>
      </c>
      <c r="D2735" s="5" t="s">
        <v>16862</v>
      </c>
      <c r="E2735" s="5"/>
      <c r="F2735" s="1"/>
      <c r="G2735" s="5" t="s">
        <v>8971</v>
      </c>
      <c r="H2735" s="1"/>
      <c r="I2735" s="1"/>
      <c r="J2735" s="2"/>
      <c r="K2735" s="5" t="s">
        <v>8971</v>
      </c>
      <c r="M2735" s="18"/>
      <c r="N2735" s="1"/>
      <c r="O2735" s="1"/>
      <c r="P2735" s="21" t="str">
        <f>IF(ISNUMBER(MATCH($C2735,StackableKinds,0)), TRUE, "")</f>
        <v/>
      </c>
    </row>
    <row r="2736" spans="1:16" x14ac:dyDescent="0.2">
      <c r="A2736" s="19" t="str">
        <f>_xlfn.IFNA(VLOOKUP($B2736,Keys!$A:$B,2,FALSE),_xlfn.IFNA(VLOOKUP($B2736,Keys!$D:$E,2,FALSE),VLOOKUP($B2736,Keys!$G:$H,2,FALSE)))</f>
        <v>0x0000001F11F256DB</v>
      </c>
      <c r="B2736" s="5" t="s">
        <v>7160</v>
      </c>
      <c r="C2736" s="5" t="s">
        <v>9467</v>
      </c>
      <c r="D2736" s="5" t="s">
        <v>16862</v>
      </c>
      <c r="E2736" s="5"/>
      <c r="F2736" s="1"/>
      <c r="G2736" s="5" t="s">
        <v>8971</v>
      </c>
      <c r="H2736" s="1"/>
      <c r="I2736" s="1"/>
      <c r="J2736" s="2"/>
      <c r="K2736" s="5" t="s">
        <v>8971</v>
      </c>
      <c r="M2736" s="18"/>
      <c r="N2736" s="1"/>
      <c r="O2736" s="1"/>
      <c r="P2736" s="21" t="str">
        <f>IF(ISNUMBER(MATCH($C2736,StackableKinds,0)), TRUE, "")</f>
        <v/>
      </c>
    </row>
    <row r="2737" spans="1:16" x14ac:dyDescent="0.2">
      <c r="A2737" s="19" t="str">
        <f>_xlfn.IFNA(VLOOKUP($B2737,Keys!$A:$B,2,FALSE),_xlfn.IFNA(VLOOKUP($B2737,Keys!$D:$E,2,FALSE),VLOOKUP($B2737,Keys!$G:$H,2,FALSE)))</f>
        <v>0x0000001FCC648F5E</v>
      </c>
      <c r="B2737" s="5" t="s">
        <v>7162</v>
      </c>
      <c r="C2737" s="5" t="s">
        <v>9467</v>
      </c>
      <c r="D2737" s="5" t="s">
        <v>16862</v>
      </c>
      <c r="E2737" s="5"/>
      <c r="F2737" s="1"/>
      <c r="G2737" s="5" t="s">
        <v>8971</v>
      </c>
      <c r="H2737" s="1"/>
      <c r="I2737" s="1"/>
      <c r="J2737" s="2"/>
      <c r="K2737" s="5" t="s">
        <v>8971</v>
      </c>
      <c r="M2737" s="18"/>
      <c r="N2737" s="1"/>
      <c r="O2737" s="1"/>
      <c r="P2737" s="21" t="str">
        <f>IF(ISNUMBER(MATCH($C2737,StackableKinds,0)), TRUE, "")</f>
        <v/>
      </c>
    </row>
    <row r="2738" spans="1:16" x14ac:dyDescent="0.2">
      <c r="A2738" s="19" t="str">
        <f>_xlfn.IFNA(VLOOKUP($B2738,Keys!$A:$B,2,FALSE),_xlfn.IFNA(VLOOKUP($B2738,Keys!$D:$E,2,FALSE),VLOOKUP($B2738,Keys!$G:$H,2,FALSE)))</f>
        <v>0x0000001F556DDEE4</v>
      </c>
      <c r="B2738" s="5" t="s">
        <v>7164</v>
      </c>
      <c r="C2738" s="5" t="s">
        <v>9467</v>
      </c>
      <c r="D2738" s="5" t="s">
        <v>16862</v>
      </c>
      <c r="E2738" s="5"/>
      <c r="F2738" s="1"/>
      <c r="G2738" s="5" t="s">
        <v>8971</v>
      </c>
      <c r="H2738" s="1"/>
      <c r="I2738" s="1"/>
      <c r="J2738" s="2"/>
      <c r="K2738" s="5" t="s">
        <v>8971</v>
      </c>
      <c r="M2738" s="18"/>
      <c r="N2738" s="1"/>
      <c r="O2738" s="1"/>
      <c r="P2738" s="21" t="str">
        <f>IF(ISNUMBER(MATCH($C2738,StackableKinds,0)), TRUE, "")</f>
        <v/>
      </c>
    </row>
    <row r="2739" spans="1:16" x14ac:dyDescent="0.2">
      <c r="A2739" s="19" t="str">
        <f>_xlfn.IFNA(VLOOKUP($B2739,Keys!$A:$B,2,FALSE),_xlfn.IFNA(VLOOKUP($B2739,Keys!$D:$E,2,FALSE),VLOOKUP($B2739,Keys!$G:$H,2,FALSE)))</f>
        <v>0x0000001FB1178906</v>
      </c>
      <c r="B2739" s="5" t="s">
        <v>7166</v>
      </c>
      <c r="C2739" s="5" t="s">
        <v>9467</v>
      </c>
      <c r="D2739" s="5" t="s">
        <v>16862</v>
      </c>
      <c r="E2739" s="5"/>
      <c r="F2739" s="1"/>
      <c r="G2739" s="5" t="s">
        <v>8971</v>
      </c>
      <c r="H2739" s="1"/>
      <c r="I2739" s="1"/>
      <c r="J2739" s="2"/>
      <c r="K2739" s="5" t="s">
        <v>8971</v>
      </c>
      <c r="M2739" s="18"/>
      <c r="N2739" s="1"/>
      <c r="O2739" s="1"/>
      <c r="P2739" s="21" t="str">
        <f>IF(ISNUMBER(MATCH($C2739,StackableKinds,0)), TRUE, "")</f>
        <v/>
      </c>
    </row>
    <row r="2740" spans="1:16" x14ac:dyDescent="0.2">
      <c r="A2740" s="19" t="str">
        <f>_xlfn.IFNA(VLOOKUP($B2740,Keys!$A:$B,2,FALSE),_xlfn.IFNA(VLOOKUP($B2740,Keys!$D:$E,2,FALSE),VLOOKUP($B2740,Keys!$G:$H,2,FALSE)))</f>
        <v>0x0000001F6C815083</v>
      </c>
      <c r="B2740" s="5" t="s">
        <v>7168</v>
      </c>
      <c r="C2740" s="5" t="s">
        <v>9467</v>
      </c>
      <c r="D2740" s="5" t="s">
        <v>16862</v>
      </c>
      <c r="E2740" s="5"/>
      <c r="F2740" s="1"/>
      <c r="G2740" s="5" t="s">
        <v>8971</v>
      </c>
      <c r="H2740" s="1"/>
      <c r="I2740" s="1"/>
      <c r="J2740" s="2"/>
      <c r="K2740" s="5" t="s">
        <v>8971</v>
      </c>
      <c r="M2740" s="18"/>
      <c r="N2740" s="1"/>
      <c r="O2740" s="1"/>
      <c r="P2740" s="21" t="str">
        <f>IF(ISNUMBER(MATCH($C2740,StackableKinds,0)), TRUE, "")</f>
        <v/>
      </c>
    </row>
    <row r="2741" spans="1:16" x14ac:dyDescent="0.2">
      <c r="A2741" s="19" t="str">
        <f>_xlfn.IFNA(VLOOKUP($B2741,Keys!$A:$B,2,FALSE),_xlfn.IFNA(VLOOKUP($B2741,Keys!$D:$E,2,FALSE),VLOOKUP($B2741,Keys!$G:$H,2,FALSE)))</f>
        <v>0x0000001FF5880139</v>
      </c>
      <c r="B2741" s="5" t="s">
        <v>7170</v>
      </c>
      <c r="C2741" s="5" t="s">
        <v>9467</v>
      </c>
      <c r="D2741" s="5" t="s">
        <v>16862</v>
      </c>
      <c r="E2741" s="5"/>
      <c r="F2741" s="1"/>
      <c r="G2741" s="5" t="s">
        <v>8971</v>
      </c>
      <c r="H2741" s="1"/>
      <c r="I2741" s="1"/>
      <c r="J2741" s="2"/>
      <c r="K2741" s="5" t="s">
        <v>8971</v>
      </c>
      <c r="M2741" s="18"/>
      <c r="N2741" s="1"/>
      <c r="O2741" s="1"/>
      <c r="P2741" s="21" t="str">
        <f>IF(ISNUMBER(MATCH($C2741,StackableKinds,0)), TRUE, "")</f>
        <v/>
      </c>
    </row>
    <row r="2742" spans="1:16" x14ac:dyDescent="0.2">
      <c r="A2742" s="19" t="str">
        <f>_xlfn.IFNA(VLOOKUP($B2742,Keys!$A:$B,2,FALSE),_xlfn.IFNA(VLOOKUP($B2742,Keys!$D:$E,2,FALSE),VLOOKUP($B2742,Keys!$G:$H,2,FALSE)))</f>
        <v>0x0000001FD14B3C4D</v>
      </c>
      <c r="B2742" s="5" t="s">
        <v>7172</v>
      </c>
      <c r="C2742" s="5" t="s">
        <v>9467</v>
      </c>
      <c r="D2742" s="5" t="s">
        <v>16862</v>
      </c>
      <c r="E2742" s="5"/>
      <c r="F2742" s="1"/>
      <c r="G2742" s="5" t="s">
        <v>8971</v>
      </c>
      <c r="H2742" s="1"/>
      <c r="I2742" s="1"/>
      <c r="J2742" s="2"/>
      <c r="K2742" s="5" t="s">
        <v>8971</v>
      </c>
      <c r="M2742" s="18"/>
      <c r="N2742" s="1"/>
      <c r="O2742" s="1"/>
      <c r="P2742" s="21" t="str">
        <f>IF(ISNUMBER(MATCH($C2742,StackableKinds,0)), TRUE, "")</f>
        <v/>
      </c>
    </row>
    <row r="2743" spans="1:16" x14ac:dyDescent="0.2">
      <c r="A2743" s="19" t="str">
        <f>_xlfn.IFNA(VLOOKUP($B2743,Keys!$A:$B,2,FALSE),_xlfn.IFNA(VLOOKUP($B2743,Keys!$D:$E,2,FALSE),VLOOKUP($B2743,Keys!$G:$H,2,FALSE)))</f>
        <v>0x0000001F48426DF7</v>
      </c>
      <c r="B2743" s="5" t="s">
        <v>7174</v>
      </c>
      <c r="C2743" s="5" t="s">
        <v>9467</v>
      </c>
      <c r="D2743" s="5" t="s">
        <v>16862</v>
      </c>
      <c r="E2743" s="5"/>
      <c r="F2743" s="1"/>
      <c r="G2743" s="5" t="s">
        <v>8971</v>
      </c>
      <c r="H2743" s="1"/>
      <c r="I2743" s="1"/>
      <c r="J2743" s="2"/>
      <c r="K2743" s="5" t="s">
        <v>8971</v>
      </c>
      <c r="M2743" s="18"/>
      <c r="N2743" s="1"/>
      <c r="O2743" s="1"/>
      <c r="P2743" s="21" t="str">
        <f>IF(ISNUMBER(MATCH($C2743,StackableKinds,0)), TRUE, "")</f>
        <v/>
      </c>
    </row>
    <row r="2744" spans="1:16" x14ac:dyDescent="0.2">
      <c r="A2744" s="19" t="str">
        <f>_xlfn.IFNA(VLOOKUP($B2744,Keys!$A:$B,2,FALSE),_xlfn.IFNA(VLOOKUP($B2744,Keys!$D:$E,2,FALSE),VLOOKUP($B2744,Keys!$G:$H,2,FALSE)))</f>
        <v>0x00000023109A5707</v>
      </c>
      <c r="B2744" s="5" t="s">
        <v>7176</v>
      </c>
      <c r="C2744" s="5" t="s">
        <v>9467</v>
      </c>
      <c r="D2744" s="5" t="s">
        <v>16862</v>
      </c>
      <c r="E2744" s="5"/>
      <c r="F2744" s="1"/>
      <c r="G2744" s="5" t="s">
        <v>8971</v>
      </c>
      <c r="H2744" s="1"/>
      <c r="I2744" s="1"/>
      <c r="J2744" s="2"/>
      <c r="K2744" s="5" t="s">
        <v>8971</v>
      </c>
      <c r="M2744" s="18"/>
      <c r="N2744" s="1"/>
      <c r="O2744" s="1"/>
      <c r="P2744" s="21" t="str">
        <f>IF(ISNUMBER(MATCH($C2744,StackableKinds,0)), TRUE, "")</f>
        <v/>
      </c>
    </row>
    <row r="2745" spans="1:16" x14ac:dyDescent="0.2">
      <c r="A2745" s="19" t="str">
        <f>_xlfn.IFNA(VLOOKUP($B2745,Keys!$A:$B,2,FALSE),_xlfn.IFNA(VLOOKUP($B2745,Keys!$D:$E,2,FALSE),VLOOKUP($B2745,Keys!$G:$H,2,FALSE)))</f>
        <v>0x0000001F0CDDE5C8</v>
      </c>
      <c r="B2745" s="5" t="s">
        <v>7178</v>
      </c>
      <c r="C2745" s="5" t="s">
        <v>9467</v>
      </c>
      <c r="D2745" s="5" t="s">
        <v>16862</v>
      </c>
      <c r="E2745" s="5"/>
      <c r="F2745" s="1"/>
      <c r="G2745" s="5" t="s">
        <v>8971</v>
      </c>
      <c r="H2745" s="1"/>
      <c r="I2745" s="1"/>
      <c r="J2745" s="2"/>
      <c r="K2745" s="5" t="s">
        <v>8971</v>
      </c>
      <c r="M2745" s="18"/>
      <c r="N2745" s="1"/>
      <c r="O2745" s="1"/>
      <c r="P2745" s="21" t="str">
        <f>IF(ISNUMBER(MATCH($C2745,StackableKinds,0)), TRUE, "")</f>
        <v/>
      </c>
    </row>
    <row r="2746" spans="1:16" x14ac:dyDescent="0.2">
      <c r="A2746" s="19" t="str">
        <f>_xlfn.IFNA(VLOOKUP($B2746,Keys!$A:$B,2,FALSE),_xlfn.IFNA(VLOOKUP($B2746,Keys!$D:$E,2,FALSE),VLOOKUP($B2746,Keys!$G:$H,2,FALSE)))</f>
        <v>0x0000001F2BAD30FD</v>
      </c>
      <c r="B2746" s="5" t="s">
        <v>7180</v>
      </c>
      <c r="C2746" s="5" t="s">
        <v>9467</v>
      </c>
      <c r="D2746" s="5" t="s">
        <v>16862</v>
      </c>
      <c r="E2746" s="5"/>
      <c r="F2746" s="1"/>
      <c r="G2746" s="5" t="s">
        <v>8971</v>
      </c>
      <c r="H2746" s="1"/>
      <c r="I2746" s="1"/>
      <c r="J2746" s="2"/>
      <c r="K2746" s="5" t="s">
        <v>8971</v>
      </c>
      <c r="M2746" s="18"/>
      <c r="N2746" s="1"/>
      <c r="O2746" s="1"/>
      <c r="P2746" s="21" t="str">
        <f>IF(ISNUMBER(MATCH($C2746,StackableKinds,0)), TRUE, "")</f>
        <v/>
      </c>
    </row>
    <row r="2747" spans="1:16" x14ac:dyDescent="0.2">
      <c r="A2747" s="19" t="str">
        <f>_xlfn.IFNA(VLOOKUP($B2747,Keys!$A:$B,2,FALSE),_xlfn.IFNA(VLOOKUP($B2747,Keys!$D:$E,2,FALSE),VLOOKUP($B2747,Keys!$G:$H,2,FALSE)))</f>
        <v>0x0000001FB2A46147</v>
      </c>
      <c r="B2747" s="5" t="s">
        <v>7182</v>
      </c>
      <c r="C2747" s="5" t="s">
        <v>9467</v>
      </c>
      <c r="D2747" s="5" t="s">
        <v>16862</v>
      </c>
      <c r="E2747" s="5"/>
      <c r="F2747" s="1"/>
      <c r="G2747" s="5" t="s">
        <v>8971</v>
      </c>
      <c r="H2747" s="1"/>
      <c r="I2747" s="1"/>
      <c r="J2747" s="2"/>
      <c r="K2747" s="5" t="s">
        <v>8971</v>
      </c>
      <c r="M2747" s="18"/>
      <c r="N2747" s="1"/>
      <c r="O2747" s="1"/>
      <c r="P2747" s="21" t="str">
        <f>IF(ISNUMBER(MATCH($C2747,StackableKinds,0)), TRUE, "")</f>
        <v/>
      </c>
    </row>
    <row r="2748" spans="1:16" x14ac:dyDescent="0.2">
      <c r="A2748" s="19" t="str">
        <f>_xlfn.IFNA(VLOOKUP($B2748,Keys!$A:$B,2,FALSE),_xlfn.IFNA(VLOOKUP($B2748,Keys!$D:$E,2,FALSE),VLOOKUP($B2748,Keys!$G:$H,2,FALSE)))</f>
        <v>0x0000001FF63BE978</v>
      </c>
      <c r="B2748" s="5" t="s">
        <v>7184</v>
      </c>
      <c r="C2748" s="5" t="s">
        <v>9467</v>
      </c>
      <c r="D2748" s="5" t="s">
        <v>16862</v>
      </c>
      <c r="E2748" s="5"/>
      <c r="F2748" s="1"/>
      <c r="G2748" s="5" t="s">
        <v>8971</v>
      </c>
      <c r="H2748" s="1"/>
      <c r="I2748" s="1"/>
      <c r="J2748" s="2"/>
      <c r="K2748" s="5" t="s">
        <v>8971</v>
      </c>
      <c r="M2748" s="18"/>
      <c r="N2748" s="1"/>
      <c r="O2748" s="1"/>
      <c r="P2748" s="21" t="str">
        <f>IF(ISNUMBER(MATCH($C2748,StackableKinds,0)), TRUE, "")</f>
        <v/>
      </c>
    </row>
    <row r="2749" spans="1:16" x14ac:dyDescent="0.2">
      <c r="A2749" s="19" t="str">
        <f>_xlfn.IFNA(VLOOKUP($B2749,Keys!$A:$B,2,FALSE),_xlfn.IFNA(VLOOKUP($B2749,Keys!$D:$E,2,FALSE),VLOOKUP($B2749,Keys!$G:$H,2,FALSE)))</f>
        <v>0x0000001F6F32B8C2</v>
      </c>
      <c r="B2749" s="5" t="s">
        <v>7186</v>
      </c>
      <c r="C2749" s="5" t="s">
        <v>9467</v>
      </c>
      <c r="D2749" s="5" t="s">
        <v>16862</v>
      </c>
      <c r="E2749" s="5"/>
      <c r="F2749" s="1"/>
      <c r="G2749" s="5" t="s">
        <v>8971</v>
      </c>
      <c r="H2749" s="1"/>
      <c r="I2749" s="1"/>
      <c r="J2749" s="2"/>
      <c r="K2749" s="5" t="s">
        <v>8971</v>
      </c>
      <c r="M2749" s="18"/>
      <c r="N2749" s="1"/>
      <c r="O2749" s="1"/>
      <c r="P2749" s="21" t="str">
        <f>IF(ISNUMBER(MATCH($C2749,StackableKinds,0)), TRUE, "")</f>
        <v/>
      </c>
    </row>
    <row r="2750" spans="1:16" x14ac:dyDescent="0.2">
      <c r="A2750" s="19" t="str">
        <f>_xlfn.IFNA(VLOOKUP($B2750,Keys!$A:$B,2,FALSE),_xlfn.IFNA(VLOOKUP($B2750,Keys!$D:$E,2,FALSE),VLOOKUP($B2750,Keys!$G:$H,2,FALSE)))</f>
        <v>0x0000001FECA102E6</v>
      </c>
      <c r="B2750" s="5" t="s">
        <v>7188</v>
      </c>
      <c r="C2750" s="5" t="s">
        <v>9467</v>
      </c>
      <c r="D2750" s="5" t="s">
        <v>16862</v>
      </c>
      <c r="E2750" s="5"/>
      <c r="F2750" s="1"/>
      <c r="G2750" s="5" t="s">
        <v>8971</v>
      </c>
      <c r="H2750" s="1"/>
      <c r="I2750" s="1"/>
      <c r="J2750" s="2"/>
      <c r="K2750" s="5" t="s">
        <v>8971</v>
      </c>
      <c r="M2750" s="18"/>
      <c r="N2750" s="1"/>
      <c r="O2750" s="1"/>
      <c r="P2750" s="21" t="str">
        <f>IF(ISNUMBER(MATCH($C2750,StackableKinds,0)), TRUE, "")</f>
        <v/>
      </c>
    </row>
    <row r="2751" spans="1:16" x14ac:dyDescent="0.2">
      <c r="A2751" s="19" t="str">
        <f>_xlfn.IFNA(VLOOKUP($B2751,Keys!$A:$B,2,FALSE),_xlfn.IFNA(VLOOKUP($B2751,Keys!$D:$E,2,FALSE),VLOOKUP($B2751,Keys!$G:$H,2,FALSE)))</f>
        <v>0x0000001F75A8535C</v>
      </c>
      <c r="B2751" s="5" t="s">
        <v>7190</v>
      </c>
      <c r="C2751" s="5" t="s">
        <v>9467</v>
      </c>
      <c r="D2751" s="5" t="s">
        <v>16862</v>
      </c>
      <c r="E2751" s="5"/>
      <c r="F2751" s="1"/>
      <c r="G2751" s="5" t="s">
        <v>8971</v>
      </c>
      <c r="H2751" s="1"/>
      <c r="I2751" s="1"/>
      <c r="J2751" s="2"/>
      <c r="K2751" s="5" t="s">
        <v>8971</v>
      </c>
      <c r="M2751" s="18"/>
      <c r="N2751" s="1"/>
      <c r="O2751" s="1"/>
      <c r="P2751" s="21" t="str">
        <f>IF(ISNUMBER(MATCH($C2751,StackableKinds,0)), TRUE, "")</f>
        <v/>
      </c>
    </row>
    <row r="2752" spans="1:16" x14ac:dyDescent="0.2">
      <c r="A2752" s="19" t="str">
        <f>_xlfn.IFNA(VLOOKUP($B2752,Keys!$A:$B,2,FALSE),_xlfn.IFNA(VLOOKUP($B2752,Keys!$D:$E,2,FALSE),VLOOKUP($B2752,Keys!$G:$H,2,FALSE)))</f>
        <v>0x0000001F3137DB63</v>
      </c>
      <c r="B2752" s="5" t="s">
        <v>7192</v>
      </c>
      <c r="C2752" s="5" t="s">
        <v>9467</v>
      </c>
      <c r="D2752" s="5" t="s">
        <v>16862</v>
      </c>
      <c r="E2752" s="5"/>
      <c r="F2752" s="1"/>
      <c r="G2752" s="5" t="s">
        <v>8971</v>
      </c>
      <c r="H2752" s="1"/>
      <c r="I2752" s="1"/>
      <c r="J2752" s="2"/>
      <c r="K2752" s="5" t="s">
        <v>8971</v>
      </c>
      <c r="M2752" s="18"/>
      <c r="N2752" s="1"/>
      <c r="O2752" s="1"/>
      <c r="P2752" s="21" t="str">
        <f>IF(ISNUMBER(MATCH($C2752,StackableKinds,0)), TRUE, "")</f>
        <v/>
      </c>
    </row>
    <row r="2753" spans="1:16" x14ac:dyDescent="0.2">
      <c r="A2753" s="19" t="str">
        <f>_xlfn.IFNA(VLOOKUP($B2753,Keys!$A:$B,2,FALSE),_xlfn.IFNA(VLOOKUP($B2753,Keys!$D:$E,2,FALSE),VLOOKUP($B2753,Keys!$G:$H,2,FALSE)))</f>
        <v>0x0000001FA83E8AD9</v>
      </c>
      <c r="B2753" s="5" t="s">
        <v>7194</v>
      </c>
      <c r="C2753" s="5" t="s">
        <v>9467</v>
      </c>
      <c r="D2753" s="5" t="s">
        <v>16862</v>
      </c>
      <c r="E2753" s="5"/>
      <c r="F2753" s="1"/>
      <c r="G2753" s="5" t="s">
        <v>8971</v>
      </c>
      <c r="H2753" s="1"/>
      <c r="I2753" s="1"/>
      <c r="J2753" s="2"/>
      <c r="K2753" s="5" t="s">
        <v>8971</v>
      </c>
      <c r="M2753" s="18"/>
      <c r="N2753" s="1"/>
      <c r="O2753" s="1"/>
      <c r="P2753" s="21" t="str">
        <f>IF(ISNUMBER(MATCH($C2753,StackableKinds,0)), TRUE, "")</f>
        <v/>
      </c>
    </row>
    <row r="2754" spans="1:16" x14ac:dyDescent="0.2">
      <c r="A2754" s="19" t="str">
        <f>_xlfn.IFNA(VLOOKUP($B2754,Keys!$A:$B,2,FALSE),_xlfn.IFNA(VLOOKUP($B2754,Keys!$D:$E,2,FALSE),VLOOKUP($B2754,Keys!$G:$H,2,FALSE)))</f>
        <v>0x0000001F8CFDB7AD</v>
      </c>
      <c r="B2754" s="5" t="s">
        <v>7196</v>
      </c>
      <c r="C2754" s="5" t="s">
        <v>9467</v>
      </c>
      <c r="D2754" s="5" t="s">
        <v>16862</v>
      </c>
      <c r="E2754" s="5"/>
      <c r="F2754" s="1"/>
      <c r="G2754" s="5" t="s">
        <v>8971</v>
      </c>
      <c r="H2754" s="1"/>
      <c r="I2754" s="1"/>
      <c r="J2754" s="2"/>
      <c r="K2754" s="5" t="s">
        <v>8971</v>
      </c>
      <c r="M2754" s="18"/>
      <c r="N2754" s="1"/>
      <c r="O2754" s="1"/>
      <c r="P2754" s="21" t="str">
        <f>IF(ISNUMBER(MATCH($C2754,StackableKinds,0)), TRUE, "")</f>
        <v/>
      </c>
    </row>
    <row r="2755" spans="1:16" x14ac:dyDescent="0.2">
      <c r="A2755" s="19" t="str">
        <f>_xlfn.IFNA(VLOOKUP($B2755,Keys!$A:$B,2,FALSE),_xlfn.IFNA(VLOOKUP($B2755,Keys!$D:$E,2,FALSE),VLOOKUP($B2755,Keys!$G:$H,2,FALSE)))</f>
        <v>0x0000001F15F4E617</v>
      </c>
      <c r="B2755" s="5" t="s">
        <v>7198</v>
      </c>
      <c r="C2755" s="5" t="s">
        <v>9467</v>
      </c>
      <c r="D2755" s="5" t="s">
        <v>16862</v>
      </c>
      <c r="E2755" s="5"/>
      <c r="F2755" s="1"/>
      <c r="G2755" s="5" t="s">
        <v>8971</v>
      </c>
      <c r="H2755" s="1"/>
      <c r="I2755" s="1"/>
      <c r="J2755" s="2"/>
      <c r="K2755" s="5" t="s">
        <v>8971</v>
      </c>
      <c r="M2755" s="18"/>
      <c r="N2755" s="1"/>
      <c r="O2755" s="1"/>
      <c r="P2755" s="21" t="str">
        <f>IF(ISNUMBER(MATCH($C2755,StackableKinds,0)), TRUE, "")</f>
        <v/>
      </c>
    </row>
    <row r="2756" spans="1:16" x14ac:dyDescent="0.2">
      <c r="A2756" s="19" t="str">
        <f>_xlfn.IFNA(VLOOKUP($B2756,Keys!$A:$B,2,FALSE),_xlfn.IFNA(VLOOKUP($B2756,Keys!$D:$E,2,FALSE),VLOOKUP($B2756,Keys!$G:$H,2,FALSE)))</f>
        <v>0x0000001F516B6E28</v>
      </c>
      <c r="B2756" s="5" t="s">
        <v>7200</v>
      </c>
      <c r="C2756" s="5" t="s">
        <v>9467</v>
      </c>
      <c r="D2756" s="5" t="s">
        <v>16862</v>
      </c>
      <c r="E2756" s="5"/>
      <c r="F2756" s="1"/>
      <c r="G2756" s="5" t="s">
        <v>8971</v>
      </c>
      <c r="H2756" s="1"/>
      <c r="I2756" s="1"/>
      <c r="J2756" s="2"/>
      <c r="K2756" s="5" t="s">
        <v>8971</v>
      </c>
      <c r="M2756" s="18"/>
      <c r="N2756" s="1"/>
      <c r="O2756" s="1"/>
      <c r="P2756" s="21" t="str">
        <f>IF(ISNUMBER(MATCH($C2756,StackableKinds,0)), TRUE, "")</f>
        <v/>
      </c>
    </row>
    <row r="2757" spans="1:16" x14ac:dyDescent="0.2">
      <c r="A2757" s="19" t="str">
        <f>_xlfn.IFNA(VLOOKUP($B2757,Keys!$A:$B,2,FALSE),_xlfn.IFNA(VLOOKUP($B2757,Keys!$D:$E,2,FALSE),VLOOKUP($B2757,Keys!$G:$H,2,FALSE)))</f>
        <v>0x00000023AC52BA62</v>
      </c>
      <c r="B2757" s="5" t="s">
        <v>7202</v>
      </c>
      <c r="C2757" s="5" t="s">
        <v>9467</v>
      </c>
      <c r="D2757" s="5" t="s">
        <v>16862</v>
      </c>
      <c r="E2757" s="5"/>
      <c r="F2757" s="1"/>
      <c r="G2757" s="5" t="s">
        <v>8971</v>
      </c>
      <c r="H2757" s="1"/>
      <c r="I2757" s="1"/>
      <c r="J2757" s="2"/>
      <c r="K2757" s="5" t="s">
        <v>8971</v>
      </c>
      <c r="M2757" s="18"/>
      <c r="N2757" s="1"/>
      <c r="O2757" s="1"/>
      <c r="P2757" s="21" t="str">
        <f>IF(ISNUMBER(MATCH($C2757,StackableKinds,0)), TRUE, "")</f>
        <v/>
      </c>
    </row>
    <row r="2758" spans="1:16" x14ac:dyDescent="0.2">
      <c r="A2758" s="19" t="str">
        <f>_xlfn.IFNA(VLOOKUP($B2758,Keys!$A:$B,2,FALSE),_xlfn.IFNA(VLOOKUP($B2758,Keys!$D:$E,2,FALSE),VLOOKUP($B2758,Keys!$G:$H,2,FALSE)))</f>
        <v>0x0000001F2C186870</v>
      </c>
      <c r="B2758" s="5" t="s">
        <v>7204</v>
      </c>
      <c r="C2758" s="5" t="s">
        <v>9467</v>
      </c>
      <c r="D2758" s="5" t="s">
        <v>16862</v>
      </c>
      <c r="E2758" s="5"/>
      <c r="F2758" s="1"/>
      <c r="G2758" s="5" t="s">
        <v>8971</v>
      </c>
      <c r="H2758" s="1"/>
      <c r="I2758" s="1"/>
      <c r="J2758" s="2"/>
      <c r="K2758" s="5" t="s">
        <v>8971</v>
      </c>
      <c r="M2758" s="18"/>
      <c r="N2758" s="1"/>
      <c r="O2758" s="1"/>
      <c r="P2758" s="21" t="str">
        <f>IF(ISNUMBER(MATCH($C2758,StackableKinds,0)), TRUE, "")</f>
        <v/>
      </c>
    </row>
    <row r="2759" spans="1:16" x14ac:dyDescent="0.2">
      <c r="A2759" s="19" t="str">
        <f>_xlfn.IFNA(VLOOKUP($B2759,Keys!$A:$B,2,FALSE),_xlfn.IFNA(VLOOKUP($B2759,Keys!$D:$E,2,FALSE),VLOOKUP($B2759,Keys!$G:$H,2,FALSE)))</f>
        <v>0x0000001FB51139CA</v>
      </c>
      <c r="B2759" s="5" t="s">
        <v>7206</v>
      </c>
      <c r="C2759" s="5" t="s">
        <v>9467</v>
      </c>
      <c r="D2759" s="5" t="s">
        <v>16862</v>
      </c>
      <c r="E2759" s="5"/>
      <c r="F2759" s="1"/>
      <c r="G2759" s="5" t="s">
        <v>8971</v>
      </c>
      <c r="H2759" s="1"/>
      <c r="I2759" s="1"/>
      <c r="J2759" s="2"/>
      <c r="K2759" s="5" t="s">
        <v>8971</v>
      </c>
      <c r="M2759" s="18"/>
      <c r="N2759" s="1"/>
      <c r="O2759" s="1"/>
      <c r="P2759" s="21" t="str">
        <f>IF(ISNUMBER(MATCH($C2759,StackableKinds,0)), TRUE, "")</f>
        <v/>
      </c>
    </row>
    <row r="2760" spans="1:16" x14ac:dyDescent="0.2">
      <c r="A2760" s="19" t="str">
        <f>_xlfn.IFNA(VLOOKUP($B2760,Keys!$A:$B,2,FALSE),_xlfn.IFNA(VLOOKUP($B2760,Keys!$D:$E,2,FALSE),VLOOKUP($B2760,Keys!$G:$H,2,FALSE)))</f>
        <v>0x0000001F61E3B8EB</v>
      </c>
      <c r="B2760" s="5" t="s">
        <v>7210</v>
      </c>
      <c r="C2760" s="5" t="s">
        <v>9467</v>
      </c>
      <c r="D2760" s="5" t="s">
        <v>16862</v>
      </c>
      <c r="E2760" s="5"/>
      <c r="F2760" s="1"/>
      <c r="G2760" s="5" t="s">
        <v>8971</v>
      </c>
      <c r="H2760" s="1"/>
      <c r="I2760" s="1"/>
      <c r="J2760" s="2"/>
      <c r="K2760" s="5" t="s">
        <v>8971</v>
      </c>
      <c r="M2760" s="18"/>
      <c r="N2760" s="1"/>
      <c r="O2760" s="1"/>
      <c r="P2760" s="21" t="str">
        <f>IF(ISNUMBER(MATCH($C2760,StackableKinds,0)), TRUE, "")</f>
        <v/>
      </c>
    </row>
    <row r="2761" spans="1:16" x14ac:dyDescent="0.2">
      <c r="A2761" s="19" t="str">
        <f>_xlfn.IFNA(VLOOKUP($B2761,Keys!$A:$B,2,FALSE),_xlfn.IFNA(VLOOKUP($B2761,Keys!$D:$E,2,FALSE),VLOOKUP($B2761,Keys!$G:$H,2,FALSE)))</f>
        <v>0x0000001F16E4887D</v>
      </c>
      <c r="B2761" s="5" t="s">
        <v>7212</v>
      </c>
      <c r="C2761" s="5" t="s">
        <v>9467</v>
      </c>
      <c r="D2761" s="5" t="s">
        <v>16862</v>
      </c>
      <c r="E2761" s="5"/>
      <c r="F2761" s="1"/>
      <c r="G2761" s="5" t="s">
        <v>8971</v>
      </c>
      <c r="H2761" s="1"/>
      <c r="I2761" s="1"/>
      <c r="J2761" s="2"/>
      <c r="K2761" s="5" t="s">
        <v>8971</v>
      </c>
      <c r="M2761" s="18"/>
      <c r="N2761" s="1"/>
      <c r="O2761" s="1"/>
      <c r="P2761" s="21" t="str">
        <f>IF(ISNUMBER(MATCH($C2761,StackableKinds,0)), TRUE, "")</f>
        <v/>
      </c>
    </row>
    <row r="2762" spans="1:16" x14ac:dyDescent="0.2">
      <c r="A2762" s="19" t="str">
        <f>_xlfn.IFNA(VLOOKUP($B2762,Keys!$A:$B,2,FALSE),_xlfn.IFNA(VLOOKUP($B2762,Keys!$D:$E,2,FALSE),VLOOKUP($B2762,Keys!$G:$H,2,FALSE)))</f>
        <v>0x0000001F4520859F</v>
      </c>
      <c r="B2762" s="5" t="s">
        <v>7214</v>
      </c>
      <c r="C2762" s="5" t="s">
        <v>9467</v>
      </c>
      <c r="D2762" s="5" t="s">
        <v>16862</v>
      </c>
      <c r="E2762" s="5"/>
      <c r="F2762" s="1"/>
      <c r="G2762" s="5" t="s">
        <v>8971</v>
      </c>
      <c r="H2762" s="1"/>
      <c r="I2762" s="1"/>
      <c r="J2762" s="2"/>
      <c r="K2762" s="5" t="s">
        <v>8971</v>
      </c>
      <c r="M2762" s="18"/>
      <c r="N2762" s="1"/>
      <c r="O2762" s="1"/>
      <c r="P2762" s="21" t="str">
        <f>IF(ISNUMBER(MATCH($C2762,StackableKinds,0)), TRUE, "")</f>
        <v/>
      </c>
    </row>
    <row r="2763" spans="1:16" x14ac:dyDescent="0.2">
      <c r="A2763" s="19" t="str">
        <f>_xlfn.IFNA(VLOOKUP($B2763,Keys!$A:$B,2,FALSE),_xlfn.IFNA(VLOOKUP($B2763,Keys!$D:$E,2,FALSE),VLOOKUP($B2763,Keys!$G:$H,2,FALSE)))</f>
        <v>0x0000001FDC29D425</v>
      </c>
      <c r="B2763" s="5" t="s">
        <v>7216</v>
      </c>
      <c r="C2763" s="5" t="s">
        <v>9467</v>
      </c>
      <c r="D2763" s="5" t="s">
        <v>16862</v>
      </c>
      <c r="E2763" s="5"/>
      <c r="F2763" s="1"/>
      <c r="G2763" s="5" t="s">
        <v>8971</v>
      </c>
      <c r="H2763" s="1"/>
      <c r="I2763" s="1"/>
      <c r="J2763" s="2"/>
      <c r="K2763" s="5" t="s">
        <v>8971</v>
      </c>
      <c r="M2763" s="18"/>
      <c r="N2763" s="1"/>
      <c r="O2763" s="1"/>
      <c r="P2763" s="21" t="str">
        <f>IF(ISNUMBER(MATCH($C2763,StackableKinds,0)), TRUE, "")</f>
        <v/>
      </c>
    </row>
    <row r="2764" spans="1:16" x14ac:dyDescent="0.2">
      <c r="A2764" s="19" t="str">
        <f>_xlfn.IFNA(VLOOKUP($B2764,Keys!$A:$B,2,FALSE),_xlfn.IFNA(VLOOKUP($B2764,Keys!$D:$E,2,FALSE),VLOOKUP($B2764,Keys!$G:$H,2,FALSE)))</f>
        <v>0x0000001F98B65C1A</v>
      </c>
      <c r="B2764" s="5" t="s">
        <v>7218</v>
      </c>
      <c r="C2764" s="5" t="s">
        <v>9467</v>
      </c>
      <c r="D2764" s="5" t="s">
        <v>16862</v>
      </c>
      <c r="E2764" s="5"/>
      <c r="F2764" s="1"/>
      <c r="G2764" s="5" t="s">
        <v>8971</v>
      </c>
      <c r="H2764" s="1"/>
      <c r="I2764" s="1"/>
      <c r="J2764" s="2"/>
      <c r="K2764" s="5" t="s">
        <v>8971</v>
      </c>
      <c r="M2764" s="18"/>
      <c r="N2764" s="1"/>
      <c r="O2764" s="1"/>
      <c r="P2764" s="21" t="str">
        <f>IF(ISNUMBER(MATCH($C2764,StackableKinds,0)), TRUE, "")</f>
        <v/>
      </c>
    </row>
    <row r="2765" spans="1:16" x14ac:dyDescent="0.2">
      <c r="A2765" s="19" t="str">
        <f>_xlfn.IFNA(VLOOKUP($B2765,Keys!$A:$B,2,FALSE),_xlfn.IFNA(VLOOKUP($B2765,Keys!$D:$E,2,FALSE),VLOOKUP($B2765,Keys!$G:$H,2,FALSE)))</f>
        <v>0x0000001FE5C55A42</v>
      </c>
      <c r="B2765" s="5" t="s">
        <v>7220</v>
      </c>
      <c r="C2765" s="5" t="s">
        <v>9467</v>
      </c>
      <c r="D2765" s="5" t="s">
        <v>16862</v>
      </c>
      <c r="E2765" s="5"/>
      <c r="F2765" s="1"/>
      <c r="G2765" s="5" t="s">
        <v>8971</v>
      </c>
      <c r="H2765" s="1"/>
      <c r="I2765" s="1"/>
      <c r="J2765" s="2"/>
      <c r="K2765" s="5" t="s">
        <v>8971</v>
      </c>
      <c r="M2765" s="18"/>
      <c r="N2765" s="1"/>
      <c r="O2765" s="1"/>
      <c r="P2765" s="21" t="str">
        <f>IF(ISNUMBER(MATCH($C2765,StackableKinds,0)), TRUE, "")</f>
        <v/>
      </c>
    </row>
    <row r="2766" spans="1:16" x14ac:dyDescent="0.2">
      <c r="A2766" s="19" t="str">
        <f>_xlfn.IFNA(VLOOKUP($B2766,Keys!$A:$B,2,FALSE),_xlfn.IFNA(VLOOKUP($B2766,Keys!$D:$E,2,FALSE),VLOOKUP($B2766,Keys!$G:$H,2,FALSE)))</f>
        <v>0x0000001F385383C7</v>
      </c>
      <c r="B2766" s="5" t="s">
        <v>7222</v>
      </c>
      <c r="C2766" s="5" t="s">
        <v>9467</v>
      </c>
      <c r="D2766" s="5" t="s">
        <v>16862</v>
      </c>
      <c r="E2766" s="5"/>
      <c r="F2766" s="1"/>
      <c r="G2766" s="5" t="s">
        <v>8971</v>
      </c>
      <c r="H2766" s="1"/>
      <c r="I2766" s="1"/>
      <c r="J2766" s="2"/>
      <c r="K2766" s="5" t="s">
        <v>8971</v>
      </c>
      <c r="M2766" s="18"/>
      <c r="N2766" s="1"/>
      <c r="O2766" s="1"/>
      <c r="P2766" s="21" t="str">
        <f>IF(ISNUMBER(MATCH($C2766,StackableKinds,0)), TRUE, "")</f>
        <v/>
      </c>
    </row>
    <row r="2767" spans="1:16" x14ac:dyDescent="0.2">
      <c r="A2767" s="19" t="str">
        <f>_xlfn.IFNA(VLOOKUP($B2767,Keys!$A:$B,2,FALSE),_xlfn.IFNA(VLOOKUP($B2767,Keys!$D:$E,2,FALSE),VLOOKUP($B2767,Keys!$G:$H,2,FALSE)))</f>
        <v>0x0000001FA15AD27D</v>
      </c>
      <c r="B2767" s="5" t="s">
        <v>7224</v>
      </c>
      <c r="C2767" s="5" t="s">
        <v>9467</v>
      </c>
      <c r="D2767" s="5" t="s">
        <v>16862</v>
      </c>
      <c r="E2767" s="5"/>
      <c r="F2767" s="1"/>
      <c r="G2767" s="5" t="s">
        <v>8971</v>
      </c>
      <c r="H2767" s="1"/>
      <c r="I2767" s="1"/>
      <c r="J2767" s="2"/>
      <c r="K2767" s="5" t="s">
        <v>8971</v>
      </c>
      <c r="M2767" s="18"/>
      <c r="N2767" s="1"/>
      <c r="O2767" s="1"/>
      <c r="P2767" s="21" t="str">
        <f>IF(ISNUMBER(MATCH($C2767,StackableKinds,0)), TRUE, "")</f>
        <v/>
      </c>
    </row>
    <row r="2768" spans="1:16" x14ac:dyDescent="0.2">
      <c r="A2768" s="19" t="str">
        <f>_xlfn.IFNA(VLOOKUP($B2768,Keys!$A:$B,2,FALSE),_xlfn.IFNA(VLOOKUP($B2768,Keys!$D:$E,2,FALSE),VLOOKUP($B2768,Keys!$G:$H,2,FALSE)))</f>
        <v>0x0000001F8599EF09</v>
      </c>
      <c r="B2768" s="5" t="s">
        <v>7226</v>
      </c>
      <c r="C2768" s="5" t="s">
        <v>9467</v>
      </c>
      <c r="D2768" s="5" t="s">
        <v>16862</v>
      </c>
      <c r="E2768" s="5"/>
      <c r="F2768" s="1"/>
      <c r="G2768" s="5" t="s">
        <v>8971</v>
      </c>
      <c r="H2768" s="1"/>
      <c r="I2768" s="1"/>
      <c r="J2768" s="2"/>
      <c r="K2768" s="5" t="s">
        <v>8971</v>
      </c>
      <c r="M2768" s="18"/>
      <c r="N2768" s="1"/>
      <c r="O2768" s="1"/>
      <c r="P2768" s="21" t="str">
        <f>IF(ISNUMBER(MATCH($C2768,StackableKinds,0)), TRUE, "")</f>
        <v/>
      </c>
    </row>
    <row r="2769" spans="1:16" x14ac:dyDescent="0.2">
      <c r="A2769" s="19" t="str">
        <f>_xlfn.IFNA(VLOOKUP($B2769,Keys!$A:$B,2,FALSE),_xlfn.IFNA(VLOOKUP($B2769,Keys!$D:$E,2,FALSE),VLOOKUP($B2769,Keys!$G:$H,2,FALSE)))</f>
        <v>0x0000001F580F368C</v>
      </c>
      <c r="B2769" s="5" t="s">
        <v>7228</v>
      </c>
      <c r="C2769" s="5" t="s">
        <v>9467</v>
      </c>
      <c r="D2769" s="5" t="s">
        <v>16862</v>
      </c>
      <c r="E2769" s="5"/>
      <c r="F2769" s="1"/>
      <c r="G2769" s="5" t="s">
        <v>8971</v>
      </c>
      <c r="H2769" s="1"/>
      <c r="I2769" s="1"/>
      <c r="J2769" s="2"/>
      <c r="K2769" s="5" t="s">
        <v>8971</v>
      </c>
      <c r="M2769" s="18"/>
      <c r="N2769" s="1"/>
      <c r="O2769" s="1"/>
      <c r="P2769" s="21" t="str">
        <f>IF(ISNUMBER(MATCH($C2769,StackableKinds,0)), TRUE, "")</f>
        <v/>
      </c>
    </row>
    <row r="2770" spans="1:16" x14ac:dyDescent="0.2">
      <c r="A2770" s="19" t="str">
        <f>_xlfn.IFNA(VLOOKUP($B2770,Keys!$A:$B,2,FALSE),_xlfn.IFNA(VLOOKUP($B2770,Keys!$D:$E,2,FALSE),VLOOKUP($B2770,Keys!$G:$H,2,FALSE)))</f>
        <v>0x0000001FC1066736</v>
      </c>
      <c r="B2770" s="5" t="s">
        <v>7230</v>
      </c>
      <c r="C2770" s="5" t="s">
        <v>9467</v>
      </c>
      <c r="D2770" s="5" t="s">
        <v>16862</v>
      </c>
      <c r="E2770" s="5"/>
      <c r="F2770" s="1"/>
      <c r="G2770" s="5" t="s">
        <v>8971</v>
      </c>
      <c r="H2770" s="1"/>
      <c r="I2770" s="1"/>
      <c r="J2770" s="2"/>
      <c r="K2770" s="5" t="s">
        <v>8971</v>
      </c>
      <c r="M2770" s="18"/>
      <c r="N2770" s="1"/>
      <c r="O2770" s="1"/>
      <c r="P2770" s="21" t="str">
        <f>IF(ISNUMBER(MATCH($C2770,StackableKinds,0)), TRUE, "")</f>
        <v/>
      </c>
    </row>
    <row r="2771" spans="1:16" x14ac:dyDescent="0.2">
      <c r="A2771" s="19" t="str">
        <f>_xlfn.IFNA(VLOOKUP($B2771,Keys!$A:$B,2,FALSE),_xlfn.IFNA(VLOOKUP($B2771,Keys!$D:$E,2,FALSE),VLOOKUP($B2771,Keys!$G:$H,2,FALSE)))</f>
        <v>0x0000001F7F7FE3B9</v>
      </c>
      <c r="B2771" s="5" t="s">
        <v>7232</v>
      </c>
      <c r="C2771" s="5" t="s">
        <v>9467</v>
      </c>
      <c r="D2771" s="5" t="s">
        <v>16862</v>
      </c>
      <c r="E2771" s="5"/>
      <c r="F2771" s="1"/>
      <c r="G2771" s="5" t="s">
        <v>8971</v>
      </c>
      <c r="H2771" s="1"/>
      <c r="I2771" s="1"/>
      <c r="J2771" s="2"/>
      <c r="K2771" s="5" t="s">
        <v>8971</v>
      </c>
      <c r="M2771" s="18"/>
      <c r="N2771" s="1"/>
      <c r="O2771" s="1"/>
      <c r="P2771" s="21" t="str">
        <f>IF(ISNUMBER(MATCH($C2771,StackableKinds,0)), TRUE, "")</f>
        <v/>
      </c>
    </row>
    <row r="2772" spans="1:16" x14ac:dyDescent="0.2">
      <c r="A2772" s="19" t="str">
        <f>_xlfn.IFNA(VLOOKUP($B2772,Keys!$A:$B,2,FALSE),_xlfn.IFNA(VLOOKUP($B2772,Keys!$D:$E,2,FALSE),VLOOKUP($B2772,Keys!$G:$H,2,FALSE)))</f>
        <v>0x0000001FA2E93A3C</v>
      </c>
      <c r="B2772" s="5" t="s">
        <v>7234</v>
      </c>
      <c r="C2772" s="5" t="s">
        <v>9467</v>
      </c>
      <c r="D2772" s="5" t="s">
        <v>16862</v>
      </c>
      <c r="E2772" s="5"/>
      <c r="F2772" s="1"/>
      <c r="G2772" s="5" t="s">
        <v>8971</v>
      </c>
      <c r="H2772" s="1"/>
      <c r="I2772" s="1"/>
      <c r="J2772" s="2"/>
      <c r="K2772" s="5" t="s">
        <v>8971</v>
      </c>
      <c r="M2772" s="18"/>
      <c r="N2772" s="1"/>
      <c r="O2772" s="1"/>
      <c r="P2772" s="21" t="str">
        <f>IF(ISNUMBER(MATCH($C2772,StackableKinds,0)), TRUE, "")</f>
        <v/>
      </c>
    </row>
    <row r="2773" spans="1:16" x14ac:dyDescent="0.2">
      <c r="A2773" s="19" t="str">
        <f>_xlfn.IFNA(VLOOKUP($B2773,Keys!$A:$B,2,FALSE),_xlfn.IFNA(VLOOKUP($B2773,Keys!$D:$E,2,FALSE),VLOOKUP($B2773,Keys!$G:$H,2,FALSE)))</f>
        <v>0x000000239BEBEBDE</v>
      </c>
      <c r="B2773" s="5" t="s">
        <v>7236</v>
      </c>
      <c r="C2773" s="5" t="s">
        <v>9467</v>
      </c>
      <c r="D2773" s="5" t="s">
        <v>16862</v>
      </c>
      <c r="E2773" s="5"/>
      <c r="F2773" s="1"/>
      <c r="G2773" s="5" t="s">
        <v>8971</v>
      </c>
      <c r="H2773" s="1"/>
      <c r="I2773" s="1"/>
      <c r="J2773" s="2"/>
      <c r="K2773" s="5" t="s">
        <v>8971</v>
      </c>
      <c r="M2773" s="18"/>
      <c r="N2773" s="1"/>
      <c r="O2773" s="1"/>
      <c r="P2773" s="21" t="str">
        <f>IF(ISNUMBER(MATCH($C2773,StackableKinds,0)), TRUE, "")</f>
        <v/>
      </c>
    </row>
    <row r="2774" spans="1:16" x14ac:dyDescent="0.2">
      <c r="A2774" s="19" t="str">
        <f>_xlfn.IFNA(VLOOKUP($B2774,Keys!$A:$B,2,FALSE),_xlfn.IFNA(VLOOKUP($B2774,Keys!$D:$E,2,FALSE),VLOOKUP($B2774,Keys!$G:$H,2,FALSE)))</f>
        <v>0x0000001FB873D1A2</v>
      </c>
      <c r="B2774" s="5" t="s">
        <v>7238</v>
      </c>
      <c r="C2774" s="5" t="s">
        <v>9467</v>
      </c>
      <c r="D2774" s="5" t="s">
        <v>16862</v>
      </c>
      <c r="E2774" s="5"/>
      <c r="F2774" s="1"/>
      <c r="G2774" s="5" t="s">
        <v>8971</v>
      </c>
      <c r="H2774" s="1"/>
      <c r="I2774" s="1"/>
      <c r="J2774" s="2"/>
      <c r="K2774" s="5" t="s">
        <v>8971</v>
      </c>
      <c r="M2774" s="18"/>
      <c r="N2774" s="1"/>
      <c r="O2774" s="1"/>
      <c r="P2774" s="21" t="str">
        <f>IF(ISNUMBER(MATCH($C2774,StackableKinds,0)), TRUE, "")</f>
        <v/>
      </c>
    </row>
    <row r="2775" spans="1:16" x14ac:dyDescent="0.2">
      <c r="A2775" s="19" t="str">
        <f>_xlfn.IFNA(VLOOKUP($B2775,Keys!$A:$B,2,FALSE),_xlfn.IFNA(VLOOKUP($B2775,Keys!$D:$E,2,FALSE),VLOOKUP($B2775,Keys!$G:$H,2,FALSE)))</f>
        <v>0x0000001F217A8018</v>
      </c>
      <c r="B2775" s="5" t="s">
        <v>7240</v>
      </c>
      <c r="C2775" s="5" t="s">
        <v>9467</v>
      </c>
      <c r="D2775" s="5" t="s">
        <v>16862</v>
      </c>
      <c r="E2775" s="5"/>
      <c r="F2775" s="1"/>
      <c r="G2775" s="5" t="s">
        <v>8971</v>
      </c>
      <c r="H2775" s="1"/>
      <c r="I2775" s="1"/>
      <c r="J2775" s="2"/>
      <c r="K2775" s="5" t="s">
        <v>8971</v>
      </c>
      <c r="M2775" s="18"/>
      <c r="N2775" s="1"/>
      <c r="O2775" s="1"/>
      <c r="P2775" s="21" t="str">
        <f>IF(ISNUMBER(MATCH($C2775,StackableKinds,0)), TRUE, "")</f>
        <v/>
      </c>
    </row>
    <row r="2776" spans="1:16" x14ac:dyDescent="0.2">
      <c r="A2776" s="19" t="str">
        <f>_xlfn.IFNA(VLOOKUP($B2776,Keys!$A:$B,2,FALSE),_xlfn.IFNA(VLOOKUP($B2776,Keys!$D:$E,2,FALSE),VLOOKUP($B2776,Keys!$G:$H,2,FALSE)))</f>
        <v>0x0000001F65E50827</v>
      </c>
      <c r="B2776" s="5" t="s">
        <v>7242</v>
      </c>
      <c r="C2776" s="5" t="s">
        <v>9467</v>
      </c>
      <c r="D2776" s="5" t="s">
        <v>16862</v>
      </c>
      <c r="E2776" s="5"/>
      <c r="F2776" s="1"/>
      <c r="G2776" s="5" t="s">
        <v>8971</v>
      </c>
      <c r="H2776" s="1"/>
      <c r="I2776" s="1"/>
      <c r="J2776" s="2"/>
      <c r="K2776" s="5" t="s">
        <v>8971</v>
      </c>
      <c r="M2776" s="18"/>
      <c r="N2776" s="1"/>
      <c r="O2776" s="1"/>
      <c r="P2776" s="21" t="str">
        <f>IF(ISNUMBER(MATCH($C2776,StackableKinds,0)), TRUE, "")</f>
        <v/>
      </c>
    </row>
    <row r="2777" spans="1:16" x14ac:dyDescent="0.2">
      <c r="A2777" s="19" t="str">
        <f>_xlfn.IFNA(VLOOKUP($B2777,Keys!$A:$B,2,FALSE),_xlfn.IFNA(VLOOKUP($B2777,Keys!$D:$E,2,FALSE),VLOOKUP($B2777,Keys!$G:$H,2,FALSE)))</f>
        <v>0x0000001FD82F64E9</v>
      </c>
      <c r="B2777" s="5" t="s">
        <v>7244</v>
      </c>
      <c r="C2777" s="5" t="s">
        <v>9467</v>
      </c>
      <c r="D2777" s="5" t="s">
        <v>16862</v>
      </c>
      <c r="E2777" s="5"/>
      <c r="F2777" s="1"/>
      <c r="G2777" s="5" t="s">
        <v>8971</v>
      </c>
      <c r="H2777" s="1"/>
      <c r="I2777" s="1"/>
      <c r="J2777" s="2"/>
      <c r="K2777" s="5" t="s">
        <v>8971</v>
      </c>
      <c r="M2777" s="18"/>
      <c r="N2777" s="1"/>
      <c r="O2777" s="1"/>
      <c r="P2777" s="21" t="str">
        <f>IF(ISNUMBER(MATCH($C2777,StackableKinds,0)), TRUE, "")</f>
        <v/>
      </c>
    </row>
    <row r="2778" spans="1:16" x14ac:dyDescent="0.2">
      <c r="A2778" s="19" t="str">
        <f>_xlfn.IFNA(VLOOKUP($B2778,Keys!$A:$B,2,FALSE),_xlfn.IFNA(VLOOKUP($B2778,Keys!$D:$E,2,FALSE),VLOOKUP($B2778,Keys!$G:$H,2,FALSE)))</f>
        <v>0x0000001F41263553</v>
      </c>
      <c r="B2778" s="5" t="s">
        <v>7246</v>
      </c>
      <c r="C2778" s="5" t="s">
        <v>9467</v>
      </c>
      <c r="D2778" s="5" t="s">
        <v>16862</v>
      </c>
      <c r="E2778" s="5"/>
      <c r="F2778" s="1"/>
      <c r="G2778" s="5" t="s">
        <v>8971</v>
      </c>
      <c r="H2778" s="1"/>
      <c r="I2778" s="1"/>
      <c r="J2778" s="2"/>
      <c r="K2778" s="5" t="s">
        <v>8971</v>
      </c>
      <c r="M2778" s="18"/>
      <c r="N2778" s="1"/>
      <c r="O2778" s="1"/>
      <c r="P2778" s="21" t="str">
        <f>IF(ISNUMBER(MATCH($C2778,StackableKinds,0)), TRUE, "")</f>
        <v/>
      </c>
    </row>
    <row r="2779" spans="1:16" x14ac:dyDescent="0.2">
      <c r="A2779" s="19" t="str">
        <f>_xlfn.IFNA(VLOOKUP($B2779,Keys!$A:$B,2,FALSE),_xlfn.IFNA(VLOOKUP($B2779,Keys!$D:$E,2,FALSE),VLOOKUP($B2779,Keys!$G:$H,2,FALSE)))</f>
        <v>0x0000001F05B9BD6C</v>
      </c>
      <c r="B2779" s="5" t="s">
        <v>7248</v>
      </c>
      <c r="C2779" s="5" t="s">
        <v>9467</v>
      </c>
      <c r="D2779" s="5" t="s">
        <v>16862</v>
      </c>
      <c r="E2779" s="5"/>
      <c r="F2779" s="1"/>
      <c r="G2779" s="5" t="s">
        <v>8971</v>
      </c>
      <c r="H2779" s="1"/>
      <c r="I2779" s="1"/>
      <c r="J2779" s="2"/>
      <c r="K2779" s="5" t="s">
        <v>8971</v>
      </c>
      <c r="M2779" s="18"/>
      <c r="N2779" s="1"/>
      <c r="O2779" s="1"/>
      <c r="P2779" s="21" t="str">
        <f>IF(ISNUMBER(MATCH($C2779,StackableKinds,0)), TRUE, "")</f>
        <v/>
      </c>
    </row>
    <row r="2780" spans="1:16" x14ac:dyDescent="0.2">
      <c r="A2780" s="19" t="str">
        <f>_xlfn.IFNA(VLOOKUP($B2780,Keys!$A:$B,2,FALSE),_xlfn.IFNA(VLOOKUP($B2780,Keys!$D:$E,2,FALSE),VLOOKUP($B2780,Keys!$G:$H,2,FALSE)))</f>
        <v>0x0000001F9CB0ECD6</v>
      </c>
      <c r="B2780" s="5" t="s">
        <v>7250</v>
      </c>
      <c r="C2780" s="5" t="s">
        <v>9467</v>
      </c>
      <c r="D2780" s="5" t="s">
        <v>16862</v>
      </c>
      <c r="E2780" s="5"/>
      <c r="F2780" s="1"/>
      <c r="G2780" s="5" t="s">
        <v>8971</v>
      </c>
      <c r="H2780" s="1"/>
      <c r="I2780" s="1"/>
      <c r="J2780" s="2"/>
      <c r="K2780" s="5" t="s">
        <v>8971</v>
      </c>
      <c r="M2780" s="18"/>
      <c r="N2780" s="1"/>
      <c r="O2780" s="1"/>
      <c r="P2780" s="21" t="str">
        <f>IF(ISNUMBER(MATCH($C2780,StackableKinds,0)), TRUE, "")</f>
        <v/>
      </c>
    </row>
    <row r="2781" spans="1:16" x14ac:dyDescent="0.2">
      <c r="A2781" s="19" t="str">
        <f>_xlfn.IFNA(VLOOKUP($B2781,Keys!$A:$B,2,FALSE),_xlfn.IFNA(VLOOKUP($B2781,Keys!$D:$E,2,FALSE),VLOOKUP($B2781,Keys!$G:$H,2,FALSE)))</f>
        <v>0x0000001F78CABB34</v>
      </c>
      <c r="B2781" s="5" t="s">
        <v>7252</v>
      </c>
      <c r="C2781" s="5" t="s">
        <v>9467</v>
      </c>
      <c r="D2781" s="5" t="s">
        <v>16862</v>
      </c>
      <c r="E2781" s="5"/>
      <c r="F2781" s="1"/>
      <c r="G2781" s="5" t="s">
        <v>8971</v>
      </c>
      <c r="H2781" s="1"/>
      <c r="I2781" s="1"/>
      <c r="J2781" s="2"/>
      <c r="K2781" s="5" t="s">
        <v>8971</v>
      </c>
      <c r="M2781" s="18"/>
      <c r="N2781" s="1"/>
      <c r="O2781" s="1"/>
      <c r="P2781" s="21" t="str">
        <f>IF(ISNUMBER(MATCH($C2781,StackableKinds,0)), TRUE, "")</f>
        <v/>
      </c>
    </row>
    <row r="2782" spans="1:16" x14ac:dyDescent="0.2">
      <c r="A2782" s="19" t="str">
        <f>_xlfn.IFNA(VLOOKUP($B2782,Keys!$A:$B,2,FALSE),_xlfn.IFNA(VLOOKUP($B2782,Keys!$D:$E,2,FALSE),VLOOKUP($B2782,Keys!$G:$H,2,FALSE)))</f>
        <v>0x0000001FE1C3EA8E</v>
      </c>
      <c r="B2782" s="5" t="s">
        <v>7254</v>
      </c>
      <c r="C2782" s="5" t="s">
        <v>9467</v>
      </c>
      <c r="D2782" s="5" t="s">
        <v>16862</v>
      </c>
      <c r="E2782" s="5"/>
      <c r="F2782" s="1"/>
      <c r="G2782" s="5" t="s">
        <v>8971</v>
      </c>
      <c r="H2782" s="1"/>
      <c r="I2782" s="1"/>
      <c r="J2782" s="2"/>
      <c r="K2782" s="5" t="s">
        <v>8971</v>
      </c>
      <c r="M2782" s="18"/>
      <c r="N2782" s="1"/>
      <c r="O2782" s="1"/>
      <c r="P2782" s="21" t="str">
        <f>IF(ISNUMBER(MATCH($C2782,StackableKinds,0)), TRUE, "")</f>
        <v/>
      </c>
    </row>
    <row r="2783" spans="1:16" x14ac:dyDescent="0.2">
      <c r="A2783" s="19" t="str">
        <f>_xlfn.IFNA(VLOOKUP($B2783,Keys!$A:$B,2,FALSE),_xlfn.IFNA(VLOOKUP($B2783,Keys!$D:$E,2,FALSE),VLOOKUP($B2783,Keys!$G:$H,2,FALSE)))</f>
        <v>0x0000001F18960E7F</v>
      </c>
      <c r="B2783" s="5" t="s">
        <v>7256</v>
      </c>
      <c r="C2783" s="5" t="s">
        <v>9467</v>
      </c>
      <c r="D2783" s="5" t="s">
        <v>16862</v>
      </c>
      <c r="E2783" s="5"/>
      <c r="F2783" s="1"/>
      <c r="G2783" s="5" t="s">
        <v>8971</v>
      </c>
      <c r="H2783" s="1"/>
      <c r="I2783" s="1"/>
      <c r="J2783" s="2"/>
      <c r="K2783" s="5" t="s">
        <v>8971</v>
      </c>
      <c r="M2783" s="18"/>
      <c r="N2783" s="1"/>
      <c r="O2783" s="1"/>
      <c r="P2783" s="21" t="str">
        <f>IF(ISNUMBER(MATCH($C2783,StackableKinds,0)), TRUE, "")</f>
        <v/>
      </c>
    </row>
    <row r="2784" spans="1:16" x14ac:dyDescent="0.2">
      <c r="A2784" s="19" t="str">
        <f>_xlfn.IFNA(VLOOKUP($B2784,Keys!$A:$B,2,FALSE),_xlfn.IFNA(VLOOKUP($B2784,Keys!$D:$E,2,FALSE),VLOOKUP($B2784,Keys!$G:$H,2,FALSE)))</f>
        <v>0x0000001F819F5FC5</v>
      </c>
      <c r="B2784" s="5" t="s">
        <v>7258</v>
      </c>
      <c r="C2784" s="5" t="s">
        <v>9467</v>
      </c>
      <c r="D2784" s="5" t="s">
        <v>16862</v>
      </c>
      <c r="E2784" s="5"/>
      <c r="F2784" s="1"/>
      <c r="G2784" s="5" t="s">
        <v>8971</v>
      </c>
      <c r="H2784" s="1"/>
      <c r="I2784" s="1"/>
      <c r="J2784" s="2"/>
      <c r="K2784" s="5" t="s">
        <v>8971</v>
      </c>
      <c r="M2784" s="18"/>
      <c r="N2784" s="1"/>
      <c r="O2784" s="1"/>
      <c r="P2784" s="21" t="str">
        <f>IF(ISNUMBER(MATCH($C2784,StackableKinds,0)), TRUE, "")</f>
        <v/>
      </c>
    </row>
    <row r="2785" spans="1:16" x14ac:dyDescent="0.2">
      <c r="A2785" s="19" t="str">
        <f>_xlfn.IFNA(VLOOKUP($B2785,Keys!$A:$B,2,FALSE),_xlfn.IFNA(VLOOKUP($B2785,Keys!$D:$E,2,FALSE),VLOOKUP($B2785,Keys!$G:$H,2,FALSE)))</f>
        <v>0x0000001FC500D7FA</v>
      </c>
      <c r="B2785" s="5" t="s">
        <v>7260</v>
      </c>
      <c r="C2785" s="5" t="s">
        <v>9467</v>
      </c>
      <c r="D2785" s="5" t="s">
        <v>16862</v>
      </c>
      <c r="E2785" s="5"/>
      <c r="F2785" s="1"/>
      <c r="G2785" s="5" t="s">
        <v>8971</v>
      </c>
      <c r="H2785" s="1"/>
      <c r="I2785" s="1"/>
      <c r="J2785" s="2"/>
      <c r="K2785" s="5" t="s">
        <v>8971</v>
      </c>
      <c r="M2785" s="18"/>
      <c r="N2785" s="1"/>
      <c r="O2785" s="1"/>
      <c r="P2785" s="21" t="str">
        <f>IF(ISNUMBER(MATCH($C2785,StackableKinds,0)), TRUE, "")</f>
        <v/>
      </c>
    </row>
    <row r="2786" spans="1:16" x14ac:dyDescent="0.2">
      <c r="A2786" s="19" t="str">
        <f>_xlfn.IFNA(VLOOKUP($B2786,Keys!$A:$B,2,FALSE),_xlfn.IFNA(VLOOKUP($B2786,Keys!$D:$E,2,FALSE),VLOOKUP($B2786,Keys!$G:$H,2,FALSE)))</f>
        <v>0x0000001FE27002CF</v>
      </c>
      <c r="B2786" s="5" t="s">
        <v>7262</v>
      </c>
      <c r="C2786" s="5" t="s">
        <v>9467</v>
      </c>
      <c r="D2786" s="5" t="s">
        <v>16862</v>
      </c>
      <c r="E2786" s="5"/>
      <c r="F2786" s="1"/>
      <c r="G2786" s="5" t="s">
        <v>8971</v>
      </c>
      <c r="H2786" s="1"/>
      <c r="I2786" s="1"/>
      <c r="J2786" s="2"/>
      <c r="K2786" s="5" t="s">
        <v>8971</v>
      </c>
      <c r="M2786" s="18"/>
      <c r="N2786" s="1"/>
      <c r="O2786" s="1"/>
      <c r="P2786" s="21" t="str">
        <f>IF(ISNUMBER(MATCH($C2786,StackableKinds,0)), TRUE, "")</f>
        <v/>
      </c>
    </row>
    <row r="2787" spans="1:16" x14ac:dyDescent="0.2">
      <c r="A2787" s="19" t="str">
        <f>_xlfn.IFNA(VLOOKUP($B2787,Keys!$A:$B,2,FALSE),_xlfn.IFNA(VLOOKUP($B2787,Keys!$D:$E,2,FALSE),VLOOKUP($B2787,Keys!$G:$H,2,FALSE)))</f>
        <v>0x0000001F7B795375</v>
      </c>
      <c r="B2787" s="5" t="s">
        <v>7264</v>
      </c>
      <c r="C2787" s="5" t="s">
        <v>9467</v>
      </c>
      <c r="D2787" s="5" t="s">
        <v>16862</v>
      </c>
      <c r="E2787" s="5"/>
      <c r="F2787" s="1"/>
      <c r="G2787" s="5" t="s">
        <v>8971</v>
      </c>
      <c r="H2787" s="1"/>
      <c r="I2787" s="1"/>
      <c r="J2787" s="2"/>
      <c r="K2787" s="5" t="s">
        <v>8971</v>
      </c>
      <c r="M2787" s="18"/>
      <c r="N2787" s="1"/>
      <c r="O2787" s="1"/>
      <c r="P2787" s="21" t="str">
        <f>IF(ISNUMBER(MATCH($C2787,StackableKinds,0)), TRUE, "")</f>
        <v/>
      </c>
    </row>
    <row r="2788" spans="1:16" x14ac:dyDescent="0.2">
      <c r="A2788" s="19" t="str">
        <f>_xlfn.IFNA(VLOOKUP($B2788,Keys!$A:$B,2,FALSE),_xlfn.IFNA(VLOOKUP($B2788,Keys!$D:$E,2,FALSE),VLOOKUP($B2788,Keys!$G:$H,2,FALSE)))</f>
        <v>0x00000017537D6139</v>
      </c>
      <c r="B2788" s="5" t="s">
        <v>7266</v>
      </c>
      <c r="C2788" s="5" t="s">
        <v>9467</v>
      </c>
      <c r="D2788" s="5" t="s">
        <v>16862</v>
      </c>
      <c r="E2788" s="5"/>
      <c r="F2788" s="1"/>
      <c r="G2788" s="5" t="s">
        <v>8971</v>
      </c>
      <c r="H2788" s="1"/>
      <c r="I2788" s="1"/>
      <c r="J2788" s="2"/>
      <c r="K2788" s="5" t="s">
        <v>8971</v>
      </c>
      <c r="M2788" s="18"/>
      <c r="N2788" s="1"/>
      <c r="O2788" s="1"/>
      <c r="P2788" s="21" t="str">
        <f>IF(ISNUMBER(MATCH($C2788,StackableKinds,0)), TRUE, "")</f>
        <v/>
      </c>
    </row>
    <row r="2789" spans="1:16" x14ac:dyDescent="0.2">
      <c r="A2789" s="19" t="str">
        <f>_xlfn.IFNA(VLOOKUP($B2789,Keys!$A:$B,2,FALSE),_xlfn.IFNA(VLOOKUP($B2789,Keys!$D:$E,2,FALSE),VLOOKUP($B2789,Keys!$G:$H,2,FALSE)))</f>
        <v>0x0000001F66F1AE11</v>
      </c>
      <c r="B2789" s="5" t="s">
        <v>7268</v>
      </c>
      <c r="C2789" s="5" t="s">
        <v>9467</v>
      </c>
      <c r="D2789" s="5" t="s">
        <v>16862</v>
      </c>
      <c r="E2789" s="5"/>
      <c r="F2789" s="1"/>
      <c r="G2789" s="5" t="s">
        <v>8971</v>
      </c>
      <c r="H2789" s="1"/>
      <c r="I2789" s="1"/>
      <c r="J2789" s="2"/>
      <c r="K2789" s="5" t="s">
        <v>8971</v>
      </c>
      <c r="M2789" s="18"/>
      <c r="N2789" s="1"/>
      <c r="O2789" s="1"/>
      <c r="P2789" s="21" t="str">
        <f>IF(ISNUMBER(MATCH($C2789,StackableKinds,0)), TRUE, "")</f>
        <v/>
      </c>
    </row>
    <row r="2790" spans="1:16" x14ac:dyDescent="0.2">
      <c r="A2790" s="19" t="str">
        <f>_xlfn.IFNA(VLOOKUP($B2790,Keys!$A:$B,2,FALSE),_xlfn.IFNA(VLOOKUP($B2790,Keys!$D:$E,2,FALSE),VLOOKUP($B2790,Keys!$G:$H,2,FALSE)))</f>
        <v>0x0000001FFFF8FFAB</v>
      </c>
      <c r="B2790" s="5" t="s">
        <v>7270</v>
      </c>
      <c r="C2790" s="5" t="s">
        <v>9467</v>
      </c>
      <c r="D2790" s="5" t="s">
        <v>16862</v>
      </c>
      <c r="E2790" s="5"/>
      <c r="F2790" s="1"/>
      <c r="G2790" s="5" t="s">
        <v>8971</v>
      </c>
      <c r="H2790" s="1"/>
      <c r="I2790" s="1"/>
      <c r="J2790" s="2"/>
      <c r="K2790" s="5" t="s">
        <v>8971</v>
      </c>
      <c r="M2790" s="18"/>
      <c r="N2790" s="1"/>
      <c r="O2790" s="1"/>
      <c r="P2790" s="21" t="str">
        <f>IF(ISNUMBER(MATCH($C2790,StackableKinds,0)), TRUE, "")</f>
        <v/>
      </c>
    </row>
    <row r="2791" spans="1:16" x14ac:dyDescent="0.2">
      <c r="A2791" s="19" t="str">
        <f>_xlfn.IFNA(VLOOKUP($B2791,Keys!$A:$B,2,FALSE),_xlfn.IFNA(VLOOKUP($B2791,Keys!$D:$E,2,FALSE),VLOOKUP($B2791,Keys!$G:$H,2,FALSE)))</f>
        <v>0x0000001FDB3BC2DF</v>
      </c>
      <c r="B2791" s="5" t="s">
        <v>7272</v>
      </c>
      <c r="C2791" s="5" t="s">
        <v>9467</v>
      </c>
      <c r="D2791" s="5" t="s">
        <v>16862</v>
      </c>
      <c r="E2791" s="5"/>
      <c r="F2791" s="1"/>
      <c r="G2791" s="5" t="s">
        <v>8971</v>
      </c>
      <c r="H2791" s="1"/>
      <c r="I2791" s="1"/>
      <c r="J2791" s="2"/>
      <c r="K2791" s="5" t="s">
        <v>8971</v>
      </c>
      <c r="M2791" s="18"/>
      <c r="N2791" s="1"/>
      <c r="O2791" s="1"/>
      <c r="P2791" s="21" t="str">
        <f>IF(ISNUMBER(MATCH($C2791,StackableKinds,0)), TRUE, "")</f>
        <v/>
      </c>
    </row>
    <row r="2792" spans="1:16" x14ac:dyDescent="0.2">
      <c r="A2792" s="19" t="str">
        <f>_xlfn.IFNA(VLOOKUP($B2792,Keys!$A:$B,2,FALSE),_xlfn.IFNA(VLOOKUP($B2792,Keys!$D:$E,2,FALSE),VLOOKUP($B2792,Keys!$G:$H,2,FALSE)))</f>
        <v>0x0000001F42329365</v>
      </c>
      <c r="B2792" s="5" t="s">
        <v>7274</v>
      </c>
      <c r="C2792" s="5" t="s">
        <v>9467</v>
      </c>
      <c r="D2792" s="5" t="s">
        <v>16862</v>
      </c>
      <c r="E2792" s="5"/>
      <c r="F2792" s="1"/>
      <c r="G2792" s="5" t="s">
        <v>8971</v>
      </c>
      <c r="H2792" s="1"/>
      <c r="I2792" s="1"/>
      <c r="J2792" s="2"/>
      <c r="K2792" s="5" t="s">
        <v>8971</v>
      </c>
      <c r="M2792" s="18"/>
      <c r="N2792" s="1"/>
      <c r="O2792" s="1"/>
      <c r="P2792" s="21" t="str">
        <f>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16862</v>
      </c>
      <c r="E2793" s="5"/>
      <c r="F2793" s="1"/>
      <c r="G2793" s="5" t="s">
        <v>8971</v>
      </c>
      <c r="H2793" s="1"/>
      <c r="I2793" s="1"/>
      <c r="J2793" s="2"/>
      <c r="K2793" s="5" t="s">
        <v>8971</v>
      </c>
      <c r="M2793" s="18"/>
      <c r="N2793" s="1"/>
      <c r="O2793" s="1"/>
      <c r="P2793" s="21" t="str">
        <f>IF(ISNUMBER(MATCH($C2793,StackableKinds,0)), TRUE, "")</f>
        <v/>
      </c>
    </row>
    <row r="2794" spans="1:16" x14ac:dyDescent="0.2">
      <c r="A2794" s="19" t="str">
        <f>_xlfn.IFNA(VLOOKUP($B2794,Keys!$A:$B,2,FALSE),_xlfn.IFNA(VLOOKUP($B2794,Keys!$D:$E,2,FALSE),VLOOKUP($B2794,Keys!$G:$H,2,FALSE)))</f>
        <v>0x0000001F9FA44AE0</v>
      </c>
      <c r="B2794" s="5" t="s">
        <v>7278</v>
      </c>
      <c r="C2794" s="5" t="s">
        <v>9467</v>
      </c>
      <c r="D2794" s="5" t="s">
        <v>16862</v>
      </c>
      <c r="E2794" s="5"/>
      <c r="F2794" s="1"/>
      <c r="G2794" s="5" t="s">
        <v>8971</v>
      </c>
      <c r="H2794" s="1"/>
      <c r="I2794" s="1"/>
      <c r="J2794" s="2"/>
      <c r="K2794" s="5" t="s">
        <v>8971</v>
      </c>
      <c r="M2794" s="18"/>
      <c r="N2794" s="1"/>
      <c r="O2794" s="1"/>
      <c r="P2794" s="21" t="str">
        <f>IF(ISNUMBER(MATCH($C2794,StackableKinds,0)), TRUE, "")</f>
        <v/>
      </c>
    </row>
    <row r="2795" spans="1:16" x14ac:dyDescent="0.2">
      <c r="A2795" s="19" t="str">
        <f>_xlfn.IFNA(VLOOKUP($B2795,Keys!$A:$B,2,FALSE),_xlfn.IFNA(VLOOKUP($B2795,Keys!$D:$E,2,FALSE),VLOOKUP($B2795,Keys!$G:$H,2,FALSE)))</f>
        <v>0x00000017FFF05CE5</v>
      </c>
      <c r="B2795" s="5" t="s">
        <v>7280</v>
      </c>
      <c r="C2795" s="5" t="s">
        <v>9467</v>
      </c>
      <c r="D2795" s="5" t="s">
        <v>16862</v>
      </c>
      <c r="E2795" s="5"/>
      <c r="F2795" s="1"/>
      <c r="G2795" s="5" t="s">
        <v>8971</v>
      </c>
      <c r="H2795" s="1"/>
      <c r="I2795" s="1"/>
      <c r="J2795" s="2"/>
      <c r="K2795" s="5" t="s">
        <v>8971</v>
      </c>
      <c r="M2795" s="18"/>
      <c r="N2795" s="1"/>
      <c r="O2795" s="1"/>
      <c r="P2795" s="21" t="str">
        <f>IF(ISNUMBER(MATCH($C2795,StackableKinds,0)), TRUE, "")</f>
        <v/>
      </c>
    </row>
    <row r="2796" spans="1:16" x14ac:dyDescent="0.2">
      <c r="A2796" s="19" t="str">
        <f>_xlfn.IFNA(VLOOKUP($B2796,Keys!$A:$B,2,FALSE),_xlfn.IFNA(VLOOKUP($B2796,Keys!$D:$E,2,FALSE),VLOOKUP($B2796,Keys!$G:$H,2,FALSE)))</f>
        <v>0x0000001B673749E6</v>
      </c>
      <c r="B2796" s="5" t="s">
        <v>7282</v>
      </c>
      <c r="C2796" s="5" t="s">
        <v>9467</v>
      </c>
      <c r="D2796" s="5" t="s">
        <v>16862</v>
      </c>
      <c r="E2796" s="5"/>
      <c r="F2796" s="1"/>
      <c r="G2796" s="5" t="s">
        <v>8971</v>
      </c>
      <c r="H2796" s="1"/>
      <c r="I2796" s="1"/>
      <c r="J2796" s="2"/>
      <c r="K2796" s="5" t="s">
        <v>8971</v>
      </c>
      <c r="M2796" s="18"/>
      <c r="N2796" s="1"/>
      <c r="O2796" s="1"/>
      <c r="P2796" s="21" t="str">
        <f>IF(ISNUMBER(MATCH($C2796,StackableKinds,0)), TRUE, "")</f>
        <v/>
      </c>
    </row>
    <row r="2797" spans="1:16" x14ac:dyDescent="0.2">
      <c r="A2797" s="19" t="str">
        <f>_xlfn.IFNA(VLOOKUP($B2797,Keys!$A:$B,2,FALSE),_xlfn.IFNA(VLOOKUP($B2797,Keys!$D:$E,2,FALSE),VLOOKUP($B2797,Keys!$G:$H,2,FALSE)))</f>
        <v>0x0000001F1B82A849</v>
      </c>
      <c r="B2797" s="5" t="s">
        <v>7284</v>
      </c>
      <c r="C2797" s="5" t="s">
        <v>9467</v>
      </c>
      <c r="D2797" s="5" t="s">
        <v>16862</v>
      </c>
      <c r="E2797" s="5"/>
      <c r="F2797" s="1"/>
      <c r="G2797" s="5" t="s">
        <v>8971</v>
      </c>
      <c r="H2797" s="1"/>
      <c r="I2797" s="1"/>
      <c r="J2797" s="2"/>
      <c r="K2797" s="5" t="s">
        <v>8971</v>
      </c>
      <c r="M2797" s="18"/>
      <c r="N2797" s="1"/>
      <c r="O2797" s="1"/>
      <c r="P2797" s="21" t="str">
        <f>IF(ISNUMBER(MATCH($C2797,StackableKinds,0)), TRUE, "")</f>
        <v/>
      </c>
    </row>
    <row r="2798" spans="1:16" x14ac:dyDescent="0.2">
      <c r="A2798" s="19" t="str">
        <f>_xlfn.IFNA(VLOOKUP($B2798,Keys!$A:$B,2,FALSE),_xlfn.IFNA(VLOOKUP($B2798,Keys!$D:$E,2,FALSE),VLOOKUP($B2798,Keys!$G:$H,2,FALSE)))</f>
        <v>0x0000001F828BF9F3</v>
      </c>
      <c r="B2798" s="5" t="s">
        <v>7286</v>
      </c>
      <c r="C2798" s="5" t="s">
        <v>9467</v>
      </c>
      <c r="D2798" s="5" t="s">
        <v>16862</v>
      </c>
      <c r="E2798" s="5"/>
      <c r="F2798" s="1"/>
      <c r="G2798" s="5" t="s">
        <v>8971</v>
      </c>
      <c r="H2798" s="1"/>
      <c r="I2798" s="1"/>
      <c r="J2798" s="2"/>
      <c r="K2798" s="5" t="s">
        <v>8971</v>
      </c>
      <c r="M2798" s="18"/>
      <c r="N2798" s="1"/>
      <c r="O2798" s="1"/>
      <c r="P2798" s="21" t="str">
        <f>IF(ISNUMBER(MATCH($C2798,StackableKinds,0)), TRUE, "")</f>
        <v/>
      </c>
    </row>
    <row r="2799" spans="1:16" x14ac:dyDescent="0.2">
      <c r="A2799" s="19" t="str">
        <f>_xlfn.IFNA(VLOOKUP($B2799,Keys!$A:$B,2,FALSE),_xlfn.IFNA(VLOOKUP($B2799,Keys!$D:$E,2,FALSE),VLOOKUP($B2799,Keys!$G:$H,2,FALSE)))</f>
        <v>0x0000001FC61471CC</v>
      </c>
      <c r="B2799" s="5" t="s">
        <v>7288</v>
      </c>
      <c r="C2799" s="5" t="s">
        <v>9467</v>
      </c>
      <c r="D2799" s="5" t="s">
        <v>16862</v>
      </c>
      <c r="E2799" s="5"/>
      <c r="F2799" s="1"/>
      <c r="G2799" s="5" t="s">
        <v>8971</v>
      </c>
      <c r="H2799" s="1"/>
      <c r="I2799" s="1"/>
      <c r="J2799" s="2"/>
      <c r="K2799" s="5" t="s">
        <v>8971</v>
      </c>
      <c r="M2799" s="18"/>
      <c r="N2799" s="1"/>
      <c r="O2799" s="1"/>
      <c r="P2799" s="21" t="str">
        <f>IF(ISNUMBER(MATCH($C2799,StackableKinds,0)), TRUE, "")</f>
        <v/>
      </c>
    </row>
    <row r="2800" spans="1:16" x14ac:dyDescent="0.2">
      <c r="A2800" s="19" t="str">
        <f>_xlfn.IFNA(VLOOKUP($B2800,Keys!$A:$B,2,FALSE),_xlfn.IFNA(VLOOKUP($B2800,Keys!$D:$E,2,FALSE),VLOOKUP($B2800,Keys!$G:$H,2,FALSE)))</f>
        <v>0x0000001FE164A4F9</v>
      </c>
      <c r="B2800" s="5" t="s">
        <v>7290</v>
      </c>
      <c r="C2800" s="5" t="s">
        <v>9467</v>
      </c>
      <c r="D2800" s="5" t="s">
        <v>16862</v>
      </c>
      <c r="E2800" s="5"/>
      <c r="F2800" s="1"/>
      <c r="G2800" s="5" t="s">
        <v>8971</v>
      </c>
      <c r="H2800" s="1"/>
      <c r="I2800" s="1"/>
      <c r="J2800" s="2"/>
      <c r="K2800" s="5" t="s">
        <v>8971</v>
      </c>
      <c r="M2800" s="18"/>
      <c r="N2800" s="1"/>
      <c r="O2800" s="1"/>
      <c r="P2800" s="21" t="str">
        <f>IF(ISNUMBER(MATCH($C2800,StackableKinds,0)), TRUE, "")</f>
        <v/>
      </c>
    </row>
    <row r="2801" spans="1:16" x14ac:dyDescent="0.2">
      <c r="A2801" s="19" t="str">
        <f>_xlfn.IFNA(VLOOKUP($B2801,Keys!$A:$B,2,FALSE),_xlfn.IFNA(VLOOKUP($B2801,Keys!$D:$E,2,FALSE),VLOOKUP($B2801,Keys!$G:$H,2,FALSE)))</f>
        <v>0x0000001F786DF543</v>
      </c>
      <c r="B2801" s="5" t="s">
        <v>7292</v>
      </c>
      <c r="C2801" s="5" t="s">
        <v>9467</v>
      </c>
      <c r="D2801" s="5" t="s">
        <v>16862</v>
      </c>
      <c r="E2801" s="5"/>
      <c r="F2801" s="1"/>
      <c r="G2801" s="5" t="s">
        <v>8971</v>
      </c>
      <c r="H2801" s="1"/>
      <c r="I2801" s="1"/>
      <c r="J2801" s="2"/>
      <c r="K2801" s="5" t="s">
        <v>8971</v>
      </c>
      <c r="M2801" s="18"/>
      <c r="N2801" s="1"/>
      <c r="O2801" s="1"/>
      <c r="P2801" s="21" t="str">
        <f>IF(ISNUMBER(MATCH($C2801,StackableKinds,0)), TRUE, "")</f>
        <v/>
      </c>
    </row>
    <row r="2802" spans="1:16" x14ac:dyDescent="0.2">
      <c r="A2802" s="19" t="str">
        <f>_xlfn.IFNA(VLOOKUP($B2802,Keys!$A:$B,2,FALSE),_xlfn.IFNA(VLOOKUP($B2802,Keys!$D:$E,2,FALSE),VLOOKUP($B2802,Keys!$G:$H,2,FALSE)))</f>
        <v>0x0000001F3CF27D7C</v>
      </c>
      <c r="B2802" s="5" t="s">
        <v>7294</v>
      </c>
      <c r="C2802" s="5" t="s">
        <v>9467</v>
      </c>
      <c r="D2802" s="5" t="s">
        <v>16862</v>
      </c>
      <c r="E2802" s="5"/>
      <c r="F2802" s="1"/>
      <c r="G2802" s="5" t="s">
        <v>8971</v>
      </c>
      <c r="H2802" s="1"/>
      <c r="I2802" s="1"/>
      <c r="J2802" s="2"/>
      <c r="K2802" s="5" t="s">
        <v>8971</v>
      </c>
      <c r="M2802" s="18"/>
      <c r="N2802" s="1"/>
      <c r="O2802" s="1"/>
      <c r="P2802" s="21" t="str">
        <f>IF(ISNUMBER(MATCH($C2802,StackableKinds,0)), TRUE, "")</f>
        <v/>
      </c>
    </row>
    <row r="2803" spans="1:16" x14ac:dyDescent="0.2">
      <c r="A2803" s="19" t="str">
        <f>_xlfn.IFNA(VLOOKUP($B2803,Keys!$A:$B,2,FALSE),_xlfn.IFNA(VLOOKUP($B2803,Keys!$D:$E,2,FALSE),VLOOKUP($B2803,Keys!$G:$H,2,FALSE)))</f>
        <v>0x0000001FA5FB2CC6</v>
      </c>
      <c r="B2803" s="5" t="s">
        <v>7296</v>
      </c>
      <c r="C2803" s="5" t="s">
        <v>9467</v>
      </c>
      <c r="D2803" s="5" t="s">
        <v>16862</v>
      </c>
      <c r="E2803" s="5"/>
      <c r="F2803" s="1"/>
      <c r="G2803" s="5" t="s">
        <v>8971</v>
      </c>
      <c r="H2803" s="1"/>
      <c r="I2803" s="1"/>
      <c r="J2803" s="2"/>
      <c r="K2803" s="5" t="s">
        <v>8971</v>
      </c>
      <c r="M2803" s="18"/>
      <c r="N2803" s="1"/>
      <c r="O2803" s="1"/>
      <c r="P2803" s="21" t="str">
        <f>IF(ISNUMBER(MATCH($C2803,StackableKinds,0)), TRUE, "")</f>
        <v/>
      </c>
    </row>
    <row r="2804" spans="1:16" x14ac:dyDescent="0.2">
      <c r="A2804" s="19" t="str">
        <f>_xlfn.IFNA(VLOOKUP($B2804,Keys!$A:$B,2,FALSE),_xlfn.IFNA(VLOOKUP($B2804,Keys!$D:$E,2,FALSE),VLOOKUP($B2804,Keys!$G:$H,2,FALSE)))</f>
        <v>0x0000001F266896E2</v>
      </c>
      <c r="B2804" s="5" t="s">
        <v>7298</v>
      </c>
      <c r="C2804" s="5" t="s">
        <v>9467</v>
      </c>
      <c r="D2804" s="5" t="s">
        <v>16862</v>
      </c>
      <c r="E2804" s="5"/>
      <c r="F2804" s="1"/>
      <c r="G2804" s="5" t="s">
        <v>8971</v>
      </c>
      <c r="H2804" s="1"/>
      <c r="I2804" s="1"/>
      <c r="J2804" s="2"/>
      <c r="K2804" s="5" t="s">
        <v>8971</v>
      </c>
      <c r="M2804" s="18"/>
      <c r="N2804" s="1"/>
      <c r="O2804" s="1"/>
      <c r="P2804" s="21" t="str">
        <f>IF(ISNUMBER(MATCH($C2804,StackableKinds,0)), TRUE, "")</f>
        <v/>
      </c>
    </row>
    <row r="2805" spans="1:16" x14ac:dyDescent="0.2">
      <c r="A2805" s="19" t="str">
        <f>_xlfn.IFNA(VLOOKUP($B2805,Keys!$A:$B,2,FALSE),_xlfn.IFNA(VLOOKUP($B2805,Keys!$D:$E,2,FALSE),VLOOKUP($B2805,Keys!$G:$H,2,FALSE)))</f>
        <v>0x0000001F9BA2FA2C</v>
      </c>
      <c r="B2805" s="5" t="s">
        <v>7300</v>
      </c>
      <c r="C2805" s="5" t="s">
        <v>9467</v>
      </c>
      <c r="D2805" s="5" t="s">
        <v>16862</v>
      </c>
      <c r="E2805" s="5"/>
      <c r="F2805" s="1"/>
      <c r="G2805" s="5" t="s">
        <v>8971</v>
      </c>
      <c r="H2805" s="1"/>
      <c r="I2805" s="1"/>
      <c r="J2805" s="2"/>
      <c r="K2805" s="5" t="s">
        <v>8971</v>
      </c>
      <c r="M2805" s="18"/>
      <c r="N2805" s="1"/>
      <c r="O2805" s="1"/>
      <c r="P2805" s="21" t="str">
        <f>IF(ISNUMBER(MATCH($C2805,StackableKinds,0)), TRUE, "")</f>
        <v/>
      </c>
    </row>
    <row r="2806" spans="1:16" x14ac:dyDescent="0.2">
      <c r="A2806" s="19" t="str">
        <f>_xlfn.IFNA(VLOOKUP($B2806,Keys!$A:$B,2,FALSE),_xlfn.IFNA(VLOOKUP($B2806,Keys!$D:$E,2,FALSE),VLOOKUP($B2806,Keys!$G:$H,2,FALSE)))</f>
        <v>0x0000001F3B4725F1</v>
      </c>
      <c r="B2806" s="5" t="s">
        <v>7302</v>
      </c>
      <c r="C2806" s="5" t="s">
        <v>9467</v>
      </c>
      <c r="D2806" s="5" t="s">
        <v>16862</v>
      </c>
      <c r="E2806" s="5"/>
      <c r="F2806" s="1"/>
      <c r="G2806" s="5" t="s">
        <v>8971</v>
      </c>
      <c r="H2806" s="1"/>
      <c r="I2806" s="1"/>
      <c r="J2806" s="2"/>
      <c r="K2806" s="5" t="s">
        <v>8971</v>
      </c>
      <c r="M2806" s="18"/>
      <c r="N2806" s="1"/>
      <c r="O2806" s="1"/>
      <c r="P2806" s="21" t="str">
        <f>IF(ISNUMBER(MATCH($C2806,StackableKinds,0)), TRUE, "")</f>
        <v/>
      </c>
    </row>
    <row r="2807" spans="1:16" x14ac:dyDescent="0.2">
      <c r="A2807" s="19" t="str">
        <f>_xlfn.IFNA(VLOOKUP($B2807,Keys!$A:$B,2,FALSE),_xlfn.IFNA(VLOOKUP($B2807,Keys!$D:$E,2,FALSE),VLOOKUP($B2807,Keys!$G:$H,2,FALSE)))</f>
        <v>0x00000020DAF68B91</v>
      </c>
      <c r="B2807" s="5" t="s">
        <v>7304</v>
      </c>
      <c r="C2807" s="5" t="s">
        <v>9467</v>
      </c>
      <c r="D2807" s="5" t="s">
        <v>16862</v>
      </c>
      <c r="E2807" s="5"/>
      <c r="F2807" s="1"/>
      <c r="G2807" s="5" t="s">
        <v>8971</v>
      </c>
      <c r="H2807" s="1"/>
      <c r="I2807" s="1"/>
      <c r="J2807" s="2"/>
      <c r="K2807" s="5" t="s">
        <v>8971</v>
      </c>
      <c r="M2807" s="18"/>
      <c r="N2807" s="1"/>
      <c r="O2807" s="1"/>
      <c r="P2807" s="21" t="str">
        <f>IF(ISNUMBER(MATCH($C2807,StackableKinds,0)), TRUE, "")</f>
        <v/>
      </c>
    </row>
    <row r="2808" spans="1:16" x14ac:dyDescent="0.2">
      <c r="A2808" s="19" t="str">
        <f>_xlfn.IFNA(VLOOKUP($B2808,Keys!$A:$B,2,FALSE),_xlfn.IFNA(VLOOKUP($B2808,Keys!$D:$E,2,FALSE),VLOOKUP($B2808,Keys!$G:$H,2,FALSE)))</f>
        <v>0x0000002043FFDA2B</v>
      </c>
      <c r="B2808" s="5" t="s">
        <v>7306</v>
      </c>
      <c r="C2808" s="5" t="s">
        <v>9467</v>
      </c>
      <c r="D2808" s="5" t="s">
        <v>16862</v>
      </c>
      <c r="E2808" s="5"/>
      <c r="F2808" s="1"/>
      <c r="G2808" s="5" t="s">
        <v>8971</v>
      </c>
      <c r="H2808" s="1"/>
      <c r="I2808" s="1"/>
      <c r="J2808" s="2"/>
      <c r="K2808" s="5" t="s">
        <v>8971</v>
      </c>
      <c r="M2808" s="18"/>
      <c r="N2808" s="1"/>
      <c r="O2808" s="1"/>
      <c r="P2808" s="21" t="str">
        <f>IF(ISNUMBER(MATCH($C2808,StackableKinds,0)), TRUE, "")</f>
        <v/>
      </c>
    </row>
    <row r="2809" spans="1:16" x14ac:dyDescent="0.2">
      <c r="A2809" s="19" t="str">
        <f>_xlfn.IFNA(VLOOKUP($B2809,Keys!$A:$B,2,FALSE),_xlfn.IFNA(VLOOKUP($B2809,Keys!$D:$E,2,FALSE),VLOOKUP($B2809,Keys!$G:$H,2,FALSE)))</f>
        <v>0x0000001FA7508E9E</v>
      </c>
      <c r="B2809" s="5" t="s">
        <v>7308</v>
      </c>
      <c r="C2809" s="5" t="s">
        <v>9467</v>
      </c>
      <c r="D2809" s="5" t="s">
        <v>16862</v>
      </c>
      <c r="E2809" s="5"/>
      <c r="F2809" s="1"/>
      <c r="G2809" s="5" t="s">
        <v>8971</v>
      </c>
      <c r="H2809" s="1"/>
      <c r="I2809" s="1"/>
      <c r="J2809" s="2"/>
      <c r="K2809" s="5" t="s">
        <v>8971</v>
      </c>
      <c r="M2809" s="18"/>
      <c r="N2809" s="1"/>
      <c r="O2809" s="1"/>
      <c r="P2809" s="21" t="str">
        <f>IF(ISNUMBER(MATCH($C2809,StackableKinds,0)), TRUE, "")</f>
        <v/>
      </c>
    </row>
    <row r="2810" spans="1:16" x14ac:dyDescent="0.2">
      <c r="A2810" s="19" t="str">
        <f>_xlfn.IFNA(VLOOKUP($B2810,Keys!$A:$B,2,FALSE),_xlfn.IFNA(VLOOKUP($B2810,Keys!$D:$E,2,FALSE),VLOOKUP($B2810,Keys!$G:$H,2,FALSE)))</f>
        <v>0x0000001F3E59DF24</v>
      </c>
      <c r="B2810" s="5" t="s">
        <v>7310</v>
      </c>
      <c r="C2810" s="5" t="s">
        <v>9467</v>
      </c>
      <c r="D2810" s="5" t="s">
        <v>16862</v>
      </c>
      <c r="E2810" s="5"/>
      <c r="F2810" s="1"/>
      <c r="G2810" s="5" t="s">
        <v>8971</v>
      </c>
      <c r="H2810" s="1"/>
      <c r="I2810" s="1"/>
      <c r="J2810" s="2"/>
      <c r="K2810" s="5" t="s">
        <v>8971</v>
      </c>
      <c r="M2810" s="18"/>
      <c r="N2810" s="1"/>
      <c r="O2810" s="1"/>
      <c r="P2810" s="21" t="str">
        <f>IF(ISNUMBER(MATCH($C2810,StackableKinds,0)), TRUE, "")</f>
        <v/>
      </c>
    </row>
    <row r="2811" spans="1:16" x14ac:dyDescent="0.2">
      <c r="A2811" s="19" t="str">
        <f>_xlfn.IFNA(VLOOKUP($B2811,Keys!$A:$B,2,FALSE),_xlfn.IFNA(VLOOKUP($B2811,Keys!$D:$E,2,FALSE),VLOOKUP($B2811,Keys!$G:$H,2,FALSE)))</f>
        <v>0x0000001F1A9AE250</v>
      </c>
      <c r="B2811" s="5" t="s">
        <v>7312</v>
      </c>
      <c r="C2811" s="5" t="s">
        <v>9467</v>
      </c>
      <c r="D2811" s="5" t="s">
        <v>16862</v>
      </c>
      <c r="E2811" s="5"/>
      <c r="F2811" s="1"/>
      <c r="G2811" s="5" t="s">
        <v>8971</v>
      </c>
      <c r="H2811" s="1"/>
      <c r="I2811" s="1"/>
      <c r="J2811" s="2"/>
      <c r="K2811" s="5" t="s">
        <v>8971</v>
      </c>
      <c r="M2811" s="18"/>
      <c r="N2811" s="1"/>
      <c r="O2811" s="1"/>
      <c r="P2811" s="21" t="str">
        <f>IF(ISNUMBER(MATCH($C2811,StackableKinds,0)), TRUE, "")</f>
        <v/>
      </c>
    </row>
    <row r="2812" spans="1:16" x14ac:dyDescent="0.2">
      <c r="A2812" s="19" t="str">
        <f>_xlfn.IFNA(VLOOKUP($B2812,Keys!$A:$B,2,FALSE),_xlfn.IFNA(VLOOKUP($B2812,Keys!$D:$E,2,FALSE),VLOOKUP($B2812,Keys!$G:$H,2,FALSE)))</f>
        <v>0x0000001F8393B3EA</v>
      </c>
      <c r="B2812" s="5" t="s">
        <v>7314</v>
      </c>
      <c r="C2812" s="5" t="s">
        <v>9467</v>
      </c>
      <c r="D2812" s="5" t="s">
        <v>16862</v>
      </c>
      <c r="E2812" s="5"/>
      <c r="F2812" s="1"/>
      <c r="G2812" s="5" t="s">
        <v>8971</v>
      </c>
      <c r="H2812" s="1"/>
      <c r="I2812" s="1"/>
      <c r="J2812" s="2"/>
      <c r="K2812" s="5" t="s">
        <v>8971</v>
      </c>
      <c r="M2812" s="18"/>
      <c r="N2812" s="1"/>
      <c r="O2812" s="1"/>
      <c r="P2812" s="21" t="str">
        <f>IF(ISNUMBER(MATCH($C2812,StackableKinds,0)), TRUE, "")</f>
        <v/>
      </c>
    </row>
    <row r="2813" spans="1:16" x14ac:dyDescent="0.2">
      <c r="A2813" s="19" t="str">
        <f>_xlfn.IFNA(VLOOKUP($B2813,Keys!$A:$B,2,FALSE),_xlfn.IFNA(VLOOKUP($B2813,Keys!$D:$E,2,FALSE),VLOOKUP($B2813,Keys!$G:$H,2,FALSE)))</f>
        <v>0x0000001FF494837C</v>
      </c>
      <c r="B2813" s="5" t="s">
        <v>7316</v>
      </c>
      <c r="C2813" s="5" t="s">
        <v>9467</v>
      </c>
      <c r="D2813" s="5" t="s">
        <v>16862</v>
      </c>
      <c r="E2813" s="5"/>
      <c r="F2813" s="1"/>
      <c r="G2813" s="5" t="s">
        <v>8971</v>
      </c>
      <c r="H2813" s="1"/>
      <c r="I2813" s="1"/>
      <c r="J2813" s="2"/>
      <c r="K2813" s="5" t="s">
        <v>8971</v>
      </c>
      <c r="M2813" s="18"/>
      <c r="N2813" s="1"/>
      <c r="O2813" s="1"/>
      <c r="P2813" s="21" t="str">
        <f>IF(ISNUMBER(MATCH($C2813,StackableKinds,0)), TRUE, "")</f>
        <v/>
      </c>
    </row>
    <row r="2814" spans="1:16" x14ac:dyDescent="0.2">
      <c r="A2814" s="19" t="str">
        <f>_xlfn.IFNA(VLOOKUP($B2814,Keys!$A:$B,2,FALSE),_xlfn.IFNA(VLOOKUP($B2814,Keys!$D:$E,2,FALSE),VLOOKUP($B2814,Keys!$G:$H,2,FALSE)))</f>
        <v>0x00000023A16B2F19</v>
      </c>
      <c r="B2814" s="5" t="s">
        <v>7318</v>
      </c>
      <c r="C2814" s="5" t="s">
        <v>9467</v>
      </c>
      <c r="D2814" s="5" t="s">
        <v>16862</v>
      </c>
      <c r="E2814" s="5"/>
      <c r="F2814" s="1"/>
      <c r="G2814" s="5" t="s">
        <v>8971</v>
      </c>
      <c r="H2814" s="1"/>
      <c r="I2814" s="1"/>
      <c r="J2814" s="2"/>
      <c r="K2814" s="5" t="s">
        <v>8971</v>
      </c>
      <c r="M2814" s="18"/>
      <c r="N2814" s="1"/>
      <c r="O2814" s="1"/>
      <c r="P2814" s="21" t="str">
        <f>IF(ISNUMBER(MATCH($C2814,StackableKinds,0)), TRUE, "")</f>
        <v/>
      </c>
    </row>
    <row r="2815" spans="1:16" x14ac:dyDescent="0.2">
      <c r="A2815" s="19" t="str">
        <f>_xlfn.IFNA(VLOOKUP($B2815,Keys!$A:$B,2,FALSE),_xlfn.IFNA(VLOOKUP($B2815,Keys!$D:$E,2,FALSE),VLOOKUP($B2815,Keys!$G:$H,2,FALSE)))</f>
        <v>0x0000001F5E056A6F</v>
      </c>
      <c r="B2815" s="5" t="s">
        <v>7320</v>
      </c>
      <c r="C2815" s="5" t="s">
        <v>9467</v>
      </c>
      <c r="D2815" s="5" t="s">
        <v>16862</v>
      </c>
      <c r="E2815" s="5"/>
      <c r="F2815" s="1"/>
      <c r="G2815" s="5" t="s">
        <v>8971</v>
      </c>
      <c r="H2815" s="1"/>
      <c r="I2815" s="1"/>
      <c r="J2815" s="2"/>
      <c r="K2815" s="5" t="s">
        <v>8971</v>
      </c>
      <c r="M2815" s="18"/>
      <c r="N2815" s="1"/>
      <c r="O2815" s="1"/>
      <c r="P2815" s="21" t="str">
        <f>IF(ISNUMBER(MATCH($C2815,StackableKinds,0)), TRUE, "")</f>
        <v/>
      </c>
    </row>
    <row r="2816" spans="1:16" x14ac:dyDescent="0.2">
      <c r="A2816" s="19" t="str">
        <f>_xlfn.IFNA(VLOOKUP($B2816,Keys!$A:$B,2,FALSE),_xlfn.IFNA(VLOOKUP($B2816,Keys!$D:$E,2,FALSE),VLOOKUP($B2816,Keys!$G:$H,2,FALSE)))</f>
        <v>0x0000001F29025AF9</v>
      </c>
      <c r="B2816" s="5" t="s">
        <v>7322</v>
      </c>
      <c r="C2816" s="5" t="s">
        <v>9467</v>
      </c>
      <c r="D2816" s="5" t="s">
        <v>16862</v>
      </c>
      <c r="E2816" s="5"/>
      <c r="F2816" s="1"/>
      <c r="G2816" s="5" t="s">
        <v>8971</v>
      </c>
      <c r="H2816" s="1"/>
      <c r="I2816" s="1"/>
      <c r="J2816" s="2"/>
      <c r="K2816" s="5" t="s">
        <v>8971</v>
      </c>
      <c r="M2816" s="18"/>
      <c r="N2816" s="1"/>
      <c r="O2816" s="1"/>
      <c r="P2816" s="21" t="str">
        <f>IF(ISNUMBER(MATCH($C2816,StackableKinds,0)), TRUE, "")</f>
        <v/>
      </c>
    </row>
    <row r="2817" spans="1:16" x14ac:dyDescent="0.2">
      <c r="A2817" s="19" t="str">
        <f>_xlfn.IFNA(VLOOKUP($B2817,Keys!$A:$B,2,FALSE),_xlfn.IFNA(VLOOKUP($B2817,Keys!$D:$E,2,FALSE),VLOOKUP($B2817,Keys!$G:$H,2,FALSE)))</f>
        <v>0x0000001FB766CF5A</v>
      </c>
      <c r="B2817" s="5" t="s">
        <v>7324</v>
      </c>
      <c r="C2817" s="5" t="s">
        <v>9467</v>
      </c>
      <c r="D2817" s="5" t="s">
        <v>16862</v>
      </c>
      <c r="E2817" s="5"/>
      <c r="F2817" s="1"/>
      <c r="G2817" s="5" t="s">
        <v>8971</v>
      </c>
      <c r="H2817" s="1"/>
      <c r="I2817" s="1"/>
      <c r="J2817" s="2"/>
      <c r="K2817" s="5" t="s">
        <v>8971</v>
      </c>
      <c r="M2817" s="18"/>
      <c r="N2817" s="1"/>
      <c r="O2817" s="1"/>
      <c r="P2817" s="21" t="str">
        <f>IF(ISNUMBER(MATCH($C2817,StackableKinds,0)), TRUE, "")</f>
        <v/>
      </c>
    </row>
    <row r="2818" spans="1:16" x14ac:dyDescent="0.2">
      <c r="A2818" s="19" t="e">
        <f>_xlfn.IFNA(VLOOKUP($B2818,Keys!$A:$B,2,FALSE),_xlfn.IFNA(VLOOKUP($B2818,Keys!$D:$E,2,FALSE),VLOOKUP($B2818,Keys!$G:$H,2,FALSE)))</f>
        <v>#N/A</v>
      </c>
      <c r="B2818" s="5" t="s">
        <v>9876</v>
      </c>
      <c r="C2818" s="5" t="s">
        <v>9467</v>
      </c>
      <c r="D2818" s="5" t="s">
        <v>16862</v>
      </c>
      <c r="E2818" s="5"/>
      <c r="F2818" s="1"/>
      <c r="G2818" s="5" t="s">
        <v>8971</v>
      </c>
      <c r="H2818" s="1"/>
      <c r="I2818" s="1"/>
      <c r="J2818" s="2"/>
      <c r="K2818" s="5" t="s">
        <v>8971</v>
      </c>
      <c r="M2818" s="18"/>
      <c r="N2818" s="1"/>
      <c r="O2818" s="1"/>
      <c r="P2818" s="21" t="str">
        <f>IF(ISNUMBER(MATCH($C2818,StackableKinds,0)), TRUE, "")</f>
        <v/>
      </c>
    </row>
    <row r="2819" spans="1:16" x14ac:dyDescent="0.2">
      <c r="A2819" s="19" t="str">
        <f>_xlfn.IFNA(VLOOKUP($B2819,Keys!$A:$B,2,FALSE),_xlfn.IFNA(VLOOKUP($B2819,Keys!$D:$E,2,FALSE),VLOOKUP($B2819,Keys!$G:$H,2,FALSE)))</f>
        <v>0x0000001FBA7F3D8D</v>
      </c>
      <c r="B2819" s="5" t="s">
        <v>7326</v>
      </c>
      <c r="C2819" s="5" t="s">
        <v>9467</v>
      </c>
      <c r="D2819" s="5" t="s">
        <v>16862</v>
      </c>
      <c r="E2819" s="5"/>
      <c r="F2819" s="1"/>
      <c r="G2819" s="5" t="s">
        <v>8971</v>
      </c>
      <c r="H2819" s="1"/>
      <c r="I2819" s="1"/>
      <c r="J2819" s="2"/>
      <c r="K2819" s="5" t="s">
        <v>8971</v>
      </c>
      <c r="M2819" s="18"/>
      <c r="N2819" s="1"/>
      <c r="O2819" s="1"/>
      <c r="P2819" s="21" t="str">
        <f>IF(ISNUMBER(MATCH($C2819,StackableKinds,0)), TRUE, "")</f>
        <v/>
      </c>
    </row>
    <row r="2820" spans="1:16" x14ac:dyDescent="0.2">
      <c r="A2820" s="19" t="str">
        <f>_xlfn.IFNA(VLOOKUP($B2820,Keys!$A:$B,2,FALSE),_xlfn.IFNA(VLOOKUP($B2820,Keys!$D:$E,2,FALSE),VLOOKUP($B2820,Keys!$G:$H,2,FALSE)))</f>
        <v>0x0000001F23766C37</v>
      </c>
      <c r="B2820" s="5" t="s">
        <v>7328</v>
      </c>
      <c r="C2820" s="5" t="s">
        <v>9467</v>
      </c>
      <c r="D2820" s="5" t="s">
        <v>16862</v>
      </c>
      <c r="E2820" s="5"/>
      <c r="F2820" s="1"/>
      <c r="G2820" s="5" t="s">
        <v>8971</v>
      </c>
      <c r="H2820" s="1"/>
      <c r="I2820" s="1"/>
      <c r="J2820" s="2"/>
      <c r="K2820" s="5" t="s">
        <v>8971</v>
      </c>
      <c r="M2820" s="18"/>
      <c r="N2820" s="1"/>
      <c r="O2820" s="1"/>
      <c r="P2820" s="21" t="str">
        <f>IF(ISNUMBER(MATCH($C2820,StackableKinds,0)), TRUE, "")</f>
        <v/>
      </c>
    </row>
    <row r="2821" spans="1:16" x14ac:dyDescent="0.2">
      <c r="A2821" s="19" t="str">
        <f>_xlfn.IFNA(VLOOKUP($B2821,Keys!$A:$B,2,FALSE),_xlfn.IFNA(VLOOKUP($B2821,Keys!$D:$E,2,FALSE),VLOOKUP($B2821,Keys!$G:$H,2,FALSE)))</f>
        <v>0x0000001F67E9E408</v>
      </c>
      <c r="B2821" s="5" t="s">
        <v>7330</v>
      </c>
      <c r="C2821" s="5" t="s">
        <v>9467</v>
      </c>
      <c r="D2821" s="5" t="s">
        <v>16862</v>
      </c>
      <c r="E2821" s="5"/>
      <c r="F2821" s="1"/>
      <c r="G2821" s="5" t="s">
        <v>8971</v>
      </c>
      <c r="H2821" s="1"/>
      <c r="I2821" s="1"/>
      <c r="J2821" s="2"/>
      <c r="K2821" s="5" t="s">
        <v>8971</v>
      </c>
      <c r="M2821" s="18"/>
      <c r="N2821" s="1"/>
      <c r="O2821" s="1"/>
      <c r="P2821" s="21" t="str">
        <f>IF(ISNUMBER(MATCH($C2821,StackableKinds,0)), TRUE, "")</f>
        <v/>
      </c>
    </row>
    <row r="2822" spans="1:16" x14ac:dyDescent="0.2">
      <c r="A2822" s="19" t="str">
        <f>_xlfn.IFNA(VLOOKUP($B2822,Keys!$A:$B,2,FALSE),_xlfn.IFNA(VLOOKUP($B2822,Keys!$D:$E,2,FALSE),VLOOKUP($B2822,Keys!$G:$H,2,FALSE)))</f>
        <v>0x0000001FFEE0B5B2</v>
      </c>
      <c r="B2822" s="5" t="s">
        <v>7332</v>
      </c>
      <c r="C2822" s="5" t="s">
        <v>9467</v>
      </c>
      <c r="D2822" s="5" t="s">
        <v>16862</v>
      </c>
      <c r="E2822" s="5"/>
      <c r="F2822" s="1"/>
      <c r="G2822" s="5" t="s">
        <v>8971</v>
      </c>
      <c r="H2822" s="1"/>
      <c r="I2822" s="1"/>
      <c r="J2822" s="2"/>
      <c r="K2822" s="5" t="s">
        <v>8971</v>
      </c>
      <c r="M2822" s="18"/>
      <c r="N2822" s="1"/>
      <c r="O2822" s="1"/>
      <c r="P2822" s="21" t="str">
        <f>IF(ISNUMBER(MATCH($C2822,StackableKinds,0)), TRUE, "")</f>
        <v/>
      </c>
    </row>
    <row r="2823" spans="1:16" x14ac:dyDescent="0.2">
      <c r="A2823" s="19" t="str">
        <f>_xlfn.IFNA(VLOOKUP($B2823,Keys!$A:$B,2,FALSE),_xlfn.IFNA(VLOOKUP($B2823,Keys!$D:$E,2,FALSE),VLOOKUP($B2823,Keys!$G:$H,2,FALSE)))</f>
        <v>0x0000001F89E78524</v>
      </c>
      <c r="B2823" s="5" t="s">
        <v>7334</v>
      </c>
      <c r="C2823" s="5" t="s">
        <v>9467</v>
      </c>
      <c r="D2823" s="5" t="s">
        <v>16862</v>
      </c>
      <c r="E2823" s="5"/>
      <c r="F2823" s="1"/>
      <c r="G2823" s="5" t="s">
        <v>8971</v>
      </c>
      <c r="H2823" s="1"/>
      <c r="I2823" s="1"/>
      <c r="J2823" s="2"/>
      <c r="K2823" s="5" t="s">
        <v>8971</v>
      </c>
      <c r="M2823" s="18"/>
      <c r="N2823" s="1"/>
      <c r="O2823" s="1"/>
      <c r="P2823" s="21" t="str">
        <f>IF(ISNUMBER(MATCH($C2823,StackableKinds,0)), TRUE, "")</f>
        <v/>
      </c>
    </row>
    <row r="2824" spans="1:16" x14ac:dyDescent="0.2">
      <c r="A2824" s="19" t="str">
        <f>_xlfn.IFNA(VLOOKUP($B2824,Keys!$A:$B,2,FALSE),_xlfn.IFNA(VLOOKUP($B2824,Keys!$D:$E,2,FALSE),VLOOKUP($B2824,Keys!$G:$H,2,FALSE)))</f>
        <v>0x0000001F89E78524</v>
      </c>
      <c r="B2824" s="5" t="s">
        <v>7334</v>
      </c>
      <c r="C2824" s="5" t="s">
        <v>9467</v>
      </c>
      <c r="D2824" s="5" t="s">
        <v>16862</v>
      </c>
      <c r="E2824" s="5"/>
      <c r="F2824" s="1"/>
      <c r="G2824" s="5" t="s">
        <v>8971</v>
      </c>
      <c r="H2824" s="1"/>
      <c r="I2824" s="1"/>
      <c r="J2824" s="2"/>
      <c r="K2824" s="5" t="s">
        <v>8971</v>
      </c>
      <c r="M2824" s="18"/>
      <c r="N2824" s="1"/>
      <c r="O2824" s="1"/>
      <c r="P2824" s="21" t="str">
        <f>IF(ISNUMBER(MATCH($C2824,StackableKinds,0)), TRUE, "")</f>
        <v/>
      </c>
    </row>
    <row r="2825" spans="1:16" x14ac:dyDescent="0.2">
      <c r="A2825" s="19" t="str">
        <f>_xlfn.IFNA(VLOOKUP($B2825,Keys!$A:$B,2,FALSE),_xlfn.IFNA(VLOOKUP($B2825,Keys!$D:$E,2,FALSE),VLOOKUP($B2825,Keys!$G:$H,2,FALSE)))</f>
        <v>0x0000001FDA2388C6</v>
      </c>
      <c r="B2825" s="5" t="s">
        <v>7338</v>
      </c>
      <c r="C2825" s="5" t="s">
        <v>9467</v>
      </c>
      <c r="D2825" s="5" t="s">
        <v>16862</v>
      </c>
      <c r="E2825" s="5"/>
      <c r="F2825" s="1"/>
      <c r="G2825" s="5" t="s">
        <v>8971</v>
      </c>
      <c r="H2825" s="1"/>
      <c r="I2825" s="1"/>
      <c r="J2825" s="2"/>
      <c r="K2825" s="5" t="s">
        <v>8971</v>
      </c>
      <c r="M2825" s="18"/>
      <c r="N2825" s="1"/>
      <c r="O2825" s="1"/>
      <c r="P2825" s="21" t="str">
        <f>IF(ISNUMBER(MATCH($C2825,StackableKinds,0)), TRUE, "")</f>
        <v/>
      </c>
    </row>
    <row r="2826" spans="1:16" x14ac:dyDescent="0.2">
      <c r="A2826" s="19" t="str">
        <f>_xlfn.IFNA(VLOOKUP($B2826,Keys!$A:$B,2,FALSE),_xlfn.IFNA(VLOOKUP($B2826,Keys!$D:$E,2,FALSE),VLOOKUP($B2826,Keys!$G:$H,2,FALSE)))</f>
        <v>0x0000001F432AD97C</v>
      </c>
      <c r="B2826" s="5" t="s">
        <v>7340</v>
      </c>
      <c r="C2826" s="5" t="s">
        <v>9467</v>
      </c>
      <c r="D2826" s="5" t="s">
        <v>16862</v>
      </c>
      <c r="E2826" s="5"/>
      <c r="F2826" s="1"/>
      <c r="G2826" s="5" t="s">
        <v>8971</v>
      </c>
      <c r="H2826" s="1"/>
      <c r="I2826" s="1"/>
      <c r="J2826" s="2"/>
      <c r="K2826" s="5" t="s">
        <v>8971</v>
      </c>
      <c r="M2826" s="18"/>
      <c r="N2826" s="1"/>
      <c r="O2826" s="1"/>
      <c r="P2826" s="21" t="str">
        <f>IF(ISNUMBER(MATCH($C2826,StackableKinds,0)), TRUE, "")</f>
        <v/>
      </c>
    </row>
    <row r="2827" spans="1:16" x14ac:dyDescent="0.2">
      <c r="A2827" s="19" t="str">
        <f>_xlfn.IFNA(VLOOKUP($B2827,Keys!$A:$B,2,FALSE),_xlfn.IFNA(VLOOKUP($B2827,Keys!$D:$E,2,FALSE),VLOOKUP($B2827,Keys!$G:$H,2,FALSE)))</f>
        <v>0x0000001F342DE9EA</v>
      </c>
      <c r="B2827" s="5" t="s">
        <v>7342</v>
      </c>
      <c r="C2827" s="5" t="s">
        <v>9467</v>
      </c>
      <c r="D2827" s="5" t="s">
        <v>16862</v>
      </c>
      <c r="E2827" s="5"/>
      <c r="F2827" s="1"/>
      <c r="G2827" s="5" t="s">
        <v>8971</v>
      </c>
      <c r="H2827" s="1"/>
      <c r="I2827" s="1"/>
      <c r="J2827" s="2"/>
      <c r="K2827" s="5" t="s">
        <v>8971</v>
      </c>
      <c r="M2827" s="18"/>
      <c r="N2827" s="1"/>
      <c r="O2827" s="1"/>
      <c r="P2827" s="21" t="str">
        <f>IF(ISNUMBER(MATCH($C2827,StackableKinds,0)), TRUE, "")</f>
        <v/>
      </c>
    </row>
    <row r="2828" spans="1:16" x14ac:dyDescent="0.2">
      <c r="A2828" s="19" t="str">
        <f>_xlfn.IFNA(VLOOKUP($B2828,Keys!$A:$B,2,FALSE),_xlfn.IFNA(VLOOKUP($B2828,Keys!$D:$E,2,FALSE),VLOOKUP($B2828,Keys!$G:$H,2,FALSE)))</f>
        <v>0x0000001F07B55143</v>
      </c>
      <c r="B2828" s="5" t="s">
        <v>7344</v>
      </c>
      <c r="C2828" s="5" t="s">
        <v>9467</v>
      </c>
      <c r="D2828" s="5" t="s">
        <v>16862</v>
      </c>
      <c r="E2828" s="5"/>
      <c r="F2828" s="1"/>
      <c r="G2828" s="5" t="s">
        <v>8971</v>
      </c>
      <c r="H2828" s="1"/>
      <c r="I2828" s="1"/>
      <c r="J2828" s="2"/>
      <c r="K2828" s="5" t="s">
        <v>8971</v>
      </c>
      <c r="M2828" s="18"/>
      <c r="N2828" s="1"/>
      <c r="O2828" s="1"/>
      <c r="P2828" s="21" t="str">
        <f>IF(ISNUMBER(MATCH($C2828,StackableKinds,0)), TRUE, "")</f>
        <v/>
      </c>
    </row>
    <row r="2829" spans="1:16" x14ac:dyDescent="0.2">
      <c r="A2829" s="19" t="str">
        <f>_xlfn.IFNA(VLOOKUP($B2829,Keys!$A:$B,2,FALSE),_xlfn.IFNA(VLOOKUP($B2829,Keys!$D:$E,2,FALSE),VLOOKUP($B2829,Keys!$G:$H,2,FALSE)))</f>
        <v>0x0000001F9EBC00F9</v>
      </c>
      <c r="B2829" s="5" t="s">
        <v>7346</v>
      </c>
      <c r="C2829" s="5" t="s">
        <v>9467</v>
      </c>
      <c r="D2829" s="5" t="s">
        <v>16862</v>
      </c>
      <c r="E2829" s="5"/>
      <c r="F2829" s="1"/>
      <c r="G2829" s="5" t="s">
        <v>8971</v>
      </c>
      <c r="H2829" s="1"/>
      <c r="I2829" s="1"/>
      <c r="J2829" s="2"/>
      <c r="K2829" s="5" t="s">
        <v>8971</v>
      </c>
      <c r="M2829" s="18"/>
      <c r="N2829" s="1"/>
      <c r="O2829" s="1"/>
      <c r="P2829" s="21" t="str">
        <f>IF(ISNUMBER(MATCH($C2829,StackableKinds,0)), TRUE, "")</f>
        <v/>
      </c>
    </row>
    <row r="2830" spans="1:16" x14ac:dyDescent="0.2">
      <c r="A2830" s="19" t="str">
        <f>_xlfn.IFNA(VLOOKUP($B2830,Keys!$A:$B,2,FALSE),_xlfn.IFNA(VLOOKUP($B2830,Keys!$D:$E,2,FALSE),VLOOKUP($B2830,Keys!$G:$H,2,FALSE)))</f>
        <v>0x0000001FE9BB306F</v>
      </c>
      <c r="B2830" s="5" t="s">
        <v>7348</v>
      </c>
      <c r="C2830" s="5" t="s">
        <v>9467</v>
      </c>
      <c r="D2830" s="5" t="s">
        <v>16862</v>
      </c>
      <c r="E2830" s="5"/>
      <c r="F2830" s="1"/>
      <c r="G2830" s="5" t="s">
        <v>8971</v>
      </c>
      <c r="H2830" s="1"/>
      <c r="I2830" s="1"/>
      <c r="J2830" s="2"/>
      <c r="K2830" s="5" t="s">
        <v>8971</v>
      </c>
      <c r="M2830" s="18"/>
      <c r="N2830" s="1"/>
      <c r="O2830" s="1"/>
      <c r="P2830" s="21" t="str">
        <f>IF(ISNUMBER(MATCH($C2830,StackableKinds,0)), TRUE, "")</f>
        <v/>
      </c>
    </row>
    <row r="2831" spans="1:16" x14ac:dyDescent="0.2">
      <c r="A2831" s="19" t="str">
        <f>_xlfn.IFNA(VLOOKUP($B2831,Keys!$A:$B,2,FALSE),_xlfn.IFNA(VLOOKUP($B2831,Keys!$D:$E,2,FALSE),VLOOKUP($B2831,Keys!$G:$H,2,FALSE)))</f>
        <v>0x0000001F20C58476</v>
      </c>
      <c r="B2831" s="5" t="s">
        <v>7350</v>
      </c>
      <c r="C2831" s="5" t="s">
        <v>9467</v>
      </c>
      <c r="D2831" s="5" t="s">
        <v>16862</v>
      </c>
      <c r="E2831" s="5"/>
      <c r="F2831" s="1"/>
      <c r="G2831" s="5" t="s">
        <v>8971</v>
      </c>
      <c r="H2831" s="1"/>
      <c r="I2831" s="1"/>
      <c r="J2831" s="2"/>
      <c r="K2831" s="5" t="s">
        <v>8971</v>
      </c>
      <c r="M2831" s="18"/>
      <c r="N2831" s="1"/>
      <c r="O2831" s="1"/>
      <c r="P2831" s="21" t="str">
        <f>IF(ISNUMBER(MATCH($C2831,StackableKinds,0)), TRUE, "")</f>
        <v/>
      </c>
    </row>
    <row r="2832" spans="1:16" x14ac:dyDescent="0.2">
      <c r="A2832" s="19" t="str">
        <f>_xlfn.IFNA(VLOOKUP($B2832,Keys!$A:$B,2,FALSE),_xlfn.IFNA(VLOOKUP($B2832,Keys!$D:$E,2,FALSE),VLOOKUP($B2832,Keys!$G:$H,2,FALSE)))</f>
        <v>0x0000001FB9CCD5CC</v>
      </c>
      <c r="B2832" s="5" t="s">
        <v>7352</v>
      </c>
      <c r="C2832" s="5" t="s">
        <v>9467</v>
      </c>
      <c r="D2832" s="5" t="s">
        <v>16862</v>
      </c>
      <c r="E2832" s="5"/>
      <c r="F2832" s="1"/>
      <c r="G2832" s="5" t="s">
        <v>8971</v>
      </c>
      <c r="H2832" s="1"/>
      <c r="I2832" s="1"/>
      <c r="J2832" s="2"/>
      <c r="K2832" s="5" t="s">
        <v>8971</v>
      </c>
      <c r="M2832" s="18"/>
      <c r="N2832" s="1"/>
      <c r="O2832" s="1"/>
      <c r="P2832" s="21" t="str">
        <f>IF(ISNUMBER(MATCH($C2832,StackableKinds,0)), TRUE, "")</f>
        <v/>
      </c>
    </row>
    <row r="2833" spans="1:16" x14ac:dyDescent="0.2">
      <c r="A2833" s="19" t="str">
        <f>_xlfn.IFNA(VLOOKUP($B2833,Keys!$A:$B,2,FALSE),_xlfn.IFNA(VLOOKUP($B2833,Keys!$D:$E,2,FALSE),VLOOKUP($B2833,Keys!$G:$H,2,FALSE)))</f>
        <v>0x0000001FFD535DF3</v>
      </c>
      <c r="B2833" s="5" t="s">
        <v>7354</v>
      </c>
      <c r="C2833" s="5" t="s">
        <v>9467</v>
      </c>
      <c r="D2833" s="5" t="s">
        <v>16862</v>
      </c>
      <c r="E2833" s="5"/>
      <c r="F2833" s="1"/>
      <c r="G2833" s="5" t="s">
        <v>8971</v>
      </c>
      <c r="H2833" s="1"/>
      <c r="I2833" s="1"/>
      <c r="J2833" s="2"/>
      <c r="K2833" s="5" t="s">
        <v>8971</v>
      </c>
      <c r="M2833" s="18"/>
      <c r="N2833" s="1"/>
      <c r="O2833" s="1"/>
      <c r="P2833" s="21" t="str">
        <f>IF(ISNUMBER(MATCH($C2833,StackableKinds,0)), TRUE, "")</f>
        <v/>
      </c>
    </row>
    <row r="2834" spans="1:16" x14ac:dyDescent="0.2">
      <c r="A2834" s="19" t="str">
        <f>_xlfn.IFNA(VLOOKUP($B2834,Keys!$A:$B,2,FALSE),_xlfn.IFNA(VLOOKUP($B2834,Keys!$D:$E,2,FALSE),VLOOKUP($B2834,Keys!$G:$H,2,FALSE)))</f>
        <v>0x0000001F645A0C49</v>
      </c>
      <c r="B2834" s="5" t="s">
        <v>7356</v>
      </c>
      <c r="C2834" s="5" t="s">
        <v>9467</v>
      </c>
      <c r="D2834" s="5" t="s">
        <v>16862</v>
      </c>
      <c r="E2834" s="5"/>
      <c r="F2834" s="1"/>
      <c r="G2834" s="5" t="s">
        <v>8971</v>
      </c>
      <c r="H2834" s="1"/>
      <c r="I2834" s="1"/>
      <c r="J2834" s="2"/>
      <c r="K2834" s="5" t="s">
        <v>8971</v>
      </c>
      <c r="M2834" s="18"/>
      <c r="N2834" s="1"/>
      <c r="O2834" s="1"/>
      <c r="P2834" s="21" t="str">
        <f>IF(ISNUMBER(MATCH($C2834,StackableKinds,0)), TRUE, "")</f>
        <v/>
      </c>
    </row>
    <row r="2835" spans="1:16" x14ac:dyDescent="0.2">
      <c r="A2835" s="19" t="str">
        <f>_xlfn.IFNA(VLOOKUP($B2835,Keys!$A:$B,2,FALSE),_xlfn.IFNA(VLOOKUP($B2835,Keys!$D:$E,2,FALSE),VLOOKUP($B2835,Keys!$G:$H,2,FALSE)))</f>
        <v>0x0000001FE7C9B66D</v>
      </c>
      <c r="B2835" s="5" t="s">
        <v>7358</v>
      </c>
      <c r="C2835" s="5" t="s">
        <v>9467</v>
      </c>
      <c r="D2835" s="5" t="s">
        <v>16862</v>
      </c>
      <c r="E2835" s="5"/>
      <c r="F2835" s="1"/>
      <c r="G2835" s="5" t="s">
        <v>8971</v>
      </c>
      <c r="H2835" s="1"/>
      <c r="I2835" s="1"/>
      <c r="J2835" s="2"/>
      <c r="K2835" s="5" t="s">
        <v>8971</v>
      </c>
      <c r="M2835" s="18"/>
      <c r="N2835" s="1"/>
      <c r="O2835" s="1"/>
      <c r="P2835" s="21" t="str">
        <f>IF(ISNUMBER(MATCH($C2835,StackableKinds,0)), TRUE, "")</f>
        <v/>
      </c>
    </row>
    <row r="2836" spans="1:16" x14ac:dyDescent="0.2">
      <c r="A2836" s="19" t="str">
        <f>_xlfn.IFNA(VLOOKUP($B2836,Keys!$A:$B,2,FALSE),_xlfn.IFNA(VLOOKUP($B2836,Keys!$D:$E,2,FALSE),VLOOKUP($B2836,Keys!$G:$H,2,FALSE)))</f>
        <v>0x0000001F3A5F6FE8</v>
      </c>
      <c r="B2836" s="5" t="s">
        <v>7360</v>
      </c>
      <c r="C2836" s="5" t="s">
        <v>9467</v>
      </c>
      <c r="D2836" s="5" t="s">
        <v>16862</v>
      </c>
      <c r="E2836" s="5"/>
      <c r="F2836" s="1"/>
      <c r="G2836" s="5" t="s">
        <v>8971</v>
      </c>
      <c r="H2836" s="1"/>
      <c r="I2836" s="1"/>
      <c r="J2836" s="2"/>
      <c r="K2836" s="5" t="s">
        <v>8971</v>
      </c>
      <c r="M2836" s="18"/>
      <c r="N2836" s="1"/>
      <c r="O2836" s="1"/>
      <c r="P2836" s="21" t="str">
        <f>IF(ISNUMBER(MATCH($C2836,StackableKinds,0)), TRUE, "")</f>
        <v/>
      </c>
    </row>
    <row r="2837" spans="1:16" x14ac:dyDescent="0.2">
      <c r="A2837" s="19" t="str">
        <f>_xlfn.IFNA(VLOOKUP($B2837,Keys!$A:$B,2,FALSE),_xlfn.IFNA(VLOOKUP($B2837,Keys!$D:$E,2,FALSE),VLOOKUP($B2837,Keys!$G:$H,2,FALSE)))</f>
        <v>0x0000001FA3563E52</v>
      </c>
      <c r="B2837" s="5" t="s">
        <v>7362</v>
      </c>
      <c r="C2837" s="5" t="s">
        <v>9467</v>
      </c>
      <c r="D2837" s="5" t="s">
        <v>16862</v>
      </c>
      <c r="E2837" s="5"/>
      <c r="F2837" s="1"/>
      <c r="G2837" s="5" t="s">
        <v>8971</v>
      </c>
      <c r="H2837" s="1"/>
      <c r="I2837" s="1"/>
      <c r="J2837" s="2"/>
      <c r="K2837" s="5" t="s">
        <v>8971</v>
      </c>
      <c r="M2837" s="18"/>
      <c r="N2837" s="1"/>
      <c r="O2837" s="1"/>
      <c r="P2837" s="21" t="str">
        <f>IF(ISNUMBER(MATCH($C2837,StackableKinds,0)), TRUE, "")</f>
        <v/>
      </c>
    </row>
    <row r="2838" spans="1:16" x14ac:dyDescent="0.2">
      <c r="A2838" s="19" t="str">
        <f>_xlfn.IFNA(VLOOKUP($B2838,Keys!$A:$B,2,FALSE),_xlfn.IFNA(VLOOKUP($B2838,Keys!$D:$E,2,FALSE),VLOOKUP($B2838,Keys!$G:$H,2,FALSE)))</f>
        <v>0x0000001F87950326</v>
      </c>
      <c r="B2838" s="5" t="s">
        <v>7364</v>
      </c>
      <c r="C2838" s="5" t="s">
        <v>9467</v>
      </c>
      <c r="D2838" s="5" t="s">
        <v>16862</v>
      </c>
      <c r="E2838" s="5"/>
      <c r="F2838" s="1"/>
      <c r="G2838" s="5" t="s">
        <v>8971</v>
      </c>
      <c r="H2838" s="1"/>
      <c r="I2838" s="1"/>
      <c r="J2838" s="2"/>
      <c r="K2838" s="5" t="s">
        <v>8971</v>
      </c>
      <c r="M2838" s="18"/>
      <c r="N2838" s="1"/>
      <c r="O2838" s="1"/>
      <c r="P2838" s="21" t="str">
        <f>IF(ISNUMBER(MATCH($C2838,StackableKinds,0)), TRUE, "")</f>
        <v/>
      </c>
    </row>
    <row r="2839" spans="1:16" x14ac:dyDescent="0.2">
      <c r="A2839" s="19" t="str">
        <f>_xlfn.IFNA(VLOOKUP($B2839,Keys!$A:$B,2,FALSE),_xlfn.IFNA(VLOOKUP($B2839,Keys!$D:$E,2,FALSE),VLOOKUP($B2839,Keys!$G:$H,2,FALSE)))</f>
        <v>0x0000001F1E9C529C</v>
      </c>
      <c r="B2839" s="5" t="s">
        <v>7366</v>
      </c>
      <c r="C2839" s="5" t="s">
        <v>9467</v>
      </c>
      <c r="D2839" s="5" t="s">
        <v>16862</v>
      </c>
      <c r="E2839" s="5"/>
      <c r="F2839" s="1"/>
      <c r="G2839" s="5" t="s">
        <v>8971</v>
      </c>
      <c r="H2839" s="1"/>
      <c r="I2839" s="1"/>
      <c r="J2839" s="2"/>
      <c r="K2839" s="5" t="s">
        <v>8971</v>
      </c>
      <c r="M2839" s="18"/>
      <c r="N2839" s="1"/>
      <c r="O2839" s="1"/>
      <c r="P2839" s="21" t="str">
        <f>IF(ISNUMBER(MATCH($C2839,StackableKinds,0)), TRUE, "")</f>
        <v/>
      </c>
    </row>
    <row r="2840" spans="1:16" x14ac:dyDescent="0.2">
      <c r="A2840" s="19" t="str">
        <f>_xlfn.IFNA(VLOOKUP($B2840,Keys!$A:$B,2,FALSE),_xlfn.IFNA(VLOOKUP($B2840,Keys!$D:$E,2,FALSE),VLOOKUP($B2840,Keys!$G:$H,2,FALSE)))</f>
        <v>0x0000001F699B620A</v>
      </c>
      <c r="B2840" s="5" t="s">
        <v>7368</v>
      </c>
      <c r="C2840" s="5" t="s">
        <v>9467</v>
      </c>
      <c r="D2840" s="5" t="s">
        <v>16862</v>
      </c>
      <c r="E2840" s="5"/>
      <c r="F2840" s="1"/>
      <c r="G2840" s="5" t="s">
        <v>8971</v>
      </c>
      <c r="H2840" s="1"/>
      <c r="I2840" s="1"/>
      <c r="J2840" s="2"/>
      <c r="K2840" s="5" t="s">
        <v>8971</v>
      </c>
      <c r="M2840" s="18"/>
      <c r="N2840" s="1"/>
      <c r="O2840" s="1"/>
      <c r="P2840" s="21" t="str">
        <f>IF(ISNUMBER(MATCH($C2840,StackableKinds,0)), TRUE, "")</f>
        <v/>
      </c>
    </row>
    <row r="2841" spans="1:16" x14ac:dyDescent="0.2">
      <c r="A2841" s="19" t="str">
        <f>_xlfn.IFNA(VLOOKUP($B2841,Keys!$A:$B,2,FALSE),_xlfn.IFNA(VLOOKUP($B2841,Keys!$D:$E,2,FALSE),VLOOKUP($B2841,Keys!$G:$H,2,FALSE)))</f>
        <v>0x0000001F5A03DAA3</v>
      </c>
      <c r="B2841" s="5" t="s">
        <v>7370</v>
      </c>
      <c r="C2841" s="5" t="s">
        <v>9467</v>
      </c>
      <c r="D2841" s="5" t="s">
        <v>16862</v>
      </c>
      <c r="E2841" s="5"/>
      <c r="F2841" s="1"/>
      <c r="G2841" s="5" t="s">
        <v>8971</v>
      </c>
      <c r="H2841" s="1"/>
      <c r="I2841" s="1"/>
      <c r="J2841" s="2"/>
      <c r="K2841" s="5" t="s">
        <v>8971</v>
      </c>
      <c r="M2841" s="18"/>
      <c r="N2841" s="1"/>
      <c r="O2841" s="1"/>
      <c r="P2841" s="21" t="str">
        <f>IF(ISNUMBER(MATCH($C2841,StackableKinds,0)), TRUE, "")</f>
        <v/>
      </c>
    </row>
    <row r="2842" spans="1:16" x14ac:dyDescent="0.2">
      <c r="A2842" s="19" t="str">
        <f>_xlfn.IFNA(VLOOKUP($B2842,Keys!$A:$B,2,FALSE),_xlfn.IFNA(VLOOKUP($B2842,Keys!$D:$E,2,FALSE),VLOOKUP($B2842,Keys!$G:$H,2,FALSE)))</f>
        <v>0x0000001FC30A8B19</v>
      </c>
      <c r="B2842" s="5" t="s">
        <v>7372</v>
      </c>
      <c r="C2842" s="5" t="s">
        <v>9467</v>
      </c>
      <c r="D2842" s="5" t="s">
        <v>16862</v>
      </c>
      <c r="E2842" s="5"/>
      <c r="F2842" s="1"/>
      <c r="G2842" s="5" t="s">
        <v>8971</v>
      </c>
      <c r="H2842" s="1"/>
      <c r="I2842" s="1"/>
      <c r="J2842" s="2"/>
      <c r="K2842" s="5" t="s">
        <v>8971</v>
      </c>
      <c r="M2842" s="18"/>
      <c r="N2842" s="1"/>
      <c r="O2842" s="1"/>
      <c r="P2842" s="21" t="str">
        <f>IF(ISNUMBER(MATCH($C2842,StackableKinds,0)), TRUE, "")</f>
        <v/>
      </c>
    </row>
    <row r="2843" spans="1:16" x14ac:dyDescent="0.2">
      <c r="A2843" s="19" t="str">
        <f>_xlfn.IFNA(VLOOKUP($B2843,Keys!$A:$B,2,FALSE),_xlfn.IFNA(VLOOKUP($B2843,Keys!$D:$E,2,FALSE),VLOOKUP($B2843,Keys!$G:$H,2,FALSE)))</f>
        <v>0x0000001F2770DCFB</v>
      </c>
      <c r="B2843" s="5" t="s">
        <v>7374</v>
      </c>
      <c r="C2843" s="5" t="s">
        <v>9467</v>
      </c>
      <c r="D2843" s="5" t="s">
        <v>16862</v>
      </c>
      <c r="E2843" s="5"/>
      <c r="F2843" s="1"/>
      <c r="G2843" s="5" t="s">
        <v>8971</v>
      </c>
      <c r="H2843" s="1"/>
      <c r="I2843" s="1"/>
      <c r="J2843" s="2"/>
      <c r="K2843" s="5" t="s">
        <v>8971</v>
      </c>
      <c r="M2843" s="18"/>
      <c r="N2843" s="1"/>
      <c r="O2843" s="1"/>
      <c r="P2843" s="21" t="str">
        <f>IF(ISNUMBER(MATCH($C2843,StackableKinds,0)), TRUE, "")</f>
        <v/>
      </c>
    </row>
    <row r="2844" spans="1:16" x14ac:dyDescent="0.2">
      <c r="A2844" s="19" t="str">
        <f>_xlfn.IFNA(VLOOKUP($B2844,Keys!$A:$B,2,FALSE),_xlfn.IFNA(VLOOKUP($B2844,Keys!$D:$E,2,FALSE),VLOOKUP($B2844,Keys!$G:$H,2,FALSE)))</f>
        <v>0x0000001FBE798D41</v>
      </c>
      <c r="B2844" s="5" t="s">
        <v>7376</v>
      </c>
      <c r="C2844" s="5" t="s">
        <v>9467</v>
      </c>
      <c r="D2844" s="5" t="s">
        <v>16862</v>
      </c>
      <c r="E2844" s="5"/>
      <c r="F2844" s="1"/>
      <c r="G2844" s="5" t="s">
        <v>8971</v>
      </c>
      <c r="H2844" s="1"/>
      <c r="I2844" s="1"/>
      <c r="J2844" s="2"/>
      <c r="K2844" s="5" t="s">
        <v>8971</v>
      </c>
      <c r="M2844" s="18"/>
      <c r="N2844" s="1"/>
      <c r="O2844" s="1"/>
      <c r="P2844" s="21" t="str">
        <f>IF(ISNUMBER(MATCH($C2844,StackableKinds,0)), TRUE, "")</f>
        <v/>
      </c>
    </row>
    <row r="2845" spans="1:16" x14ac:dyDescent="0.2">
      <c r="A2845" s="19" t="str">
        <f>_xlfn.IFNA(VLOOKUP($B2845,Keys!$A:$B,2,FALSE),_xlfn.IFNA(VLOOKUP($B2845,Keys!$D:$E,2,FALSE),VLOOKUP($B2845,Keys!$G:$H,2,FALSE)))</f>
        <v>0x00000023E90D2EF0</v>
      </c>
      <c r="B2845" s="5" t="s">
        <v>7378</v>
      </c>
      <c r="C2845" s="5" t="s">
        <v>9467</v>
      </c>
      <c r="D2845" s="5" t="s">
        <v>16862</v>
      </c>
      <c r="E2845" s="5"/>
      <c r="F2845" s="1"/>
      <c r="G2845" s="5" t="s">
        <v>8971</v>
      </c>
      <c r="H2845" s="1"/>
      <c r="I2845" s="1"/>
      <c r="J2845" s="2"/>
      <c r="K2845" s="5" t="s">
        <v>8971</v>
      </c>
      <c r="M2845" s="18"/>
      <c r="N2845" s="1"/>
      <c r="O2845" s="1"/>
      <c r="P2845" s="21" t="str">
        <f>IF(ISNUMBER(MATCH($C2845,StackableKinds,0)), TRUE, "")</f>
        <v/>
      </c>
    </row>
    <row r="2846" spans="1:16" x14ac:dyDescent="0.2">
      <c r="A2846" s="19" t="str">
        <f>_xlfn.IFNA(VLOOKUP($B2846,Keys!$A:$B,2,FALSE),_xlfn.IFNA(VLOOKUP($B2846,Keys!$D:$E,2,FALSE),VLOOKUP($B2846,Keys!$G:$H,2,FALSE)))</f>
        <v>0x0000001FFAE6057E</v>
      </c>
      <c r="B2846" s="5" t="s">
        <v>7380</v>
      </c>
      <c r="C2846" s="5" t="s">
        <v>9467</v>
      </c>
      <c r="D2846" s="5" t="s">
        <v>16862</v>
      </c>
      <c r="E2846" s="5"/>
      <c r="F2846" s="1"/>
      <c r="G2846" s="5" t="s">
        <v>8971</v>
      </c>
      <c r="H2846" s="1"/>
      <c r="I2846" s="1"/>
      <c r="J2846" s="2"/>
      <c r="K2846" s="5" t="s">
        <v>8971</v>
      </c>
      <c r="M2846" s="18"/>
      <c r="N2846" s="1"/>
      <c r="O2846" s="1"/>
      <c r="P2846" s="21" t="str">
        <f>IF(ISNUMBER(MATCH($C2846,StackableKinds,0)), TRUE, "")</f>
        <v/>
      </c>
    </row>
    <row r="2847" spans="1:16" x14ac:dyDescent="0.2">
      <c r="A2847" s="19" t="str">
        <f>_xlfn.IFNA(VLOOKUP($B2847,Keys!$A:$B,2,FALSE),_xlfn.IFNA(VLOOKUP($B2847,Keys!$D:$E,2,FALSE),VLOOKUP($B2847,Keys!$G:$H,2,FALSE)))</f>
        <v>0x0000001F472C69B0</v>
      </c>
      <c r="B2847" s="5" t="s">
        <v>7382</v>
      </c>
      <c r="C2847" s="5" t="s">
        <v>9467</v>
      </c>
      <c r="D2847" s="5" t="s">
        <v>16862</v>
      </c>
      <c r="E2847" s="5"/>
      <c r="F2847" s="1"/>
      <c r="G2847" s="5" t="s">
        <v>8971</v>
      </c>
      <c r="H2847" s="1"/>
      <c r="I2847" s="1"/>
      <c r="J2847" s="2"/>
      <c r="K2847" s="5" t="s">
        <v>8971</v>
      </c>
      <c r="M2847" s="18"/>
      <c r="N2847" s="1"/>
      <c r="O2847" s="1"/>
      <c r="P2847" s="21" t="str">
        <f>IF(ISNUMBER(MATCH($C2847,StackableKinds,0)), TRUE, "")</f>
        <v/>
      </c>
    </row>
    <row r="2848" spans="1:16" x14ac:dyDescent="0.2">
      <c r="A2848" s="19" t="str">
        <f>_xlfn.IFNA(VLOOKUP($B2848,Keys!$A:$B,2,FALSE),_xlfn.IFNA(VLOOKUP($B2848,Keys!$D:$E,2,FALSE),VLOOKUP($B2848,Keys!$G:$H,2,FALSE)))</f>
        <v>0x0000001FDE25380A</v>
      </c>
      <c r="B2848" s="5" t="s">
        <v>7384</v>
      </c>
      <c r="C2848" s="5" t="s">
        <v>9467</v>
      </c>
      <c r="D2848" s="5" t="s">
        <v>16862</v>
      </c>
      <c r="E2848" s="5"/>
      <c r="F2848" s="1"/>
      <c r="G2848" s="5" t="s">
        <v>8971</v>
      </c>
      <c r="H2848" s="1"/>
      <c r="I2848" s="1"/>
      <c r="J2848" s="2"/>
      <c r="K2848" s="5" t="s">
        <v>8971</v>
      </c>
      <c r="M2848" s="18"/>
      <c r="N2848" s="1"/>
      <c r="O2848" s="1"/>
      <c r="P2848" s="21" t="str">
        <f>IF(ISNUMBER(MATCH($C2848,StackableKinds,0)), TRUE, "")</f>
        <v/>
      </c>
    </row>
    <row r="2849" spans="1:16" x14ac:dyDescent="0.2">
      <c r="A2849" s="19" t="str">
        <f>_xlfn.IFNA(VLOOKUP($B2849,Keys!$A:$B,2,FALSE),_xlfn.IFNA(VLOOKUP($B2849,Keys!$D:$E,2,FALSE),VLOOKUP($B2849,Keys!$G:$H,2,FALSE)))</f>
        <v>0x0000001C120B5FD5</v>
      </c>
      <c r="B2849" s="5" t="s">
        <v>7386</v>
      </c>
      <c r="C2849" s="5" t="s">
        <v>9467</v>
      </c>
      <c r="D2849" s="5" t="s">
        <v>16862</v>
      </c>
      <c r="E2849" s="5"/>
      <c r="F2849" s="1"/>
      <c r="G2849" s="5" t="s">
        <v>8971</v>
      </c>
      <c r="H2849" s="1"/>
      <c r="I2849" s="1"/>
      <c r="J2849" s="2"/>
      <c r="K2849" s="5" t="s">
        <v>8971</v>
      </c>
      <c r="M2849" s="18"/>
      <c r="N2849" s="1"/>
      <c r="O2849" s="1"/>
      <c r="P2849" s="21" t="str">
        <f>IF(ISNUMBER(MATCH($C2849,StackableKinds,0)), TRUE, "")</f>
        <v/>
      </c>
    </row>
    <row r="2850" spans="1:16" x14ac:dyDescent="0.2">
      <c r="A2850" s="19" t="str">
        <f>_xlfn.IFNA(VLOOKUP($B2850,Keys!$A:$B,2,FALSE),_xlfn.IFNA(VLOOKUP($B2850,Keys!$D:$E,2,FALSE),VLOOKUP($B2850,Keys!$G:$H,2,FALSE)))</f>
        <v>0x0000001CF93CE4D6</v>
      </c>
      <c r="B2850" s="5" t="s">
        <v>7388</v>
      </c>
      <c r="C2850" s="5" t="s">
        <v>9467</v>
      </c>
      <c r="D2850" s="5" t="s">
        <v>16862</v>
      </c>
      <c r="E2850" s="5"/>
      <c r="F2850" s="1"/>
      <c r="G2850" s="5" t="s">
        <v>8971</v>
      </c>
      <c r="H2850" s="1"/>
      <c r="I2850" s="1"/>
      <c r="J2850" s="2"/>
      <c r="K2850" s="5" t="s">
        <v>8971</v>
      </c>
      <c r="M2850" s="18"/>
      <c r="N2850" s="1"/>
      <c r="O2850" s="1"/>
      <c r="P2850" s="21" t="str">
        <f>IF(ISNUMBER(MATCH($C2850,StackableKinds,0)), TRUE, "")</f>
        <v/>
      </c>
    </row>
    <row r="2851" spans="1:16" x14ac:dyDescent="0.2">
      <c r="A2851" s="19" t="str">
        <f>_xlfn.IFNA(VLOOKUP($B2851,Keys!$A:$B,2,FALSE),_xlfn.IFNA(VLOOKUP($B2851,Keys!$D:$E,2,FALSE),VLOOKUP($B2851,Keys!$G:$H,2,FALSE)))</f>
        <v>0x0000001C16FE8FE8</v>
      </c>
      <c r="B2851" s="5" t="s">
        <v>7392</v>
      </c>
      <c r="C2851" s="5" t="s">
        <v>9467</v>
      </c>
      <c r="D2851" s="5" t="s">
        <v>16862</v>
      </c>
      <c r="E2851" s="5"/>
      <c r="F2851" s="1"/>
      <c r="G2851" s="5" t="s">
        <v>8971</v>
      </c>
      <c r="H2851" s="1"/>
      <c r="I2851" s="1"/>
      <c r="J2851" s="2"/>
      <c r="K2851" s="5" t="s">
        <v>8971</v>
      </c>
      <c r="M2851" s="18"/>
      <c r="N2851" s="1"/>
      <c r="O2851" s="1"/>
      <c r="P2851" s="21" t="str">
        <f>IF(ISNUMBER(MATCH($C2851,StackableKinds,0)), TRUE, "")</f>
        <v/>
      </c>
    </row>
    <row r="2852" spans="1:16" x14ac:dyDescent="0.2">
      <c r="A2852" s="19" t="str">
        <f>_xlfn.IFNA(VLOOKUP($B2852,Keys!$A:$B,2,FALSE),_xlfn.IFNA(VLOOKUP($B2852,Keys!$D:$E,2,FALSE),VLOOKUP($B2852,Keys!$G:$H,2,FALSE)))</f>
        <v>0x0000001CF4229491</v>
      </c>
      <c r="B2852" s="5" t="s">
        <v>7394</v>
      </c>
      <c r="C2852" s="5" t="s">
        <v>9467</v>
      </c>
      <c r="D2852" s="5" t="s">
        <v>16862</v>
      </c>
      <c r="E2852" s="5"/>
      <c r="F2852" s="1"/>
      <c r="G2852" s="5" t="s">
        <v>8971</v>
      </c>
      <c r="H2852" s="1"/>
      <c r="I2852" s="1"/>
      <c r="J2852" s="2"/>
      <c r="K2852" s="5" t="s">
        <v>8971</v>
      </c>
      <c r="M2852" s="18"/>
      <c r="N2852" s="1"/>
      <c r="O2852" s="1"/>
      <c r="P2852" s="21" t="str">
        <f>IF(ISNUMBER(MATCH($C2852,StackableKinds,0)), TRUE, "")</f>
        <v/>
      </c>
    </row>
    <row r="2853" spans="1:16" x14ac:dyDescent="0.2">
      <c r="A2853" s="19" t="str">
        <f>_xlfn.IFNA(VLOOKUP($B2853,Keys!$A:$B,2,FALSE),_xlfn.IFNA(VLOOKUP($B2853,Keys!$D:$E,2,FALSE),VLOOKUP($B2853,Keys!$G:$H,2,FALSE)))</f>
        <v>0x0000001FB3AC0B25</v>
      </c>
      <c r="B2853" s="5" t="s">
        <v>7396</v>
      </c>
      <c r="C2853" s="5" t="s">
        <v>9467</v>
      </c>
      <c r="D2853" s="5" t="s">
        <v>16862</v>
      </c>
      <c r="E2853" s="5"/>
      <c r="F2853" s="1"/>
      <c r="G2853" s="5" t="s">
        <v>8971</v>
      </c>
      <c r="H2853" s="1"/>
      <c r="I2853" s="1"/>
      <c r="J2853" s="2"/>
      <c r="K2853" s="5" t="s">
        <v>8971</v>
      </c>
      <c r="M2853" s="18"/>
      <c r="N2853" s="1"/>
      <c r="O2853" s="1"/>
      <c r="P2853" s="21" t="str">
        <f>IF(ISNUMBER(MATCH($C2853,StackableKinds,0)), TRUE, "")</f>
        <v/>
      </c>
    </row>
    <row r="2854" spans="1:16" x14ac:dyDescent="0.2">
      <c r="A2854" s="19" t="str">
        <f>_xlfn.IFNA(VLOOKUP($B2854,Keys!$A:$B,2,FALSE),_xlfn.IFNA(VLOOKUP($B2854,Keys!$D:$E,2,FALSE),VLOOKUP($B2854,Keys!$G:$H,2,FALSE)))</f>
        <v>0x0000001CF0D744AC</v>
      </c>
      <c r="B2854" s="5" t="s">
        <v>7398</v>
      </c>
      <c r="C2854" s="5" t="s">
        <v>9467</v>
      </c>
      <c r="D2854" s="5" t="s">
        <v>16862</v>
      </c>
      <c r="E2854" s="5"/>
      <c r="F2854" s="1"/>
      <c r="G2854" s="5" t="s">
        <v>8971</v>
      </c>
      <c r="H2854" s="1"/>
      <c r="I2854" s="1"/>
      <c r="J2854" s="2"/>
      <c r="K2854" s="5" t="s">
        <v>8971</v>
      </c>
      <c r="M2854" s="18"/>
      <c r="N2854" s="1"/>
      <c r="O2854" s="1"/>
      <c r="P2854" s="21" t="str">
        <f>IF(ISNUMBER(MATCH($C2854,StackableKinds,0)), TRUE, "")</f>
        <v/>
      </c>
    </row>
    <row r="2855" spans="1:16" x14ac:dyDescent="0.2">
      <c r="A2855" s="19" t="str">
        <f>_xlfn.IFNA(VLOOKUP($B2855,Keys!$A:$B,2,FALSE),_xlfn.IFNA(VLOOKUP($B2855,Keys!$D:$E,2,FALSE),VLOOKUP($B2855,Keys!$G:$H,2,FALSE)))</f>
        <v>0x0000001FD3F0BE6E</v>
      </c>
      <c r="B2855" s="5" t="s">
        <v>7400</v>
      </c>
      <c r="C2855" s="5" t="s">
        <v>9467</v>
      </c>
      <c r="D2855" s="5" t="s">
        <v>16862</v>
      </c>
      <c r="E2855" s="5"/>
      <c r="F2855" s="1"/>
      <c r="G2855" s="5" t="s">
        <v>8971</v>
      </c>
      <c r="H2855" s="1"/>
      <c r="I2855" s="1"/>
      <c r="J2855" s="2"/>
      <c r="K2855" s="5" t="s">
        <v>8971</v>
      </c>
      <c r="M2855" s="18"/>
      <c r="N2855" s="1"/>
      <c r="O2855" s="1"/>
      <c r="P2855" s="21" t="str">
        <f>IF(ISNUMBER(MATCH($C2855,StackableKinds,0)), TRUE, "")</f>
        <v/>
      </c>
    </row>
    <row r="2856" spans="1:16" x14ac:dyDescent="0.2">
      <c r="A2856" s="19" t="str">
        <f>_xlfn.IFNA(VLOOKUP($B2856,Keys!$A:$B,2,FALSE),_xlfn.IFNA(VLOOKUP($B2856,Keys!$D:$E,2,FALSE),VLOOKUP($B2856,Keys!$G:$H,2,FALSE)))</f>
        <v>0x0000001C1F152F92</v>
      </c>
      <c r="B2856" s="5" t="s">
        <v>7402</v>
      </c>
      <c r="C2856" s="5" t="s">
        <v>9467</v>
      </c>
      <c r="D2856" s="5" t="s">
        <v>16862</v>
      </c>
      <c r="E2856" s="5"/>
      <c r="F2856" s="1"/>
      <c r="G2856" s="5" t="s">
        <v>8971</v>
      </c>
      <c r="H2856" s="1"/>
      <c r="I2856" s="1"/>
      <c r="J2856" s="2"/>
      <c r="K2856" s="5" t="s">
        <v>8971</v>
      </c>
      <c r="M2856" s="18"/>
      <c r="N2856" s="1"/>
      <c r="O2856" s="1"/>
      <c r="P2856" s="21" t="str">
        <f>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16862</v>
      </c>
      <c r="E2857" s="5"/>
      <c r="F2857" s="1"/>
      <c r="G2857" s="5" t="s">
        <v>8971</v>
      </c>
      <c r="H2857" s="1"/>
      <c r="I2857" s="1"/>
      <c r="J2857" s="2"/>
      <c r="K2857" s="5" t="s">
        <v>8971</v>
      </c>
      <c r="M2857" s="18"/>
      <c r="N2857" s="1"/>
      <c r="O2857" s="1"/>
      <c r="P2857" s="21" t="str">
        <f>IF(ISNUMBER(MATCH($C2857,StackableKinds,0)), TRUE, "")</f>
        <v/>
      </c>
    </row>
    <row r="2858" spans="1:16" x14ac:dyDescent="0.2">
      <c r="A2858" s="19" t="str">
        <f>_xlfn.IFNA(VLOOKUP($B2858,Keys!$A:$B,2,FALSE),_xlfn.IFNA(VLOOKUP($B2858,Keys!$D:$E,2,FALSE),VLOOKUP($B2858,Keys!$G:$H,2,FALSE)))</f>
        <v>0x0000001F7961577D</v>
      </c>
      <c r="B2858" s="5" t="s">
        <v>7406</v>
      </c>
      <c r="C2858" s="5" t="s">
        <v>9467</v>
      </c>
      <c r="D2858" s="5" t="s">
        <v>16862</v>
      </c>
      <c r="E2858" s="5"/>
      <c r="F2858" s="1"/>
      <c r="G2858" s="5" t="s">
        <v>8971</v>
      </c>
      <c r="H2858" s="1"/>
      <c r="I2858" s="1"/>
      <c r="J2858" s="2"/>
      <c r="K2858" s="5" t="s">
        <v>8971</v>
      </c>
      <c r="M2858" s="18"/>
      <c r="N2858" s="1"/>
      <c r="O2858" s="1"/>
      <c r="P2858" s="21" t="str">
        <f>IF(ISNUMBER(MATCH($C2858,StackableKinds,0)), TRUE, "")</f>
        <v/>
      </c>
    </row>
    <row r="2859" spans="1:16" x14ac:dyDescent="0.2">
      <c r="A2859" s="19" t="str">
        <f>_xlfn.IFNA(VLOOKUP($B2859,Keys!$A:$B,2,FALSE),_xlfn.IFNA(VLOOKUP($B2859,Keys!$D:$E,2,FALSE),VLOOKUP($B2859,Keys!$G:$H,2,FALSE)))</f>
        <v>0x0000001CEE1E741F</v>
      </c>
      <c r="B2859" s="5" t="s">
        <v>7408</v>
      </c>
      <c r="C2859" s="5" t="s">
        <v>9467</v>
      </c>
      <c r="D2859" s="5" t="s">
        <v>16862</v>
      </c>
      <c r="E2859" s="5"/>
      <c r="F2859" s="1"/>
      <c r="G2859" s="5" t="s">
        <v>8971</v>
      </c>
      <c r="H2859" s="1"/>
      <c r="I2859" s="1"/>
      <c r="J2859" s="2"/>
      <c r="K2859" s="5" t="s">
        <v>8971</v>
      </c>
      <c r="M2859" s="18"/>
      <c r="N2859" s="1"/>
      <c r="O2859" s="1"/>
      <c r="P2859" s="21" t="str">
        <f>IF(ISNUMBER(MATCH($C2859,StackableKinds,0)), TRUE, "")</f>
        <v/>
      </c>
    </row>
    <row r="2860" spans="1:16" x14ac:dyDescent="0.2">
      <c r="A2860" s="19" t="str">
        <f>_xlfn.IFNA(VLOOKUP($B2860,Keys!$A:$B,2,FALSE),_xlfn.IFNA(VLOOKUP($B2860,Keys!$D:$E,2,FALSE),VLOOKUP($B2860,Keys!$G:$H,2,FALSE)))</f>
        <v>0x0000001C01DC1F21</v>
      </c>
      <c r="B2860" s="5" t="s">
        <v>7410</v>
      </c>
      <c r="C2860" s="5" t="s">
        <v>9467</v>
      </c>
      <c r="D2860" s="5" t="s">
        <v>16862</v>
      </c>
      <c r="E2860" s="5"/>
      <c r="F2860" s="1"/>
      <c r="G2860" s="5" t="s">
        <v>8971</v>
      </c>
      <c r="H2860" s="1"/>
      <c r="I2860" s="1"/>
      <c r="J2860" s="2"/>
      <c r="K2860" s="5" t="s">
        <v>8971</v>
      </c>
      <c r="M2860" s="18"/>
      <c r="N2860" s="1"/>
      <c r="O2860" s="1"/>
      <c r="P2860" s="21" t="str">
        <f>IF(ISNUMBER(MATCH($C2860,StackableKinds,0)), TRUE, "")</f>
        <v/>
      </c>
    </row>
    <row r="2861" spans="1:16" x14ac:dyDescent="0.2">
      <c r="A2861" s="19" t="str">
        <f>_xlfn.IFNA(VLOOKUP($B2861,Keys!$A:$B,2,FALSE),_xlfn.IFNA(VLOOKUP($B2861,Keys!$D:$E,2,FALSE),VLOOKUP($B2861,Keys!$G:$H,2,FALSE)))</f>
        <v>0x0000001FF4806B5B</v>
      </c>
      <c r="B2861" s="5" t="s">
        <v>7412</v>
      </c>
      <c r="C2861" s="5" t="s">
        <v>9467</v>
      </c>
      <c r="D2861" s="5" t="s">
        <v>16862</v>
      </c>
      <c r="E2861" s="5"/>
      <c r="F2861" s="1"/>
      <c r="G2861" s="5" t="s">
        <v>8971</v>
      </c>
      <c r="H2861" s="1"/>
      <c r="I2861" s="1"/>
      <c r="J2861" s="2"/>
      <c r="K2861" s="5" t="s">
        <v>8971</v>
      </c>
      <c r="M2861" s="18"/>
      <c r="N2861" s="1"/>
      <c r="O2861" s="1"/>
      <c r="P2861" s="21" t="str">
        <f>IF(ISNUMBER(MATCH($C2861,StackableKinds,0)), TRUE, "")</f>
        <v/>
      </c>
    </row>
    <row r="2862" spans="1:16" x14ac:dyDescent="0.2">
      <c r="A2862" s="19" t="str">
        <f>_xlfn.IFNA(VLOOKUP($B2862,Keys!$A:$B,2,FALSE),_xlfn.IFNA(VLOOKUP($B2862,Keys!$D:$E,2,FALSE),VLOOKUP($B2862,Keys!$G:$H,2,FALSE)))</f>
        <v>0x0000002321F33E1C</v>
      </c>
      <c r="B2862" s="5" t="s">
        <v>7414</v>
      </c>
      <c r="C2862" s="5" t="s">
        <v>9467</v>
      </c>
      <c r="D2862" s="5" t="s">
        <v>16862</v>
      </c>
      <c r="E2862" s="5"/>
      <c r="F2862" s="1"/>
      <c r="G2862" s="5" t="s">
        <v>8971</v>
      </c>
      <c r="H2862" s="1"/>
      <c r="I2862" s="1"/>
      <c r="J2862" s="2"/>
      <c r="K2862" s="5" t="s">
        <v>8971</v>
      </c>
      <c r="M2862" s="18"/>
      <c r="N2862" s="1"/>
      <c r="O2862" s="1"/>
      <c r="P2862" s="21" t="str">
        <f>IF(ISNUMBER(MATCH($C2862,StackableKinds,0)), TRUE, "")</f>
        <v/>
      </c>
    </row>
    <row r="2863" spans="1:16" x14ac:dyDescent="0.2">
      <c r="A2863" s="19" t="str">
        <f>_xlfn.IFNA(VLOOKUP($B2863,Keys!$A:$B,2,FALSE),_xlfn.IFNA(VLOOKUP($B2863,Keys!$D:$E,2,FALSE),VLOOKUP($B2863,Keys!$G:$H,2,FALSE)))</f>
        <v>0x0000001C3C47EB2B</v>
      </c>
      <c r="B2863" s="5" t="s">
        <v>7416</v>
      </c>
      <c r="C2863" s="5" t="s">
        <v>9467</v>
      </c>
      <c r="D2863" s="5" t="s">
        <v>16862</v>
      </c>
      <c r="E2863" s="5"/>
      <c r="F2863" s="1"/>
      <c r="G2863" s="5" t="s">
        <v>8971</v>
      </c>
      <c r="H2863" s="1"/>
      <c r="I2863" s="1"/>
      <c r="J2863" s="2"/>
      <c r="K2863" s="5" t="s">
        <v>8971</v>
      </c>
      <c r="M2863" s="18"/>
      <c r="N2863" s="1"/>
      <c r="O2863" s="1"/>
      <c r="P2863" s="21" t="str">
        <f>IF(ISNUMBER(MATCH($C2863,StackableKinds,0)), TRUE, "")</f>
        <v/>
      </c>
    </row>
    <row r="2864" spans="1:16" x14ac:dyDescent="0.2">
      <c r="A2864" s="19" t="str">
        <f>_xlfn.IFNA(VLOOKUP($B2864,Keys!$A:$B,2,FALSE),_xlfn.IFNA(VLOOKUP($B2864,Keys!$D:$E,2,FALSE),VLOOKUP($B2864,Keys!$G:$H,2,FALSE)))</f>
        <v>0x0000001C38B23B16</v>
      </c>
      <c r="B2864" s="5" t="s">
        <v>7418</v>
      </c>
      <c r="C2864" s="5" t="s">
        <v>9467</v>
      </c>
      <c r="D2864" s="5" t="s">
        <v>16862</v>
      </c>
      <c r="E2864" s="5"/>
      <c r="F2864" s="1"/>
      <c r="G2864" s="5" t="s">
        <v>8971</v>
      </c>
      <c r="H2864" s="1"/>
      <c r="I2864" s="1"/>
      <c r="J2864" s="2"/>
      <c r="K2864" s="5" t="s">
        <v>8971</v>
      </c>
      <c r="M2864" s="18"/>
      <c r="N2864" s="1"/>
      <c r="O2864" s="1"/>
      <c r="P2864" s="21" t="str">
        <f>IF(ISNUMBER(MATCH($C2864,StackableKinds,0)), TRUE, "")</f>
        <v/>
      </c>
    </row>
    <row r="2865" spans="1:16" x14ac:dyDescent="0.2">
      <c r="A2865" s="19" t="str">
        <f>_xlfn.IFNA(VLOOKUP($B2865,Keys!$A:$B,2,FALSE),_xlfn.IFNA(VLOOKUP($B2865,Keys!$D:$E,2,FALSE),VLOOKUP($B2865,Keys!$G:$H,2,FALSE)))</f>
        <v>0x0000001F8E46358E</v>
      </c>
      <c r="B2865" s="5" t="s">
        <v>7420</v>
      </c>
      <c r="C2865" s="5" t="s">
        <v>9467</v>
      </c>
      <c r="D2865" s="5" t="s">
        <v>16862</v>
      </c>
      <c r="E2865" s="5"/>
      <c r="F2865" s="1"/>
      <c r="G2865" s="5" t="s">
        <v>8971</v>
      </c>
      <c r="H2865" s="1"/>
      <c r="I2865" s="1"/>
      <c r="J2865" s="2"/>
      <c r="K2865" s="5" t="s">
        <v>8971</v>
      </c>
      <c r="M2865" s="18"/>
      <c r="N2865" s="1"/>
      <c r="O2865" s="1"/>
      <c r="P2865" s="21" t="str">
        <f>IF(ISNUMBER(MATCH($C2865,StackableKinds,0)), TRUE, "")</f>
        <v/>
      </c>
    </row>
    <row r="2866" spans="1:16" x14ac:dyDescent="0.2">
      <c r="A2866" s="19" t="str">
        <f>_xlfn.IFNA(VLOOKUP($B2866,Keys!$A:$B,2,FALSE),_xlfn.IFNA(VLOOKUP($B2866,Keys!$D:$E,2,FALSE),VLOOKUP($B2866,Keys!$G:$H,2,FALSE)))</f>
        <v>0x00000019FF7C24FD</v>
      </c>
      <c r="B2866" s="5" t="s">
        <v>7422</v>
      </c>
      <c r="C2866" s="5" t="s">
        <v>9467</v>
      </c>
      <c r="D2866" s="5" t="s">
        <v>16862</v>
      </c>
      <c r="E2866" s="5"/>
      <c r="F2866" s="1"/>
      <c r="G2866" s="5" t="s">
        <v>8971</v>
      </c>
      <c r="H2866" s="1"/>
      <c r="I2866" s="1"/>
      <c r="J2866" s="2"/>
      <c r="K2866" s="5" t="s">
        <v>8971</v>
      </c>
      <c r="M2866" s="18"/>
      <c r="N2866" s="1"/>
      <c r="O2866" s="1"/>
      <c r="P2866" s="21" t="str">
        <f>IF(ISNUMBER(MATCH($C2866,StackableKinds,0)), TRUE, "")</f>
        <v/>
      </c>
    </row>
    <row r="2867" spans="1:16" x14ac:dyDescent="0.2">
      <c r="A2867" s="19" t="str">
        <f>_xlfn.IFNA(VLOOKUP($B2867,Keys!$A:$B,2,FALSE),_xlfn.IFNA(VLOOKUP($B2867,Keys!$D:$E,2,FALSE),VLOOKUP($B2867,Keys!$G:$H,2,FALSE)))</f>
        <v>0x0000001CD7705028</v>
      </c>
      <c r="B2867" s="5" t="s">
        <v>7424</v>
      </c>
      <c r="C2867" s="5" t="s">
        <v>9467</v>
      </c>
      <c r="D2867" s="5" t="s">
        <v>16862</v>
      </c>
      <c r="E2867" s="5"/>
      <c r="F2867" s="1"/>
      <c r="G2867" s="5" t="s">
        <v>8971</v>
      </c>
      <c r="H2867" s="1"/>
      <c r="I2867" s="1"/>
      <c r="J2867" s="2"/>
      <c r="K2867" s="5" t="s">
        <v>8971</v>
      </c>
      <c r="M2867" s="18"/>
      <c r="N2867" s="1"/>
      <c r="O2867" s="1"/>
      <c r="P2867" s="21" t="str">
        <f>IF(ISNUMBER(MATCH($C2867,StackableKinds,0)), TRUE, "")</f>
        <v/>
      </c>
    </row>
    <row r="2868" spans="1:16" x14ac:dyDescent="0.2">
      <c r="A2868" s="19" t="str">
        <f>_xlfn.IFNA(VLOOKUP($B2868,Keys!$A:$B,2,FALSE),_xlfn.IFNA(VLOOKUP($B2868,Keys!$D:$E,2,FALSE),VLOOKUP($B2868,Keys!$G:$H,2,FALSE)))</f>
        <v>0x0000001F53D0EC0B</v>
      </c>
      <c r="B2868" s="5" t="s">
        <v>7426</v>
      </c>
      <c r="C2868" s="5" t="s">
        <v>9467</v>
      </c>
      <c r="D2868" s="5" t="s">
        <v>16862</v>
      </c>
      <c r="E2868" s="5"/>
      <c r="F2868" s="1"/>
      <c r="G2868" s="5" t="s">
        <v>8971</v>
      </c>
      <c r="H2868" s="1"/>
      <c r="I2868" s="1"/>
      <c r="J2868" s="2"/>
      <c r="K2868" s="5" t="s">
        <v>8971</v>
      </c>
      <c r="M2868" s="18"/>
      <c r="N2868" s="1"/>
      <c r="O2868" s="1"/>
      <c r="P2868" s="21" t="str">
        <f>IF(ISNUMBER(MATCH($C2868,StackableKinds,0)), TRUE, "")</f>
        <v/>
      </c>
    </row>
    <row r="2869" spans="1:16" x14ac:dyDescent="0.2">
      <c r="A2869" s="19" t="str">
        <f>_xlfn.IFNA(VLOOKUP($B2869,Keys!$A:$B,2,FALSE),_xlfn.IFNA(VLOOKUP($B2869,Keys!$D:$E,2,FALSE),VLOOKUP($B2869,Keys!$G:$H,2,FALSE)))</f>
        <v>0x00000019590B2F49</v>
      </c>
      <c r="B2869" s="5" t="s">
        <v>7428</v>
      </c>
      <c r="C2869" s="5" t="s">
        <v>9467</v>
      </c>
      <c r="D2869" s="5" t="s">
        <v>16862</v>
      </c>
      <c r="E2869" s="5"/>
      <c r="F2869" s="1"/>
      <c r="G2869" s="5" t="s">
        <v>8971</v>
      </c>
      <c r="H2869" s="1"/>
      <c r="I2869" s="1"/>
      <c r="J2869" s="2"/>
      <c r="K2869" s="5" t="s">
        <v>8971</v>
      </c>
      <c r="M2869" s="18"/>
      <c r="N2869" s="1"/>
      <c r="O2869" s="1"/>
      <c r="P2869" s="21" t="str">
        <f>IF(ISNUMBER(MATCH($C2869,StackableKinds,0)), TRUE, "")</f>
        <v/>
      </c>
    </row>
    <row r="2870" spans="1:16" x14ac:dyDescent="0.2">
      <c r="A2870" s="19" t="str">
        <f>_xlfn.IFNA(VLOOKUP($B2870,Keys!$A:$B,2,FALSE),_xlfn.IFNA(VLOOKUP($B2870,Keys!$D:$E,2,FALSE),VLOOKUP($B2870,Keys!$G:$H,2,FALSE)))</f>
        <v>0x0000001C35AC4B51</v>
      </c>
      <c r="B2870" s="5" t="s">
        <v>7430</v>
      </c>
      <c r="C2870" s="5" t="s">
        <v>9467</v>
      </c>
      <c r="D2870" s="5" t="s">
        <v>16862</v>
      </c>
      <c r="E2870" s="5"/>
      <c r="F2870" s="1"/>
      <c r="G2870" s="5" t="s">
        <v>8971</v>
      </c>
      <c r="H2870" s="1"/>
      <c r="I2870" s="1"/>
      <c r="J2870" s="2"/>
      <c r="K2870" s="5" t="s">
        <v>8971</v>
      </c>
      <c r="M2870" s="18"/>
      <c r="N2870" s="1"/>
      <c r="O2870" s="1"/>
      <c r="P2870" s="21" t="str">
        <f>IF(ISNUMBER(MATCH($C2870,StackableKinds,0)), TRUE, "")</f>
        <v/>
      </c>
    </row>
    <row r="2871" spans="1:16" x14ac:dyDescent="0.2">
      <c r="A2871" s="19" t="str">
        <f>_xlfn.IFNA(VLOOKUP($B2871,Keys!$A:$B,2,FALSE),_xlfn.IFNA(VLOOKUP($B2871,Keys!$D:$E,2,FALSE),VLOOKUP($B2871,Keys!$G:$H,2,FALSE)))</f>
        <v>0x0000001F2EA3EA53</v>
      </c>
      <c r="B2871" s="5" t="s">
        <v>7432</v>
      </c>
      <c r="C2871" s="5" t="s">
        <v>9467</v>
      </c>
      <c r="D2871" s="5" t="s">
        <v>16862</v>
      </c>
      <c r="E2871" s="5"/>
      <c r="F2871" s="1"/>
      <c r="G2871" s="5" t="s">
        <v>8971</v>
      </c>
      <c r="H2871" s="1"/>
      <c r="I2871" s="1"/>
      <c r="J2871" s="2"/>
      <c r="K2871" s="5" t="s">
        <v>8971</v>
      </c>
      <c r="M2871" s="18"/>
      <c r="N2871" s="1"/>
      <c r="O2871" s="1"/>
      <c r="P2871" s="21" t="str">
        <f>IF(ISNUMBER(MATCH($C2871,StackableKinds,0)), TRUE, "")</f>
        <v/>
      </c>
    </row>
    <row r="2872" spans="1:16" x14ac:dyDescent="0.2">
      <c r="A2872" s="19" t="str">
        <f>_xlfn.IFNA(VLOOKUP($B2872,Keys!$A:$B,2,FALSE),_xlfn.IFNA(VLOOKUP($B2872,Keys!$D:$E,2,FALSE),VLOOKUP($B2872,Keys!$G:$H,2,FALSE)))</f>
        <v>0x0000001CDA6E206F</v>
      </c>
      <c r="B2872" s="5" t="s">
        <v>7434</v>
      </c>
      <c r="C2872" s="5" t="s">
        <v>9467</v>
      </c>
      <c r="D2872" s="5" t="s">
        <v>16862</v>
      </c>
      <c r="E2872" s="5"/>
      <c r="F2872" s="1"/>
      <c r="G2872" s="5" t="s">
        <v>8971</v>
      </c>
      <c r="H2872" s="1"/>
      <c r="I2872" s="1"/>
      <c r="J2872" s="2"/>
      <c r="K2872" s="5" t="s">
        <v>8971</v>
      </c>
      <c r="M2872" s="18"/>
      <c r="N2872" s="1"/>
      <c r="O2872" s="1"/>
      <c r="P2872" s="21" t="str">
        <f>IF(ISNUMBER(MATCH($C2872,StackableKinds,0)), TRUE, "")</f>
        <v/>
      </c>
    </row>
    <row r="2873" spans="1:16" x14ac:dyDescent="0.2">
      <c r="A2873" s="19" t="str">
        <f>_xlfn.IFNA(VLOOKUP($B2873,Keys!$A:$B,2,FALSE),_xlfn.IFNA(VLOOKUP($B2873,Keys!$D:$E,2,FALSE),VLOOKUP($B2873,Keys!$G:$H,2,FALSE)))</f>
        <v>0x0000001FF33533D6</v>
      </c>
      <c r="B2873" s="5" t="s">
        <v>7436</v>
      </c>
      <c r="C2873" s="5" t="s">
        <v>9467</v>
      </c>
      <c r="D2873" s="5" t="s">
        <v>16862</v>
      </c>
      <c r="E2873" s="5"/>
      <c r="F2873" s="1"/>
      <c r="G2873" s="5" t="s">
        <v>8971</v>
      </c>
      <c r="H2873" s="1"/>
      <c r="I2873" s="1"/>
      <c r="J2873" s="2"/>
      <c r="K2873" s="5" t="s">
        <v>8971</v>
      </c>
      <c r="M2873" s="18"/>
      <c r="N2873" s="1"/>
      <c r="O2873" s="1"/>
      <c r="P2873" s="21" t="str">
        <f>IF(ISNUMBER(MATCH($C2873,StackableKinds,0)), TRUE, "")</f>
        <v/>
      </c>
    </row>
    <row r="2874" spans="1:16" x14ac:dyDescent="0.2">
      <c r="A2874" s="19" t="str">
        <f>_xlfn.IFNA(VLOOKUP($B2874,Keys!$A:$B,2,FALSE),_xlfn.IFNA(VLOOKUP($B2874,Keys!$D:$E,2,FALSE),VLOOKUP($B2874,Keys!$G:$H,2,FALSE)))</f>
        <v>0x0000001C31599B6C</v>
      </c>
      <c r="B2874" s="5" t="s">
        <v>7442</v>
      </c>
      <c r="C2874" s="5" t="s">
        <v>9467</v>
      </c>
      <c r="D2874" s="5" t="s">
        <v>16862</v>
      </c>
      <c r="E2874" s="5"/>
      <c r="F2874" s="1"/>
      <c r="G2874" s="5" t="s">
        <v>8971</v>
      </c>
      <c r="H2874" s="1"/>
      <c r="I2874" s="1"/>
      <c r="J2874" s="2"/>
      <c r="K2874" s="5" t="s">
        <v>8971</v>
      </c>
      <c r="M2874" s="18"/>
      <c r="N2874" s="1"/>
      <c r="O2874" s="1"/>
      <c r="P2874" s="21" t="str">
        <f>IF(ISNUMBER(MATCH($C2874,StackableKinds,0)), TRUE, "")</f>
        <v/>
      </c>
    </row>
    <row r="2875" spans="1:16" x14ac:dyDescent="0.2">
      <c r="A2875" s="19" t="str">
        <f>_xlfn.IFNA(VLOOKUP($B2875,Keys!$A:$B,2,FALSE),_xlfn.IFNA(VLOOKUP($B2875,Keys!$D:$E,2,FALSE),VLOOKUP($B2875,Keys!$G:$H,2,FALSE)))</f>
        <v>0x0000001F4EFF5F18</v>
      </c>
      <c r="B2875" s="5" t="s">
        <v>7444</v>
      </c>
      <c r="C2875" s="5" t="s">
        <v>9467</v>
      </c>
      <c r="D2875" s="5" t="s">
        <v>16862</v>
      </c>
      <c r="E2875" s="5"/>
      <c r="F2875" s="1"/>
      <c r="G2875" s="5" t="s">
        <v>8971</v>
      </c>
      <c r="H2875" s="1"/>
      <c r="I2875" s="1"/>
      <c r="J2875" s="2"/>
      <c r="K2875" s="5" t="s">
        <v>8971</v>
      </c>
      <c r="M2875" s="18"/>
      <c r="N2875" s="1"/>
      <c r="O2875" s="1"/>
      <c r="P2875" s="21" t="str">
        <f>IF(ISNUMBER(MATCH($C2875,StackableKinds,0)), TRUE, "")</f>
        <v/>
      </c>
    </row>
    <row r="2876" spans="1:16" x14ac:dyDescent="0.2">
      <c r="A2876" s="19" t="str">
        <f>_xlfn.IFNA(VLOOKUP($B2876,Keys!$A:$B,2,FALSE),_xlfn.IFNA(VLOOKUP($B2876,Keys!$D:$E,2,FALSE),VLOOKUP($B2876,Keys!$G:$H,2,FALSE)))</f>
        <v>0x000000190B3300EE</v>
      </c>
      <c r="B2876" s="5" t="s">
        <v>7446</v>
      </c>
      <c r="C2876" s="5" t="s">
        <v>9467</v>
      </c>
      <c r="D2876" s="5" t="s">
        <v>16862</v>
      </c>
      <c r="E2876" s="5"/>
      <c r="F2876" s="1"/>
      <c r="G2876" s="5" t="s">
        <v>8971</v>
      </c>
      <c r="H2876" s="1"/>
      <c r="I2876" s="1"/>
      <c r="J2876" s="2"/>
      <c r="K2876" s="5" t="s">
        <v>8971</v>
      </c>
      <c r="M2876" s="18"/>
      <c r="N2876" s="1"/>
      <c r="O2876" s="1"/>
      <c r="P2876" s="21" t="str">
        <f>IF(ISNUMBER(MATCH($C2876,StackableKinds,0)), TRUE, "")</f>
        <v/>
      </c>
    </row>
    <row r="2877" spans="1:16" x14ac:dyDescent="0.2">
      <c r="A2877" s="19" t="str">
        <f>_xlfn.IFNA(VLOOKUP($B2877,Keys!$A:$B,2,FALSE),_xlfn.IFNA(VLOOKUP($B2877,Keys!$D:$E,2,FALSE),VLOOKUP($B2877,Keys!$G:$H,2,FALSE)))</f>
        <v>0x0000001CDE9BF052</v>
      </c>
      <c r="B2877" s="5" t="s">
        <v>7448</v>
      </c>
      <c r="C2877" s="5" t="s">
        <v>9467</v>
      </c>
      <c r="D2877" s="5" t="s">
        <v>16862</v>
      </c>
      <c r="E2877" s="5"/>
      <c r="F2877" s="1"/>
      <c r="G2877" s="5" t="s">
        <v>8971</v>
      </c>
      <c r="H2877" s="1"/>
      <c r="I2877" s="1"/>
      <c r="J2877" s="2"/>
      <c r="K2877" s="5" t="s">
        <v>8971</v>
      </c>
      <c r="M2877" s="18"/>
      <c r="N2877" s="1"/>
      <c r="O2877" s="1"/>
      <c r="P2877" s="21" t="str">
        <f>IF(ISNUMBER(MATCH($C2877,StackableKinds,0)), TRUE, "")</f>
        <v/>
      </c>
    </row>
    <row r="2878" spans="1:16" x14ac:dyDescent="0.2">
      <c r="A2878" s="19" t="str">
        <f>_xlfn.IFNA(VLOOKUP($B2878,Keys!$A:$B,2,FALSE),_xlfn.IFNA(VLOOKUP($B2878,Keys!$D:$E,2,FALSE),VLOOKUP($B2878,Keys!$G:$H,2,FALSE)))</f>
        <v>0x0000001CC052C0E1</v>
      </c>
      <c r="B2878" s="5" t="s">
        <v>7450</v>
      </c>
      <c r="C2878" s="5" t="s">
        <v>9467</v>
      </c>
      <c r="D2878" s="5" t="s">
        <v>16862</v>
      </c>
      <c r="E2878" s="5"/>
      <c r="F2878" s="1"/>
      <c r="G2878" s="5" t="s">
        <v>8971</v>
      </c>
      <c r="H2878" s="1"/>
      <c r="I2878" s="1"/>
      <c r="J2878" s="2"/>
      <c r="K2878" s="5" t="s">
        <v>8971</v>
      </c>
      <c r="M2878" s="18"/>
      <c r="N2878" s="1"/>
      <c r="O2878" s="1"/>
      <c r="P2878" s="21" t="str">
        <f>IF(ISNUMBER(MATCH($C2878,StackableKinds,0)), TRUE, "")</f>
        <v/>
      </c>
    </row>
    <row r="2879" spans="1:16" x14ac:dyDescent="0.2">
      <c r="A2879" s="19" t="str">
        <f>_xlfn.IFNA(VLOOKUP($B2879,Keys!$A:$B,2,FALSE),_xlfn.IFNA(VLOOKUP($B2879,Keys!$D:$E,2,FALSE),VLOOKUP($B2879,Keys!$G:$H,2,FALSE)))</f>
        <v>0x0000001F698F8A2D</v>
      </c>
      <c r="B2879" s="5" t="s">
        <v>7452</v>
      </c>
      <c r="C2879" s="5" t="s">
        <v>9467</v>
      </c>
      <c r="D2879" s="5" t="s">
        <v>16862</v>
      </c>
      <c r="E2879" s="5"/>
      <c r="F2879" s="1"/>
      <c r="G2879" s="5" t="s">
        <v>8971</v>
      </c>
      <c r="H2879" s="1"/>
      <c r="I2879" s="1"/>
      <c r="J2879" s="2"/>
      <c r="K2879" s="5" t="s">
        <v>8971</v>
      </c>
      <c r="M2879" s="18"/>
      <c r="N2879" s="1"/>
      <c r="O2879" s="1"/>
      <c r="P2879" s="21" t="str">
        <f>IF(ISNUMBER(MATCH($C2879,StackableKinds,0)), TRUE, "")</f>
        <v/>
      </c>
    </row>
    <row r="2880" spans="1:16" x14ac:dyDescent="0.2">
      <c r="A2880" s="19" t="str">
        <f>_xlfn.IFNA(VLOOKUP($B2880,Keys!$A:$B,2,FALSE),_xlfn.IFNA(VLOOKUP($B2880,Keys!$D:$E,2,FALSE),VLOOKUP($B2880,Keys!$G:$H,2,FALSE)))</f>
        <v>0x0000001CA5A58D2A</v>
      </c>
      <c r="B2880" s="5" t="s">
        <v>7454</v>
      </c>
      <c r="C2880" s="5" t="s">
        <v>9467</v>
      </c>
      <c r="D2880" s="5" t="s">
        <v>16862</v>
      </c>
      <c r="E2880" s="5"/>
      <c r="F2880" s="1"/>
      <c r="G2880" s="5" t="s">
        <v>8971</v>
      </c>
      <c r="H2880" s="1"/>
      <c r="I2880" s="1"/>
      <c r="J2880" s="2"/>
      <c r="K2880" s="5" t="s">
        <v>8971</v>
      </c>
      <c r="M2880" s="18"/>
      <c r="N2880" s="1"/>
      <c r="O2880" s="1"/>
      <c r="P2880" s="21" t="str">
        <f>IF(ISNUMBER(MATCH($C2880,StackableKinds,0)), TRUE, "")</f>
        <v/>
      </c>
    </row>
    <row r="2881" spans="1:16" x14ac:dyDescent="0.2">
      <c r="A2881" s="19" t="str">
        <f>_xlfn.IFNA(VLOOKUP($B2881,Keys!$A:$B,2,FALSE),_xlfn.IFNA(VLOOKUP($B2881,Keys!$D:$E,2,FALSE),VLOOKUP($B2881,Keys!$G:$H,2,FALSE)))</f>
        <v>0x0000001F927BA51E</v>
      </c>
      <c r="B2881" s="5" t="s">
        <v>7456</v>
      </c>
      <c r="C2881" s="5" t="s">
        <v>9467</v>
      </c>
      <c r="D2881" s="5" t="s">
        <v>16862</v>
      </c>
      <c r="E2881" s="5"/>
      <c r="F2881" s="1"/>
      <c r="G2881" s="5" t="s">
        <v>8971</v>
      </c>
      <c r="H2881" s="1"/>
      <c r="I2881" s="1"/>
      <c r="J2881" s="2"/>
      <c r="K2881" s="5" t="s">
        <v>8971</v>
      </c>
      <c r="M2881" s="18"/>
      <c r="N2881" s="1"/>
      <c r="O2881" s="1"/>
      <c r="P2881" s="21" t="str">
        <f>IF(ISNUMBER(MATCH($C2881,StackableKinds,0)), TRUE, "")</f>
        <v/>
      </c>
    </row>
    <row r="2882" spans="1:16" x14ac:dyDescent="0.2">
      <c r="A2882" s="19" t="str">
        <f>_xlfn.IFNA(VLOOKUP($B2882,Keys!$A:$B,2,FALSE),_xlfn.IFNA(VLOOKUP($B2882,Keys!$D:$E,2,FALSE),VLOOKUP($B2882,Keys!$G:$H,2,FALSE)))</f>
        <v>0x00000019E66C3237</v>
      </c>
      <c r="B2882" s="5" t="s">
        <v>7458</v>
      </c>
      <c r="C2882" s="5" t="s">
        <v>9467</v>
      </c>
      <c r="D2882" s="5" t="s">
        <v>16862</v>
      </c>
      <c r="E2882" s="5"/>
      <c r="F2882" s="1"/>
      <c r="G2882" s="5" t="s">
        <v>8971</v>
      </c>
      <c r="H2882" s="1"/>
      <c r="I2882" s="1"/>
      <c r="J2882" s="2"/>
      <c r="K2882" s="5" t="s">
        <v>8971</v>
      </c>
      <c r="M2882" s="18"/>
      <c r="N2882" s="1"/>
      <c r="O2882" s="1"/>
      <c r="P2882" s="21" t="str">
        <f>IF(ISNUMBER(MATCH($C2882,StackableKinds,0)), TRUE, "")</f>
        <v/>
      </c>
    </row>
    <row r="2883" spans="1:16" x14ac:dyDescent="0.2">
      <c r="A2883" s="19" t="str">
        <f>_xlfn.IFNA(VLOOKUP($B2883,Keys!$A:$B,2,FALSE),_xlfn.IFNA(VLOOKUP($B2883,Keys!$D:$E,2,FALSE),VLOOKUP($B2883,Keys!$G:$H,2,FALSE)))</f>
        <v>0x0000001C4A67E614</v>
      </c>
      <c r="B2883" s="5" t="s">
        <v>7460</v>
      </c>
      <c r="C2883" s="5" t="s">
        <v>9467</v>
      </c>
      <c r="D2883" s="5" t="s">
        <v>16862</v>
      </c>
      <c r="E2883" s="5"/>
      <c r="F2883" s="1"/>
      <c r="G2883" s="5" t="s">
        <v>8971</v>
      </c>
      <c r="H2883" s="1"/>
      <c r="I2883" s="1"/>
      <c r="J2883" s="2"/>
      <c r="K2883" s="5" t="s">
        <v>8971</v>
      </c>
      <c r="M2883" s="18"/>
      <c r="N2883" s="1"/>
      <c r="O2883" s="1"/>
      <c r="P2883" s="21" t="str">
        <f>IF(ISNUMBER(MATCH($C2883,StackableKinds,0)), TRUE, "")</f>
        <v/>
      </c>
    </row>
    <row r="2884" spans="1:16" x14ac:dyDescent="0.2">
      <c r="A2884" s="19" t="str">
        <f>_xlfn.IFNA(VLOOKUP($B2884,Keys!$A:$B,2,FALSE),_xlfn.IFNA(VLOOKUP($B2884,Keys!$D:$E,2,FALSE),VLOOKUP($B2884,Keys!$G:$H,2,FALSE)))</f>
        <v>0x0000001CA1505D17</v>
      </c>
      <c r="B2884" s="5" t="s">
        <v>7462</v>
      </c>
      <c r="C2884" s="5" t="s">
        <v>9467</v>
      </c>
      <c r="D2884" s="5" t="s">
        <v>16862</v>
      </c>
      <c r="E2884" s="5"/>
      <c r="F2884" s="1"/>
      <c r="G2884" s="5" t="s">
        <v>8971</v>
      </c>
      <c r="H2884" s="1"/>
      <c r="I2884" s="1"/>
      <c r="J2884" s="2"/>
      <c r="K2884" s="5" t="s">
        <v>8971</v>
      </c>
      <c r="M2884" s="18"/>
      <c r="N2884" s="1"/>
      <c r="O2884" s="1"/>
      <c r="P2884" s="21" t="str">
        <f>IF(ISNUMBER(MATCH($C2884,StackableKinds,0)), TRUE, "")</f>
        <v/>
      </c>
    </row>
    <row r="2885" spans="1:16" x14ac:dyDescent="0.2">
      <c r="A2885" s="19" t="str">
        <f>_xlfn.IFNA(VLOOKUP($B2885,Keys!$A:$B,2,FALSE),_xlfn.IFNA(VLOOKUP($B2885,Keys!$D:$E,2,FALSE),VLOOKUP($B2885,Keys!$G:$H,2,FALSE)))</f>
        <v>0x0000001C4E923629</v>
      </c>
      <c r="B2885" s="5" t="s">
        <v>7464</v>
      </c>
      <c r="C2885" s="5" t="s">
        <v>9467</v>
      </c>
      <c r="D2885" s="5" t="s">
        <v>16862</v>
      </c>
      <c r="E2885" s="5"/>
      <c r="F2885" s="1"/>
      <c r="G2885" s="5" t="s">
        <v>8971</v>
      </c>
      <c r="H2885" s="1"/>
      <c r="I2885" s="1"/>
      <c r="J2885" s="2"/>
      <c r="K2885" s="5" t="s">
        <v>8971</v>
      </c>
      <c r="M2885" s="18"/>
      <c r="N2885" s="1"/>
      <c r="O2885" s="1"/>
      <c r="P2885" s="21" t="str">
        <f>IF(ISNUMBER(MATCH($C2885,StackableKinds,0)), TRUE, "")</f>
        <v/>
      </c>
    </row>
    <row r="2886" spans="1:16" x14ac:dyDescent="0.2">
      <c r="A2886" s="19" t="str">
        <f>_xlfn.IFNA(VLOOKUP($B2886,Keys!$A:$B,2,FALSE),_xlfn.IFNA(VLOOKUP($B2886,Keys!$D:$E,2,FALSE),VLOOKUP($B2886,Keys!$G:$H,2,FALSE)))</f>
        <v>0x0000001F2FB1C9D0</v>
      </c>
      <c r="B2886" s="5" t="s">
        <v>7466</v>
      </c>
      <c r="C2886" s="5" t="s">
        <v>9467</v>
      </c>
      <c r="D2886" s="5" t="s">
        <v>16862</v>
      </c>
      <c r="E2886" s="5"/>
      <c r="F2886" s="1"/>
      <c r="G2886" s="5" t="s">
        <v>8971</v>
      </c>
      <c r="H2886" s="1"/>
      <c r="I2886" s="1"/>
      <c r="J2886" s="2"/>
      <c r="K2886" s="5" t="s">
        <v>8971</v>
      </c>
      <c r="M2886" s="18"/>
      <c r="N2886" s="1"/>
      <c r="O2886" s="1"/>
      <c r="P2886" s="21" t="str">
        <f>IF(ISNUMBER(MATCH($C2886,StackableKinds,0)), TRUE, "")</f>
        <v/>
      </c>
    </row>
    <row r="2887" spans="1:16" x14ac:dyDescent="0.2">
      <c r="A2887" s="19" t="str">
        <f>_xlfn.IFNA(VLOOKUP($B2887,Keys!$A:$B,2,FALSE),_xlfn.IFNA(VLOOKUP($B2887,Keys!$D:$E,2,FALSE),VLOOKUP($B2887,Keys!$G:$H,2,FALSE)))</f>
        <v>0x0000001CA8BBFD6D</v>
      </c>
      <c r="B2887" s="5" t="s">
        <v>7468</v>
      </c>
      <c r="C2887" s="5" t="s">
        <v>9467</v>
      </c>
      <c r="D2887" s="5" t="s">
        <v>16862</v>
      </c>
      <c r="E2887" s="5"/>
      <c r="F2887" s="1"/>
      <c r="G2887" s="5" t="s">
        <v>8971</v>
      </c>
      <c r="H2887" s="1"/>
      <c r="I2887" s="1"/>
      <c r="J2887" s="2"/>
      <c r="K2887" s="5" t="s">
        <v>8971</v>
      </c>
      <c r="M2887" s="18"/>
      <c r="N2887" s="1"/>
      <c r="O2887" s="1"/>
      <c r="P2887" s="21" t="str">
        <f>IF(ISNUMBER(MATCH($C2887,StackableKinds,0)), TRUE, "")</f>
        <v/>
      </c>
    </row>
    <row r="2888" spans="1:16" x14ac:dyDescent="0.2">
      <c r="A2888" s="19" t="str">
        <f>_xlfn.IFNA(VLOOKUP($B2888,Keys!$A:$B,2,FALSE),_xlfn.IFNA(VLOOKUP($B2888,Keys!$D:$E,2,FALSE),VLOOKUP($B2888,Keys!$G:$H,2,FALSE)))</f>
        <v>0x00000023EBE79F35</v>
      </c>
      <c r="B2888" s="5" t="s">
        <v>7470</v>
      </c>
      <c r="C2888" s="5" t="s">
        <v>9467</v>
      </c>
      <c r="D2888" s="5" t="s">
        <v>16862</v>
      </c>
      <c r="E2888" s="5"/>
      <c r="F2888" s="1"/>
      <c r="G2888" s="5" t="s">
        <v>8971</v>
      </c>
      <c r="H2888" s="1"/>
      <c r="I2888" s="1"/>
      <c r="J2888" s="2"/>
      <c r="K2888" s="5" t="s">
        <v>8971</v>
      </c>
      <c r="M2888" s="18"/>
      <c r="N2888" s="1"/>
      <c r="O2888" s="1"/>
      <c r="P2888" s="21" t="str">
        <f>IF(ISNUMBER(MATCH($C2888,StackableKinds,0)), TRUE, "")</f>
        <v/>
      </c>
    </row>
    <row r="2889" spans="1:16" x14ac:dyDescent="0.2">
      <c r="A2889" s="19" t="str">
        <f>_xlfn.IFNA(VLOOKUP($B2889,Keys!$A:$B,2,FALSE),_xlfn.IFNA(VLOOKUP($B2889,Keys!$D:$E,2,FALSE),VLOOKUP($B2889,Keys!$G:$H,2,FALSE)))</f>
        <v>0x0000001C642B52EA</v>
      </c>
      <c r="B2889" s="5" t="s">
        <v>7472</v>
      </c>
      <c r="C2889" s="5" t="s">
        <v>9467</v>
      </c>
      <c r="D2889" s="5" t="s">
        <v>16862</v>
      </c>
      <c r="E2889" s="5"/>
      <c r="F2889" s="1"/>
      <c r="G2889" s="5" t="s">
        <v>8971</v>
      </c>
      <c r="H2889" s="1"/>
      <c r="I2889" s="1"/>
      <c r="J2889" s="2"/>
      <c r="K2889" s="5" t="s">
        <v>8971</v>
      </c>
      <c r="M2889" s="18"/>
      <c r="N2889" s="1"/>
      <c r="O2889" s="1"/>
      <c r="P2889" s="21" t="str">
        <f>IF(ISNUMBER(MATCH($C2889,StackableKinds,0)), TRUE, "")</f>
        <v/>
      </c>
    </row>
    <row r="2890" spans="1:16" x14ac:dyDescent="0.2">
      <c r="A2890" s="19" t="str">
        <f>_xlfn.IFNA(VLOOKUP($B2890,Keys!$A:$B,2,FALSE),_xlfn.IFNA(VLOOKUP($B2890,Keys!$D:$E,2,FALSE),VLOOKUP($B2890,Keys!$G:$H,2,FALSE)))</f>
        <v>0x000000192AC632A9</v>
      </c>
      <c r="B2890" s="5" t="s">
        <v>7474</v>
      </c>
      <c r="C2890" s="5" t="s">
        <v>9467</v>
      </c>
      <c r="D2890" s="5" t="s">
        <v>16862</v>
      </c>
      <c r="E2890" s="5"/>
      <c r="F2890" s="1"/>
      <c r="G2890" s="5" t="s">
        <v>8971</v>
      </c>
      <c r="H2890" s="1"/>
      <c r="I2890" s="1"/>
      <c r="J2890" s="2"/>
      <c r="K2890" s="5" t="s">
        <v>8971</v>
      </c>
      <c r="M2890" s="18"/>
      <c r="N2890" s="1"/>
      <c r="O2890" s="1"/>
      <c r="P2890" s="21" t="str">
        <f>IF(ISNUMBER(MATCH($C2890,StackableKinds,0)), TRUE, "")</f>
        <v/>
      </c>
    </row>
    <row r="2891" spans="1:16" x14ac:dyDescent="0.2">
      <c r="A2891" s="19" t="str">
        <f>_xlfn.IFNA(VLOOKUP($B2891,Keys!$A:$B,2,FALSE),_xlfn.IFNA(VLOOKUP($B2891,Keys!$D:$E,2,FALSE),VLOOKUP($B2891,Keys!$G:$H,2,FALSE)))</f>
        <v>0x0000001FB5D8D570</v>
      </c>
      <c r="B2891" s="5" t="s">
        <v>7476</v>
      </c>
      <c r="C2891" s="5" t="s">
        <v>9467</v>
      </c>
      <c r="D2891" s="5" t="s">
        <v>16862</v>
      </c>
      <c r="E2891" s="5"/>
      <c r="F2891" s="1"/>
      <c r="G2891" s="5" t="s">
        <v>8971</v>
      </c>
      <c r="H2891" s="1"/>
      <c r="I2891" s="1"/>
      <c r="J2891" s="2"/>
      <c r="K2891" s="5" t="s">
        <v>8971</v>
      </c>
      <c r="M2891" s="18"/>
      <c r="N2891" s="1"/>
      <c r="O2891" s="1"/>
      <c r="P2891" s="21" t="str">
        <f>IF(ISNUMBER(MATCH($C2891,StackableKinds,0)), TRUE, "")</f>
        <v/>
      </c>
    </row>
    <row r="2892" spans="1:16" x14ac:dyDescent="0.2">
      <c r="A2892" s="19" t="str">
        <f>_xlfn.IFNA(VLOOKUP($B2892,Keys!$A:$B,2,FALSE),_xlfn.IFNA(VLOOKUP($B2892,Keys!$D:$E,2,FALSE),VLOOKUP($B2892,Keys!$G:$H,2,FALSE)))</f>
        <v>0x0000001F2CD184CA</v>
      </c>
      <c r="B2892" s="5" t="s">
        <v>7478</v>
      </c>
      <c r="C2892" s="5" t="s">
        <v>9467</v>
      </c>
      <c r="D2892" s="5" t="s">
        <v>16862</v>
      </c>
      <c r="E2892" s="5"/>
      <c r="F2892" s="1"/>
      <c r="G2892" s="5" t="s">
        <v>8971</v>
      </c>
      <c r="H2892" s="1"/>
      <c r="I2892" s="1"/>
      <c r="J2892" s="2"/>
      <c r="K2892" s="5" t="s">
        <v>8971</v>
      </c>
      <c r="M2892" s="18"/>
      <c r="N2892" s="1"/>
      <c r="O2892" s="1"/>
      <c r="P2892" s="21" t="str">
        <f>IF(ISNUMBER(MATCH($C2892,StackableKinds,0)), TRUE, "")</f>
        <v/>
      </c>
    </row>
    <row r="2893" spans="1:16" x14ac:dyDescent="0.2">
      <c r="A2893" s="19" t="str">
        <f>_xlfn.IFNA(VLOOKUP($B2893,Keys!$A:$B,2,FALSE),_xlfn.IFNA(VLOOKUP($B2893,Keys!$D:$E,2,FALSE),VLOOKUP($B2893,Keys!$G:$H,2,FALSE)))</f>
        <v>0x0000001F5BD6B45C</v>
      </c>
      <c r="B2893" s="5" t="s">
        <v>7480</v>
      </c>
      <c r="C2893" s="5" t="s">
        <v>9467</v>
      </c>
      <c r="D2893" s="5" t="s">
        <v>16862</v>
      </c>
      <c r="E2893" s="5"/>
      <c r="F2893" s="1"/>
      <c r="G2893" s="5" t="s">
        <v>8971</v>
      </c>
      <c r="H2893" s="1"/>
      <c r="I2893" s="1"/>
      <c r="J2893" s="2"/>
      <c r="K2893" s="5" t="s">
        <v>8971</v>
      </c>
      <c r="M2893" s="18"/>
      <c r="N2893" s="1"/>
      <c r="O2893" s="1"/>
      <c r="P2893" s="21" t="str">
        <f>IF(ISNUMBER(MATCH($C2893,StackableKinds,0)), TRUE, "")</f>
        <v/>
      </c>
    </row>
    <row r="2894" spans="1:16" x14ac:dyDescent="0.2">
      <c r="A2894" s="19" t="str">
        <f>_xlfn.IFNA(VLOOKUP($B2894,Keys!$A:$B,2,FALSE),_xlfn.IFNA(VLOOKUP($B2894,Keys!$D:$E,2,FALSE),VLOOKUP($B2894,Keys!$G:$H,2,FALSE)))</f>
        <v>0x0000001F0812B9BE</v>
      </c>
      <c r="B2894" s="5" t="s">
        <v>7482</v>
      </c>
      <c r="C2894" s="5" t="s">
        <v>9467</v>
      </c>
      <c r="D2894" s="5" t="s">
        <v>16862</v>
      </c>
      <c r="E2894" s="5"/>
      <c r="F2894" s="1"/>
      <c r="G2894" s="5" t="s">
        <v>8971</v>
      </c>
      <c r="H2894" s="1"/>
      <c r="I2894" s="1"/>
      <c r="J2894" s="2"/>
      <c r="K2894" s="5" t="s">
        <v>8971</v>
      </c>
      <c r="M2894" s="18"/>
      <c r="N2894" s="1"/>
      <c r="O2894" s="1"/>
      <c r="P2894" s="21" t="str">
        <f>IF(ISNUMBER(MATCH($C2894,StackableKinds,0)), TRUE, "")</f>
        <v/>
      </c>
    </row>
    <row r="2895" spans="1:16" x14ac:dyDescent="0.2">
      <c r="A2895" s="19" t="str">
        <f>_xlfn.IFNA(VLOOKUP($B2895,Keys!$A:$B,2,FALSE),_xlfn.IFNA(VLOOKUP($B2895,Keys!$D:$E,2,FALSE),VLOOKUP($B2895,Keys!$G:$H,2,FALSE)))</f>
        <v>0x0000001F911BE804</v>
      </c>
      <c r="B2895" s="5" t="s">
        <v>7484</v>
      </c>
      <c r="C2895" s="5" t="s">
        <v>9467</v>
      </c>
      <c r="D2895" s="5" t="s">
        <v>16862</v>
      </c>
      <c r="E2895" s="5"/>
      <c r="F2895" s="1"/>
      <c r="G2895" s="5" t="s">
        <v>8971</v>
      </c>
      <c r="H2895" s="1"/>
      <c r="I2895" s="1"/>
      <c r="J2895" s="2"/>
      <c r="K2895" s="5" t="s">
        <v>8971</v>
      </c>
      <c r="M2895" s="18"/>
      <c r="N2895" s="1"/>
      <c r="O2895" s="1"/>
      <c r="P2895" s="21" t="str">
        <f>IF(ISNUMBER(MATCH($C2895,StackableKinds,0)), TRUE, "")</f>
        <v/>
      </c>
    </row>
    <row r="2896" spans="1:16" x14ac:dyDescent="0.2">
      <c r="A2896" s="19" t="str">
        <f>_xlfn.IFNA(VLOOKUP($B2896,Keys!$A:$B,2,FALSE),_xlfn.IFNA(VLOOKUP($B2896,Keys!$D:$E,2,FALSE),VLOOKUP($B2896,Keys!$G:$H,2,FALSE)))</f>
        <v>0x0000001FE61CD892</v>
      </c>
      <c r="B2896" s="5" t="s">
        <v>7486</v>
      </c>
      <c r="C2896" s="5" t="s">
        <v>9467</v>
      </c>
      <c r="D2896" s="5" t="s">
        <v>16862</v>
      </c>
      <c r="E2896" s="5"/>
      <c r="F2896" s="1"/>
      <c r="G2896" s="5" t="s">
        <v>8971</v>
      </c>
      <c r="H2896" s="1"/>
      <c r="I2896" s="1"/>
      <c r="J2896" s="2"/>
      <c r="K2896" s="5" t="s">
        <v>8971</v>
      </c>
      <c r="M2896" s="18"/>
      <c r="N2896" s="1"/>
      <c r="O2896" s="1"/>
      <c r="P2896" s="21" t="str">
        <f>IF(ISNUMBER(MATCH($C2896,StackableKinds,0)), TRUE, "")</f>
        <v/>
      </c>
    </row>
    <row r="2897" spans="1:16" x14ac:dyDescent="0.2">
      <c r="A2897" s="19" t="str">
        <f>_xlfn.IFNA(VLOOKUP($B2897,Keys!$A:$B,2,FALSE),_xlfn.IFNA(VLOOKUP($B2897,Keys!$D:$E,2,FALSE),VLOOKUP($B2897,Keys!$G:$H,2,FALSE)))</f>
        <v>0x0000001F78784D31</v>
      </c>
      <c r="B2897" s="5" t="s">
        <v>7488</v>
      </c>
      <c r="C2897" s="5" t="s">
        <v>9467</v>
      </c>
      <c r="D2897" s="5" t="s">
        <v>16862</v>
      </c>
      <c r="E2897" s="5"/>
      <c r="F2897" s="1"/>
      <c r="G2897" s="5" t="s">
        <v>8971</v>
      </c>
      <c r="H2897" s="1"/>
      <c r="I2897" s="1"/>
      <c r="J2897" s="2"/>
      <c r="K2897" s="5" t="s">
        <v>8971</v>
      </c>
      <c r="M2897" s="18"/>
      <c r="N2897" s="1"/>
      <c r="O2897" s="1"/>
      <c r="P2897" s="21" t="str">
        <f>IF(ISNUMBER(MATCH($C2897,StackableKinds,0)), TRUE, "")</f>
        <v/>
      </c>
    </row>
    <row r="2898" spans="1:16" x14ac:dyDescent="0.2">
      <c r="A2898" s="19" t="str">
        <f>_xlfn.IFNA(VLOOKUP($B2898,Keys!$A:$B,2,FALSE),_xlfn.IFNA(VLOOKUP($B2898,Keys!$D:$E,2,FALSE),VLOOKUP($B2898,Keys!$G:$H,2,FALSE)))</f>
        <v>0x0000001FD584603B</v>
      </c>
      <c r="B2898" s="5" t="s">
        <v>7490</v>
      </c>
      <c r="C2898" s="5" t="s">
        <v>9467</v>
      </c>
      <c r="D2898" s="5" t="s">
        <v>16862</v>
      </c>
      <c r="E2898" s="5"/>
      <c r="F2898" s="1"/>
      <c r="G2898" s="5" t="s">
        <v>8971</v>
      </c>
      <c r="H2898" s="1"/>
      <c r="I2898" s="1"/>
      <c r="J2898" s="2"/>
      <c r="K2898" s="5" t="s">
        <v>8971</v>
      </c>
      <c r="M2898" s="18"/>
      <c r="N2898" s="1"/>
      <c r="O2898" s="1"/>
      <c r="P2898" s="21" t="str">
        <f>IF(ISNUMBER(MATCH($C2898,StackableKinds,0)), TRUE, "")</f>
        <v/>
      </c>
    </row>
    <row r="2899" spans="1:16" x14ac:dyDescent="0.2">
      <c r="A2899" s="19" t="str">
        <f>_xlfn.IFNA(VLOOKUP($B2899,Keys!$A:$B,2,FALSE),_xlfn.IFNA(VLOOKUP($B2899,Keys!$D:$E,2,FALSE),VLOOKUP($B2899,Keys!$G:$H,2,FALSE)))</f>
        <v>0x0000001F4C8D3181</v>
      </c>
      <c r="B2899" s="5" t="s">
        <v>7492</v>
      </c>
      <c r="C2899" s="5" t="s">
        <v>9467</v>
      </c>
      <c r="D2899" s="5" t="s">
        <v>16862</v>
      </c>
      <c r="E2899" s="5"/>
      <c r="F2899" s="1"/>
      <c r="G2899" s="5" t="s">
        <v>8971</v>
      </c>
      <c r="H2899" s="1"/>
      <c r="I2899" s="1"/>
      <c r="J2899" s="2"/>
      <c r="K2899" s="5" t="s">
        <v>8971</v>
      </c>
      <c r="M2899" s="18"/>
      <c r="N2899" s="1"/>
      <c r="O2899" s="1"/>
      <c r="P2899" s="21" t="str">
        <f>IF(ISNUMBER(MATCH($C2899,StackableKinds,0)), TRUE, "")</f>
        <v/>
      </c>
    </row>
    <row r="2900" spans="1:16" x14ac:dyDescent="0.2">
      <c r="A2900" s="19" t="str">
        <f>_xlfn.IFNA(VLOOKUP($B2900,Keys!$A:$B,2,FALSE),_xlfn.IFNA(VLOOKUP($B2900,Keys!$D:$E,2,FALSE),VLOOKUP($B2900,Keys!$G:$H,2,FALSE)))</f>
        <v>0x0000001FA8F76663</v>
      </c>
      <c r="B2900" s="5" t="s">
        <v>7494</v>
      </c>
      <c r="C2900" s="5" t="s">
        <v>9467</v>
      </c>
      <c r="D2900" s="5" t="s">
        <v>16862</v>
      </c>
      <c r="E2900" s="5"/>
      <c r="F2900" s="1"/>
      <c r="G2900" s="5" t="s">
        <v>8971</v>
      </c>
      <c r="H2900" s="1"/>
      <c r="I2900" s="1"/>
      <c r="J2900" s="2"/>
      <c r="K2900" s="5" t="s">
        <v>8971</v>
      </c>
      <c r="M2900" s="18"/>
      <c r="N2900" s="1"/>
      <c r="O2900" s="1"/>
      <c r="P2900" s="21" t="str">
        <f>IF(ISNUMBER(MATCH($C2900,StackableKinds,0)), TRUE, "")</f>
        <v/>
      </c>
    </row>
    <row r="2901" spans="1:16" x14ac:dyDescent="0.2">
      <c r="A2901" s="19" t="str">
        <f>_xlfn.IFNA(VLOOKUP($B2901,Keys!$A:$B,2,FALSE),_xlfn.IFNA(VLOOKUP($B2901,Keys!$D:$E,2,FALSE),VLOOKUP($B2901,Keys!$G:$H,2,FALSE)))</f>
        <v>0x0000001F31FE37D9</v>
      </c>
      <c r="B2901" s="5" t="s">
        <v>7496</v>
      </c>
      <c r="C2901" s="5" t="s">
        <v>9467</v>
      </c>
      <c r="D2901" s="5" t="s">
        <v>16862</v>
      </c>
      <c r="E2901" s="5"/>
      <c r="F2901" s="1"/>
      <c r="G2901" s="5" t="s">
        <v>8971</v>
      </c>
      <c r="H2901" s="1"/>
      <c r="I2901" s="1"/>
      <c r="J2901" s="2"/>
      <c r="K2901" s="5" t="s">
        <v>8971</v>
      </c>
      <c r="M2901" s="18"/>
      <c r="N2901" s="1"/>
      <c r="O2901" s="1"/>
      <c r="P2901" s="21" t="str">
        <f>IF(ISNUMBER(MATCH($C2901,StackableKinds,0)), TRUE, "")</f>
        <v/>
      </c>
    </row>
    <row r="2902" spans="1:16" x14ac:dyDescent="0.2">
      <c r="A2902" s="19" t="str">
        <f>_xlfn.IFNA(VLOOKUP($B2902,Keys!$A:$B,2,FALSE),_xlfn.IFNA(VLOOKUP($B2902,Keys!$D:$E,2,FALSE),VLOOKUP($B2902,Keys!$G:$H,2,FALSE)))</f>
        <v>0x0000001F46F9074F</v>
      </c>
      <c r="B2902" s="5" t="s">
        <v>7498</v>
      </c>
      <c r="C2902" s="5" t="s">
        <v>9467</v>
      </c>
      <c r="D2902" s="5" t="s">
        <v>16862</v>
      </c>
      <c r="E2902" s="5"/>
      <c r="F2902" s="1"/>
      <c r="G2902" s="5" t="s">
        <v>8971</v>
      </c>
      <c r="H2902" s="1"/>
      <c r="I2902" s="1"/>
      <c r="J2902" s="2"/>
      <c r="K2902" s="5" t="s">
        <v>8971</v>
      </c>
      <c r="M2902" s="18"/>
      <c r="N2902" s="1"/>
      <c r="O2902" s="1"/>
      <c r="P2902" s="21" t="str">
        <f>IF(ISNUMBER(MATCH($C2902,StackableKinds,0)), TRUE, "")</f>
        <v/>
      </c>
    </row>
    <row r="2903" spans="1:16" x14ac:dyDescent="0.2">
      <c r="A2903" s="19" t="str">
        <f>_xlfn.IFNA(VLOOKUP($B2903,Keys!$A:$B,2,FALSE),_xlfn.IFNA(VLOOKUP($B2903,Keys!$D:$E,2,FALSE),VLOOKUP($B2903,Keys!$G:$H,2,FALSE)))</f>
        <v>0x0000001F7561BFE6</v>
      </c>
      <c r="B2903" s="5" t="s">
        <v>7500</v>
      </c>
      <c r="C2903" s="5" t="s">
        <v>9467</v>
      </c>
      <c r="D2903" s="5" t="s">
        <v>16862</v>
      </c>
      <c r="E2903" s="5"/>
      <c r="F2903" s="1"/>
      <c r="G2903" s="5" t="s">
        <v>8971</v>
      </c>
      <c r="H2903" s="1"/>
      <c r="I2903" s="1"/>
      <c r="J2903" s="2"/>
      <c r="K2903" s="5" t="s">
        <v>8971</v>
      </c>
      <c r="M2903" s="18"/>
      <c r="N2903" s="1"/>
      <c r="O2903" s="1"/>
      <c r="P2903" s="21" t="str">
        <f>IF(ISNUMBER(MATCH($C2903,StackableKinds,0)), TRUE, "")</f>
        <v/>
      </c>
    </row>
    <row r="2904" spans="1:16" x14ac:dyDescent="0.2">
      <c r="A2904" s="19" t="str">
        <f>_xlfn.IFNA(VLOOKUP($B2904,Keys!$A:$B,2,FALSE),_xlfn.IFNA(VLOOKUP($B2904,Keys!$D:$E,2,FALSE),VLOOKUP($B2904,Keys!$G:$H,2,FALSE)))</f>
        <v>0x0000002591131CD7</v>
      </c>
      <c r="B2904" s="5" t="s">
        <v>7502</v>
      </c>
      <c r="C2904" s="5" t="s">
        <v>9467</v>
      </c>
      <c r="D2904" s="5" t="s">
        <v>16862</v>
      </c>
      <c r="E2904" s="5"/>
      <c r="F2904" s="1"/>
      <c r="G2904" s="5" t="s">
        <v>8971</v>
      </c>
      <c r="H2904" s="1"/>
      <c r="I2904" s="1"/>
      <c r="J2904" s="2"/>
      <c r="K2904" s="5" t="s">
        <v>8971</v>
      </c>
      <c r="M2904" s="18"/>
      <c r="N2904" s="1"/>
      <c r="O2904" s="1"/>
      <c r="P2904" s="21" t="str">
        <f>IF(ISNUMBER(MATCH($C2904,StackableKinds,0)), TRUE, "")</f>
        <v/>
      </c>
    </row>
    <row r="2905" spans="1:16" x14ac:dyDescent="0.2">
      <c r="A2905" s="19" t="str">
        <f>_xlfn.IFNA(VLOOKUP($B2905,Keys!$A:$B,2,FALSE),_xlfn.IFNA(VLOOKUP($B2905,Keys!$D:$E,2,FALSE),VLOOKUP($B2905,Keys!$G:$H,2,FALSE)))</f>
        <v>0x0000001FEC68EE5C</v>
      </c>
      <c r="B2905" s="5" t="s">
        <v>7504</v>
      </c>
      <c r="C2905" s="5" t="s">
        <v>9467</v>
      </c>
      <c r="D2905" s="5" t="s">
        <v>16862</v>
      </c>
      <c r="E2905" s="5"/>
      <c r="F2905" s="1"/>
      <c r="G2905" s="5" t="s">
        <v>8971</v>
      </c>
      <c r="H2905" s="1"/>
      <c r="I2905" s="1"/>
      <c r="J2905" s="2"/>
      <c r="K2905" s="5" t="s">
        <v>8971</v>
      </c>
      <c r="M2905" s="18"/>
      <c r="N2905" s="1"/>
      <c r="O2905" s="1"/>
      <c r="P2905" s="21" t="str">
        <f>IF(ISNUMBER(MATCH($C2905,StackableKinds,0)), TRUE, "")</f>
        <v/>
      </c>
    </row>
    <row r="2906" spans="1:16" x14ac:dyDescent="0.2">
      <c r="A2906" s="19" t="str">
        <f>_xlfn.IFNA(VLOOKUP($B2906,Keys!$A:$B,2,FALSE),_xlfn.IFNA(VLOOKUP($B2906,Keys!$D:$E,2,FALSE),VLOOKUP($B2906,Keys!$G:$H,2,FALSE)))</f>
        <v>0x0000001FC8ABD328</v>
      </c>
      <c r="B2906" s="5" t="s">
        <v>7506</v>
      </c>
      <c r="C2906" s="5" t="s">
        <v>9467</v>
      </c>
      <c r="D2906" s="5" t="s">
        <v>16862</v>
      </c>
      <c r="E2906" s="5"/>
      <c r="F2906" s="1"/>
      <c r="G2906" s="5" t="s">
        <v>8971</v>
      </c>
      <c r="H2906" s="1"/>
      <c r="I2906" s="1"/>
      <c r="J2906" s="2"/>
      <c r="K2906" s="5" t="s">
        <v>8971</v>
      </c>
      <c r="M2906" s="18"/>
      <c r="N2906" s="1"/>
      <c r="O2906" s="1"/>
      <c r="P2906" s="21" t="str">
        <f>IF(ISNUMBER(MATCH($C2906,StackableKinds,0)), TRUE, "")</f>
        <v/>
      </c>
    </row>
    <row r="2907" spans="1:16" x14ac:dyDescent="0.2">
      <c r="A2907" s="19" t="str">
        <f>_xlfn.IFNA(VLOOKUP($B2907,Keys!$A:$B,2,FALSE),_xlfn.IFNA(VLOOKUP($B2907,Keys!$D:$E,2,FALSE),VLOOKUP($B2907,Keys!$G:$H,2,FALSE)))</f>
        <v>0x0000001F51A28292</v>
      </c>
      <c r="B2907" s="5" t="s">
        <v>7508</v>
      </c>
      <c r="C2907" s="5" t="s">
        <v>9467</v>
      </c>
      <c r="D2907" s="5" t="s">
        <v>16862</v>
      </c>
      <c r="E2907" s="5"/>
      <c r="F2907" s="1"/>
      <c r="G2907" s="5" t="s">
        <v>8971</v>
      </c>
      <c r="H2907" s="1"/>
      <c r="I2907" s="1"/>
      <c r="J2907" s="2"/>
      <c r="K2907" s="5" t="s">
        <v>8971</v>
      </c>
      <c r="M2907" s="18"/>
      <c r="N2907" s="1"/>
      <c r="O2907" s="1"/>
      <c r="P2907" s="21" t="str">
        <f>IF(ISNUMBER(MATCH($C2907,StackableKinds,0)), TRUE, "")</f>
        <v/>
      </c>
    </row>
    <row r="2908" spans="1:16" x14ac:dyDescent="0.2">
      <c r="A2908" s="19" t="str">
        <f>_xlfn.IFNA(VLOOKUP($B2908,Keys!$A:$B,2,FALSE),_xlfn.IFNA(VLOOKUP($B2908,Keys!$D:$E,2,FALSE),VLOOKUP($B2908,Keys!$G:$H,2,FALSE)))</f>
        <v>0x0000001F26A5B204</v>
      </c>
      <c r="B2908" s="5" t="s">
        <v>7510</v>
      </c>
      <c r="C2908" s="5" t="s">
        <v>9467</v>
      </c>
      <c r="D2908" s="5" t="s">
        <v>16862</v>
      </c>
      <c r="E2908" s="5"/>
      <c r="F2908" s="1"/>
      <c r="G2908" s="5" t="s">
        <v>8971</v>
      </c>
      <c r="H2908" s="1"/>
      <c r="I2908" s="1"/>
      <c r="J2908" s="2"/>
      <c r="K2908" s="5" t="s">
        <v>8971</v>
      </c>
      <c r="M2908" s="18"/>
      <c r="N2908" s="1"/>
      <c r="O2908" s="1"/>
      <c r="P2908" s="21" t="str">
        <f>IF(ISNUMBER(MATCH($C2908,StackableKinds,0)), TRUE, "")</f>
        <v/>
      </c>
    </row>
    <row r="2909" spans="1:16" x14ac:dyDescent="0.2">
      <c r="A2909" s="19" t="str">
        <f>_xlfn.IFNA(VLOOKUP($B2909,Keys!$A:$B,2,FALSE),_xlfn.IFNA(VLOOKUP($B2909,Keys!$D:$E,2,FALSE),VLOOKUP($B2909,Keys!$G:$H,2,FALSE)))</f>
        <v>0x0000001F414B8630</v>
      </c>
      <c r="B2909" s="5" t="s">
        <v>7512</v>
      </c>
      <c r="C2909" s="5" t="s">
        <v>9467</v>
      </c>
      <c r="D2909" s="5" t="s">
        <v>16862</v>
      </c>
      <c r="E2909" s="5"/>
      <c r="F2909" s="1"/>
      <c r="G2909" s="5" t="s">
        <v>8971</v>
      </c>
      <c r="H2909" s="1"/>
      <c r="I2909" s="1"/>
      <c r="J2909" s="2"/>
      <c r="K2909" s="5" t="s">
        <v>8971</v>
      </c>
      <c r="M2909" s="18"/>
      <c r="N2909" s="1"/>
      <c r="O2909" s="1"/>
      <c r="P2909" s="21" t="str">
        <f>IF(ISNUMBER(MATCH($C2909,StackableKinds,0)), TRUE, "")</f>
        <v/>
      </c>
    </row>
    <row r="2910" spans="1:16" x14ac:dyDescent="0.2">
      <c r="A2910" s="19" t="str">
        <f>_xlfn.IFNA(VLOOKUP($B2910,Keys!$A:$B,2,FALSE),_xlfn.IFNA(VLOOKUP($B2910,Keys!$D:$E,2,FALSE),VLOOKUP($B2910,Keys!$G:$H,2,FALSE)))</f>
        <v>0x000000192A1E4EC9</v>
      </c>
      <c r="B2910" s="5" t="s">
        <v>7514</v>
      </c>
      <c r="C2910" s="5" t="s">
        <v>9467</v>
      </c>
      <c r="D2910" s="5" t="s">
        <v>16862</v>
      </c>
      <c r="E2910" s="5"/>
      <c r="F2910" s="1"/>
      <c r="G2910" s="5" t="s">
        <v>8971</v>
      </c>
      <c r="H2910" s="1"/>
      <c r="I2910" s="1"/>
      <c r="J2910" s="2"/>
      <c r="K2910" s="5" t="s">
        <v>8971</v>
      </c>
      <c r="M2910" s="18"/>
      <c r="N2910" s="1"/>
      <c r="O2910" s="1"/>
      <c r="P2910" s="21" t="str">
        <f>IF(ISNUMBER(MATCH($C2910,StackableKinds,0)), TRUE, "")</f>
        <v/>
      </c>
    </row>
    <row r="2911" spans="1:16" x14ac:dyDescent="0.2">
      <c r="A2911" s="19" t="str">
        <f>_xlfn.IFNA(VLOOKUP($B2911,Keys!$A:$B,2,FALSE),_xlfn.IFNA(VLOOKUP($B2911,Keys!$D:$E,2,FALSE),VLOOKUP($B2911,Keys!$G:$H,2,FALSE)))</f>
        <v>0x0000001F5C643523</v>
      </c>
      <c r="B2911" s="5" t="s">
        <v>7516</v>
      </c>
      <c r="C2911" s="5" t="s">
        <v>9467</v>
      </c>
      <c r="D2911" s="5" t="s">
        <v>16862</v>
      </c>
      <c r="E2911" s="5"/>
      <c r="F2911" s="1"/>
      <c r="G2911" s="5" t="s">
        <v>8971</v>
      </c>
      <c r="H2911" s="1"/>
      <c r="I2911" s="1"/>
      <c r="J2911" s="2"/>
      <c r="K2911" s="5" t="s">
        <v>8971</v>
      </c>
      <c r="M2911" s="18"/>
      <c r="N2911" s="1"/>
      <c r="O2911" s="1"/>
      <c r="P2911" s="21" t="str">
        <f>IF(ISNUMBER(MATCH($C2911,StackableKinds,0)), TRUE, "")</f>
        <v/>
      </c>
    </row>
    <row r="2912" spans="1:16" x14ac:dyDescent="0.2">
      <c r="A2912" s="19" t="str">
        <f>_xlfn.IFNA(VLOOKUP($B2912,Keys!$A:$B,2,FALSE),_xlfn.IFNA(VLOOKUP($B2912,Keys!$D:$E,2,FALSE),VLOOKUP($B2912,Keys!$G:$H,2,FALSE)))</f>
        <v>0x000000197826616E</v>
      </c>
      <c r="B2912" s="5" t="s">
        <v>7518</v>
      </c>
      <c r="C2912" s="5" t="s">
        <v>9467</v>
      </c>
      <c r="D2912" s="5" t="s">
        <v>16862</v>
      </c>
      <c r="E2912" s="5"/>
      <c r="F2912" s="1"/>
      <c r="G2912" s="5" t="s">
        <v>8971</v>
      </c>
      <c r="H2912" s="1"/>
      <c r="I2912" s="1"/>
      <c r="J2912" s="2"/>
      <c r="K2912" s="5" t="s">
        <v>8971</v>
      </c>
      <c r="M2912" s="18"/>
      <c r="N2912" s="1"/>
      <c r="O2912" s="1"/>
      <c r="P2912" s="21" t="str">
        <f>IF(ISNUMBER(MATCH($C2912,StackableKinds,0)), TRUE, "")</f>
        <v/>
      </c>
    </row>
    <row r="2913" spans="1:16" x14ac:dyDescent="0.2">
      <c r="A2913" s="19" t="str">
        <f>_xlfn.IFNA(VLOOKUP($B2913,Keys!$A:$B,2,FALSE),_xlfn.IFNA(VLOOKUP($B2913,Keys!$D:$E,2,FALSE),VLOOKUP($B2913,Keys!$G:$H,2,FALSE)))</f>
        <v>0x0000001F3C388068</v>
      </c>
      <c r="B2913" s="5" t="s">
        <v>7520</v>
      </c>
      <c r="C2913" s="5" t="s">
        <v>9467</v>
      </c>
      <c r="D2913" s="5" t="s">
        <v>16862</v>
      </c>
      <c r="E2913" s="5"/>
      <c r="F2913" s="1"/>
      <c r="G2913" s="5" t="s">
        <v>8971</v>
      </c>
      <c r="H2913" s="1"/>
      <c r="I2913" s="1"/>
      <c r="J2913" s="2"/>
      <c r="K2913" s="5" t="s">
        <v>8971</v>
      </c>
      <c r="M2913" s="18"/>
      <c r="N2913" s="1"/>
      <c r="O2913" s="1"/>
      <c r="P2913" s="21" t="str">
        <f>IF(ISNUMBER(MATCH($C2913,StackableKinds,0)), TRUE, "")</f>
        <v/>
      </c>
    </row>
    <row r="2914" spans="1:16" x14ac:dyDescent="0.2">
      <c r="A2914" s="19" t="str">
        <f>_xlfn.IFNA(VLOOKUP($B2914,Keys!$A:$B,2,FALSE),_xlfn.IFNA(VLOOKUP($B2914,Keys!$D:$E,2,FALSE),VLOOKUP($B2914,Keys!$G:$H,2,FALSE)))</f>
        <v>0x00000019EFB97047</v>
      </c>
      <c r="B2914" s="5" t="s">
        <v>7522</v>
      </c>
      <c r="C2914" s="5" t="s">
        <v>9467</v>
      </c>
      <c r="D2914" s="5" t="s">
        <v>16862</v>
      </c>
      <c r="E2914" s="5"/>
      <c r="F2914" s="1"/>
      <c r="G2914" s="5" t="s">
        <v>8971</v>
      </c>
      <c r="H2914" s="1"/>
      <c r="I2914" s="1"/>
      <c r="J2914" s="2"/>
      <c r="K2914" s="5" t="s">
        <v>8971</v>
      </c>
      <c r="M2914" s="18"/>
      <c r="N2914" s="1"/>
      <c r="O2914" s="1"/>
      <c r="P2914" s="21" t="str">
        <f>IF(ISNUMBER(MATCH($C2914,StackableKinds,0)), TRUE, "")</f>
        <v/>
      </c>
    </row>
    <row r="2915" spans="1:16" x14ac:dyDescent="0.2">
      <c r="A2915" s="19" t="str">
        <f>_xlfn.IFNA(VLOOKUP($B2915,Keys!$A:$B,2,FALSE),_xlfn.IFNA(VLOOKUP($B2915,Keys!$D:$E,2,FALSE),VLOOKUP($B2915,Keys!$G:$H,2,FALSE)))</f>
        <v>0x0000001FE1AE59ED</v>
      </c>
      <c r="B2915" s="5" t="s">
        <v>7524</v>
      </c>
      <c r="C2915" s="5" t="s">
        <v>9467</v>
      </c>
      <c r="D2915" s="5" t="s">
        <v>16862</v>
      </c>
      <c r="E2915" s="5"/>
      <c r="F2915" s="1"/>
      <c r="G2915" s="5" t="s">
        <v>8971</v>
      </c>
      <c r="H2915" s="1"/>
      <c r="I2915" s="1"/>
      <c r="J2915" s="2"/>
      <c r="K2915" s="5" t="s">
        <v>8971</v>
      </c>
      <c r="M2915" s="18"/>
      <c r="N2915" s="1"/>
      <c r="O2915" s="1"/>
      <c r="P2915" s="21" t="str">
        <f>IF(ISNUMBER(MATCH($C2915,StackableKinds,0)), TRUE, "")</f>
        <v/>
      </c>
    </row>
    <row r="2916" spans="1:16" x14ac:dyDescent="0.2">
      <c r="A2916" s="19" t="str">
        <f>_xlfn.IFNA(VLOOKUP($B2916,Keys!$A:$B,2,FALSE),_xlfn.IFNA(VLOOKUP($B2916,Keys!$D:$E,2,FALSE),VLOOKUP($B2916,Keys!$G:$H,2,FALSE)))</f>
        <v>0x0000001949CE7BF3</v>
      </c>
      <c r="B2916" s="5" t="s">
        <v>7526</v>
      </c>
      <c r="C2916" s="5" t="s">
        <v>9467</v>
      </c>
      <c r="D2916" s="5" t="s">
        <v>16862</v>
      </c>
      <c r="E2916" s="5"/>
      <c r="F2916" s="1"/>
      <c r="G2916" s="5" t="s">
        <v>8971</v>
      </c>
      <c r="H2916" s="1"/>
      <c r="I2916" s="1"/>
      <c r="J2916" s="2"/>
      <c r="K2916" s="5" t="s">
        <v>8971</v>
      </c>
      <c r="M2916" s="18"/>
      <c r="N2916" s="1"/>
      <c r="O2916" s="1"/>
      <c r="P2916" s="21" t="str">
        <f>IF(ISNUMBER(MATCH($C2916,StackableKinds,0)), TRUE, "")</f>
        <v/>
      </c>
    </row>
    <row r="2917" spans="1:16" x14ac:dyDescent="0.2">
      <c r="A2917" s="19" t="str">
        <f>_xlfn.IFNA(VLOOKUP($B2917,Keys!$A:$B,2,FALSE),_xlfn.IFNA(VLOOKUP($B2917,Keys!$D:$E,2,FALSE),VLOOKUP($B2917,Keys!$G:$H,2,FALSE)))</f>
        <v>0x0000001FC6DE8CD8</v>
      </c>
      <c r="B2917" s="5" t="s">
        <v>7528</v>
      </c>
      <c r="C2917" s="5" t="s">
        <v>9467</v>
      </c>
      <c r="D2917" s="5" t="s">
        <v>16862</v>
      </c>
      <c r="E2917" s="5"/>
      <c r="F2917" s="1"/>
      <c r="G2917" s="5" t="s">
        <v>8971</v>
      </c>
      <c r="H2917" s="1"/>
      <c r="I2917" s="1"/>
      <c r="J2917" s="2"/>
      <c r="K2917" s="5" t="s">
        <v>8971</v>
      </c>
      <c r="M2917" s="18"/>
      <c r="N2917" s="1"/>
      <c r="O2917" s="1"/>
      <c r="P2917" s="21" t="str">
        <f>IF(ISNUMBER(MATCH($C2917,StackableKinds,0)), TRUE, "")</f>
        <v/>
      </c>
    </row>
    <row r="2918" spans="1:16" x14ac:dyDescent="0.2">
      <c r="A2918" s="19" t="str">
        <f>_xlfn.IFNA(VLOOKUP($B2918,Keys!$A:$B,2,FALSE),_xlfn.IFNA(VLOOKUP($B2918,Keys!$D:$E,2,FALSE),VLOOKUP($B2918,Keys!$G:$H,2,FALSE)))</f>
        <v>0x0000001F1B48555D</v>
      </c>
      <c r="B2918" s="5" t="s">
        <v>7530</v>
      </c>
      <c r="C2918" s="5" t="s">
        <v>9467</v>
      </c>
      <c r="D2918" s="5" t="s">
        <v>16862</v>
      </c>
      <c r="E2918" s="5"/>
      <c r="F2918" s="1"/>
      <c r="G2918" s="5" t="s">
        <v>8971</v>
      </c>
      <c r="H2918" s="1"/>
      <c r="I2918" s="1"/>
      <c r="J2918" s="2"/>
      <c r="K2918" s="5" t="s">
        <v>8971</v>
      </c>
      <c r="M2918" s="18"/>
      <c r="N2918" s="1"/>
      <c r="O2918" s="1"/>
      <c r="P2918" s="21" t="str">
        <f>IF(ISNUMBER(MATCH($C2918,StackableKinds,0)), TRUE, "")</f>
        <v/>
      </c>
    </row>
    <row r="2919" spans="1:16" x14ac:dyDescent="0.2">
      <c r="A2919" s="19" t="str">
        <f>_xlfn.IFNA(VLOOKUP($B2919,Keys!$A:$B,2,FALSE),_xlfn.IFNA(VLOOKUP($B2919,Keys!$D:$E,2,FALSE),VLOOKUP($B2919,Keys!$G:$H,2,FALSE)))</f>
        <v>0x0000001F824104E7</v>
      </c>
      <c r="B2919" s="5" t="s">
        <v>7532</v>
      </c>
      <c r="C2919" s="5" t="s">
        <v>9467</v>
      </c>
      <c r="D2919" s="5" t="s">
        <v>16862</v>
      </c>
      <c r="E2919" s="5"/>
      <c r="F2919" s="1"/>
      <c r="G2919" s="5" t="s">
        <v>8971</v>
      </c>
      <c r="H2919" s="1"/>
      <c r="I2919" s="1"/>
      <c r="J2919" s="2"/>
      <c r="K2919" s="5" t="s">
        <v>8971</v>
      </c>
      <c r="M2919" s="18"/>
      <c r="N2919" s="1"/>
      <c r="O2919" s="1"/>
      <c r="P2919" s="21" t="str">
        <f>IF(ISNUMBER(MATCH($C2919,StackableKinds,0)), TRUE, "")</f>
        <v/>
      </c>
    </row>
    <row r="2920" spans="1:16" x14ac:dyDescent="0.2">
      <c r="A2920" s="19" t="str">
        <f>_xlfn.IFNA(VLOOKUP($B2920,Keys!$A:$B,2,FALSE),_xlfn.IFNA(VLOOKUP($B2920,Keys!$D:$E,2,FALSE),VLOOKUP($B2920,Keys!$G:$H,2,FALSE)))</f>
        <v>0x0000001B4DA5AAF4</v>
      </c>
      <c r="B2920" s="5" t="s">
        <v>7534</v>
      </c>
      <c r="C2920" s="5" t="s">
        <v>9467</v>
      </c>
      <c r="D2920" s="5" t="s">
        <v>16862</v>
      </c>
      <c r="E2920" s="5"/>
      <c r="F2920" s="1"/>
      <c r="G2920" s="5" t="s">
        <v>8971</v>
      </c>
      <c r="H2920" s="1"/>
      <c r="I2920" s="1"/>
      <c r="J2920" s="2"/>
      <c r="K2920" s="5" t="s">
        <v>8971</v>
      </c>
      <c r="M2920" s="18"/>
      <c r="N2920" s="1"/>
      <c r="O2920" s="1"/>
      <c r="P2920" s="21" t="str">
        <f>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16862</v>
      </c>
      <c r="E2921" s="5"/>
      <c r="F2921" s="1"/>
      <c r="G2921" s="5" t="s">
        <v>8971</v>
      </c>
      <c r="H2921" s="1"/>
      <c r="I2921" s="1"/>
      <c r="J2921" s="2"/>
      <c r="K2921" s="5" t="s">
        <v>8971</v>
      </c>
      <c r="M2921" s="18"/>
      <c r="N2921" s="1"/>
      <c r="O2921" s="1"/>
      <c r="P2921" s="21" t="str">
        <f>IF(ISNUMBER(MATCH($C2921,StackableKinds,0)), TRUE, "")</f>
        <v/>
      </c>
    </row>
    <row r="2922" spans="1:16" x14ac:dyDescent="0.2">
      <c r="A2922" s="19" t="str">
        <f>_xlfn.IFNA(VLOOKUP($B2922,Keys!$A:$B,2,FALSE),_xlfn.IFNA(VLOOKUP($B2922,Keys!$D:$E,2,FALSE),VLOOKUP($B2922,Keys!$G:$H,2,FALSE)))</f>
        <v>0x0000001F618E0B88</v>
      </c>
      <c r="B2922" s="5" t="s">
        <v>7538</v>
      </c>
      <c r="C2922" s="5" t="s">
        <v>9467</v>
      </c>
      <c r="D2922" s="5" t="s">
        <v>16862</v>
      </c>
      <c r="E2922" s="5"/>
      <c r="F2922" s="1"/>
      <c r="G2922" s="5" t="s">
        <v>8971</v>
      </c>
      <c r="H2922" s="1"/>
      <c r="I2922" s="1"/>
      <c r="J2922" s="2"/>
      <c r="K2922" s="5" t="s">
        <v>8971</v>
      </c>
      <c r="M2922" s="18"/>
      <c r="N2922" s="1"/>
      <c r="O2922" s="1"/>
      <c r="P2922" s="21" t="str">
        <f>IF(ISNUMBER(MATCH($C2922,StackableKinds,0)), TRUE, "")</f>
        <v/>
      </c>
    </row>
    <row r="2923" spans="1:16" x14ac:dyDescent="0.2">
      <c r="A2923" s="19" t="str">
        <f>_xlfn.IFNA(VLOOKUP($B2923,Keys!$A:$B,2,FALSE),_xlfn.IFNA(VLOOKUP($B2923,Keys!$D:$E,2,FALSE),VLOOKUP($B2923,Keys!$G:$H,2,FALSE)))</f>
        <v>0x0000001FF8875A32</v>
      </c>
      <c r="B2923" s="5" t="s">
        <v>7540</v>
      </c>
      <c r="C2923" s="5" t="s">
        <v>9467</v>
      </c>
      <c r="D2923" s="5" t="s">
        <v>16862</v>
      </c>
      <c r="E2923" s="5"/>
      <c r="F2923" s="1"/>
      <c r="G2923" s="5" t="s">
        <v>8971</v>
      </c>
      <c r="H2923" s="1"/>
      <c r="I2923" s="1"/>
      <c r="J2923" s="2"/>
      <c r="K2923" s="5" t="s">
        <v>8971</v>
      </c>
      <c r="M2923" s="18"/>
      <c r="N2923" s="1"/>
      <c r="O2923" s="1"/>
      <c r="P2923" s="21" t="str">
        <f>IF(ISNUMBER(MATCH($C2923,StackableKinds,0)), TRUE, "")</f>
        <v/>
      </c>
    </row>
    <row r="2924" spans="1:16" x14ac:dyDescent="0.2">
      <c r="A2924" s="19" t="str">
        <f>_xlfn.IFNA(VLOOKUP($B2924,Keys!$A:$B,2,FALSE),_xlfn.IFNA(VLOOKUP($B2924,Keys!$D:$E,2,FALSE),VLOOKUP($B2924,Keys!$G:$H,2,FALSE)))</f>
        <v>0x0000001BB93B0EAD</v>
      </c>
      <c r="B2924" s="5" t="s">
        <v>7542</v>
      </c>
      <c r="C2924" s="5" t="s">
        <v>9467</v>
      </c>
      <c r="D2924" s="5" t="s">
        <v>16862</v>
      </c>
      <c r="E2924" s="5"/>
      <c r="F2924" s="1"/>
      <c r="G2924" s="5" t="s">
        <v>8971</v>
      </c>
      <c r="H2924" s="1"/>
      <c r="I2924" s="1"/>
      <c r="J2924" s="2"/>
      <c r="K2924" s="5" t="s">
        <v>8971</v>
      </c>
      <c r="M2924" s="18"/>
      <c r="N2924" s="1"/>
      <c r="O2924" s="1"/>
      <c r="P2924" s="21" t="str">
        <f>IF(ISNUMBER(MATCH($C2924,StackableKinds,0)), TRUE, "")</f>
        <v/>
      </c>
    </row>
    <row r="2925" spans="1:16" x14ac:dyDescent="0.2">
      <c r="A2925" s="19" t="str">
        <f>_xlfn.IFNA(VLOOKUP($B2925,Keys!$A:$B,2,FALSE),_xlfn.IFNA(VLOOKUP($B2925,Keys!$D:$E,2,FALSE),VLOOKUP($B2925,Keys!$G:$H,2,FALSE)))</f>
        <v>0x0000001FBC18D20D</v>
      </c>
      <c r="B2925" s="5" t="s">
        <v>7544</v>
      </c>
      <c r="C2925" s="5" t="s">
        <v>9467</v>
      </c>
      <c r="D2925" s="5" t="s">
        <v>16862</v>
      </c>
      <c r="E2925" s="5"/>
      <c r="F2925" s="1"/>
      <c r="G2925" s="5" t="s">
        <v>8971</v>
      </c>
      <c r="H2925" s="1"/>
      <c r="I2925" s="1"/>
      <c r="J2925" s="2"/>
      <c r="K2925" s="5" t="s">
        <v>8971</v>
      </c>
      <c r="M2925" s="18"/>
      <c r="N2925" s="1"/>
      <c r="O2925" s="1"/>
      <c r="P2925" s="21" t="str">
        <f>IF(ISNUMBER(MATCH($C2925,StackableKinds,0)), TRUE, "")</f>
        <v/>
      </c>
    </row>
    <row r="2926" spans="1:16" x14ac:dyDescent="0.2">
      <c r="A2926" s="19" t="str">
        <f>_xlfn.IFNA(VLOOKUP($B2926,Keys!$A:$B,2,FALSE),_xlfn.IFNA(VLOOKUP($B2926,Keys!$D:$E,2,FALSE),VLOOKUP($B2926,Keys!$G:$H,2,FALSE)))</f>
        <v>0x00000019712B5F7E</v>
      </c>
      <c r="B2926" s="5" t="s">
        <v>7546</v>
      </c>
      <c r="C2926" s="5" t="s">
        <v>9467</v>
      </c>
      <c r="D2926" s="5" t="s">
        <v>16862</v>
      </c>
      <c r="E2926" s="5"/>
      <c r="F2926" s="1"/>
      <c r="G2926" s="5" t="s">
        <v>8971</v>
      </c>
      <c r="H2926" s="1"/>
      <c r="I2926" s="1"/>
      <c r="J2926" s="2"/>
      <c r="K2926" s="5" t="s">
        <v>8971</v>
      </c>
      <c r="M2926" s="18"/>
      <c r="N2926" s="1"/>
      <c r="O2926" s="1"/>
      <c r="P2926" s="21" t="str">
        <f>IF(ISNUMBER(MATCH($C2926,StackableKinds,0)), TRUE, "")</f>
        <v/>
      </c>
    </row>
    <row r="2927" spans="1:16" x14ac:dyDescent="0.2">
      <c r="A2927" s="19" t="str">
        <f>_xlfn.IFNA(VLOOKUP($B2927,Keys!$A:$B,2,FALSE),_xlfn.IFNA(VLOOKUP($B2927,Keys!$D:$E,2,FALSE),VLOOKUP($B2927,Keys!$G:$H,2,FALSE)))</f>
        <v>0x0000001F1CFD0DD0</v>
      </c>
      <c r="B2927" s="5" t="s">
        <v>7548</v>
      </c>
      <c r="C2927" s="5" t="s">
        <v>9467</v>
      </c>
      <c r="D2927" s="5" t="s">
        <v>16862</v>
      </c>
      <c r="E2927" s="5"/>
      <c r="F2927" s="1"/>
      <c r="G2927" s="5" t="s">
        <v>8971</v>
      </c>
      <c r="H2927" s="1"/>
      <c r="I2927" s="1"/>
      <c r="J2927" s="2"/>
      <c r="K2927" s="5" t="s">
        <v>8971</v>
      </c>
      <c r="M2927" s="18"/>
      <c r="N2927" s="1"/>
      <c r="O2927" s="1"/>
      <c r="P2927" s="21" t="str">
        <f>IF(ISNUMBER(MATCH($C2927,StackableKinds,0)), TRUE, "")</f>
        <v/>
      </c>
    </row>
    <row r="2928" spans="1:16" x14ac:dyDescent="0.2">
      <c r="A2928" s="19" t="str">
        <f>_xlfn.IFNA(VLOOKUP($B2928,Keys!$A:$B,2,FALSE),_xlfn.IFNA(VLOOKUP($B2928,Keys!$D:$E,2,FALSE),VLOOKUP($B2928,Keys!$G:$H,2,FALSE)))</f>
        <v>0x0000001912FB6A44</v>
      </c>
      <c r="B2928" s="5" t="s">
        <v>7550</v>
      </c>
      <c r="C2928" s="5" t="s">
        <v>9467</v>
      </c>
      <c r="D2928" s="5" t="s">
        <v>16862</v>
      </c>
      <c r="E2928" s="5"/>
      <c r="F2928" s="1"/>
      <c r="G2928" s="5" t="s">
        <v>8971</v>
      </c>
      <c r="H2928" s="1"/>
      <c r="I2928" s="1"/>
      <c r="J2928" s="2"/>
      <c r="K2928" s="5" t="s">
        <v>8971</v>
      </c>
      <c r="M2928" s="18"/>
      <c r="N2928" s="1"/>
      <c r="O2928" s="1"/>
      <c r="P2928" s="21" t="str">
        <f>IF(ISNUMBER(MATCH($C2928,StackableKinds,0)), TRUE, "")</f>
        <v/>
      </c>
    </row>
    <row r="2929" spans="1:16" x14ac:dyDescent="0.2">
      <c r="A2929" s="19" t="str">
        <f>_xlfn.IFNA(VLOOKUP($B2929,Keys!$A:$B,2,FALSE),_xlfn.IFNA(VLOOKUP($B2929,Keys!$D:$E,2,FALSE),VLOOKUP($B2929,Keys!$G:$H,2,FALSE)))</f>
        <v>0x0000001FA137611E</v>
      </c>
      <c r="B2929" s="5" t="s">
        <v>7552</v>
      </c>
      <c r="C2929" s="5" t="s">
        <v>9467</v>
      </c>
      <c r="D2929" s="5" t="s">
        <v>16862</v>
      </c>
      <c r="E2929" s="5"/>
      <c r="F2929" s="1"/>
      <c r="G2929" s="5" t="s">
        <v>8971</v>
      </c>
      <c r="H2929" s="1"/>
      <c r="I2929" s="1"/>
      <c r="J2929" s="2"/>
      <c r="K2929" s="5" t="s">
        <v>8971</v>
      </c>
      <c r="M2929" s="18"/>
      <c r="N2929" s="1"/>
      <c r="O2929" s="1"/>
      <c r="P2929" s="21" t="str">
        <f>IF(ISNUMBER(MATCH($C2929,StackableKinds,0)), TRUE, "")</f>
        <v/>
      </c>
    </row>
    <row r="2930" spans="1:16" x14ac:dyDescent="0.2">
      <c r="A2930" s="19" t="str">
        <f>_xlfn.IFNA(VLOOKUP($B2930,Keys!$A:$B,2,FALSE),_xlfn.IFNA(VLOOKUP($B2930,Keys!$D:$E,2,FALSE),VLOOKUP($B2930,Keys!$G:$H,2,FALSE)))</f>
        <v>0x0000001F383E30A4</v>
      </c>
      <c r="B2930" s="5" t="s">
        <v>7554</v>
      </c>
      <c r="C2930" s="5" t="s">
        <v>9467</v>
      </c>
      <c r="D2930" s="5" t="s">
        <v>16862</v>
      </c>
      <c r="E2930" s="5"/>
      <c r="F2930" s="1"/>
      <c r="G2930" s="5" t="s">
        <v>8971</v>
      </c>
      <c r="H2930" s="1"/>
      <c r="I2930" s="1"/>
      <c r="J2930" s="2"/>
      <c r="K2930" s="5" t="s">
        <v>8971</v>
      </c>
      <c r="M2930" s="18"/>
      <c r="N2930" s="1"/>
      <c r="O2930" s="1"/>
      <c r="P2930" s="21" t="str">
        <f>IF(ISNUMBER(MATCH($C2930,StackableKinds,0)), TRUE, "")</f>
        <v/>
      </c>
    </row>
    <row r="2931" spans="1:16" x14ac:dyDescent="0.2">
      <c r="A2931" s="19" t="str">
        <f>_xlfn.IFNA(VLOOKUP($B2931,Keys!$A:$B,2,FALSE),_xlfn.IFNA(VLOOKUP($B2931,Keys!$D:$E,2,FALSE),VLOOKUP($B2931,Keys!$G:$H,2,FALSE)))</f>
        <v>0x0000001B7DDE0E1B</v>
      </c>
      <c r="B2931" s="5" t="s">
        <v>7556</v>
      </c>
      <c r="C2931" s="5" t="s">
        <v>9467</v>
      </c>
      <c r="D2931" s="5" t="s">
        <v>16862</v>
      </c>
      <c r="E2931" s="5"/>
      <c r="F2931" s="1"/>
      <c r="G2931" s="5" t="s">
        <v>8971</v>
      </c>
      <c r="H2931" s="1"/>
      <c r="I2931" s="1"/>
      <c r="J2931" s="2"/>
      <c r="K2931" s="5" t="s">
        <v>8971</v>
      </c>
      <c r="M2931" s="18"/>
      <c r="N2931" s="1"/>
      <c r="O2931" s="1"/>
      <c r="P2931" s="21" t="str">
        <f>IF(ISNUMBER(MATCH($C2931,StackableKinds,0)), TRUE, "")</f>
        <v/>
      </c>
    </row>
    <row r="2932" spans="1:16" x14ac:dyDescent="0.2">
      <c r="A2932" s="19" t="str">
        <f>_xlfn.IFNA(VLOOKUP($B2932,Keys!$A:$B,2,FALSE),_xlfn.IFNA(VLOOKUP($B2932,Keys!$D:$E,2,FALSE),VLOOKUP($B2932,Keys!$G:$H,2,FALSE)))</f>
        <v>0x0000001BE4D75FA1</v>
      </c>
      <c r="B2932" s="5" t="s">
        <v>7558</v>
      </c>
      <c r="C2932" s="5" t="s">
        <v>9467</v>
      </c>
      <c r="D2932" s="5" t="s">
        <v>16862</v>
      </c>
      <c r="E2932" s="5"/>
      <c r="F2932" s="1"/>
      <c r="G2932" s="5" t="s">
        <v>8971</v>
      </c>
      <c r="H2932" s="1"/>
      <c r="I2932" s="1"/>
      <c r="J2932" s="2"/>
      <c r="K2932" s="5" t="s">
        <v>8971</v>
      </c>
      <c r="M2932" s="18"/>
      <c r="N2932" s="1"/>
      <c r="O2932" s="1"/>
      <c r="P2932" s="21" t="str">
        <f>IF(ISNUMBER(MATCH($C2932,StackableKinds,0)), TRUE, "")</f>
        <v/>
      </c>
    </row>
    <row r="2933" spans="1:16" x14ac:dyDescent="0.2">
      <c r="A2933" s="19" t="str">
        <f>_xlfn.IFNA(VLOOKUP($B2933,Keys!$A:$B,2,FALSE),_xlfn.IFNA(VLOOKUP($B2933,Keys!$D:$E,2,FALSE),VLOOKUP($B2933,Keys!$G:$H,2,FALSE)))</f>
        <v>0x0000001F7CA1B89B</v>
      </c>
      <c r="B2933" s="5" t="s">
        <v>7560</v>
      </c>
      <c r="C2933" s="5" t="s">
        <v>9467</v>
      </c>
      <c r="D2933" s="5" t="s">
        <v>16862</v>
      </c>
      <c r="E2933" s="5"/>
      <c r="F2933" s="1"/>
      <c r="G2933" s="5" t="s">
        <v>8971</v>
      </c>
      <c r="H2933" s="1"/>
      <c r="I2933" s="1"/>
      <c r="J2933" s="2"/>
      <c r="K2933" s="5" t="s">
        <v>8971</v>
      </c>
      <c r="M2933" s="18"/>
      <c r="N2933" s="1"/>
      <c r="O2933" s="1"/>
      <c r="P2933" s="21" t="str">
        <f>IF(ISNUMBER(MATCH($C2933,StackableKinds,0)), TRUE, "")</f>
        <v/>
      </c>
    </row>
    <row r="2934" spans="1:16" x14ac:dyDescent="0.2">
      <c r="A2934" s="19" t="str">
        <f>_xlfn.IFNA(VLOOKUP($B2934,Keys!$A:$B,2,FALSE),_xlfn.IFNA(VLOOKUP($B2934,Keys!$D:$E,2,FALSE),VLOOKUP($B2934,Keys!$G:$H,2,FALSE)))</f>
        <v>0x0000001FE5A8E921</v>
      </c>
      <c r="B2934" s="5" t="s">
        <v>7562</v>
      </c>
      <c r="C2934" s="5" t="s">
        <v>9467</v>
      </c>
      <c r="D2934" s="5" t="s">
        <v>16862</v>
      </c>
      <c r="E2934" s="5"/>
      <c r="F2934" s="1"/>
      <c r="G2934" s="5" t="s">
        <v>8971</v>
      </c>
      <c r="H2934" s="1"/>
      <c r="I2934" s="1"/>
      <c r="J2934" s="2"/>
      <c r="K2934" s="5" t="s">
        <v>8971</v>
      </c>
      <c r="M2934" s="18"/>
      <c r="N2934" s="1"/>
      <c r="O2934" s="1"/>
      <c r="P2934" s="21" t="str">
        <f>IF(ISNUMBER(MATCH($C2934,StackableKinds,0)), TRUE, "")</f>
        <v/>
      </c>
    </row>
    <row r="2935" spans="1:16" x14ac:dyDescent="0.2">
      <c r="A2935" s="19" t="str">
        <f>_xlfn.IFNA(VLOOKUP($B2935,Keys!$A:$B,2,FALSE),_xlfn.IFNA(VLOOKUP($B2935,Keys!$D:$E,2,FALSE),VLOOKUP($B2935,Keys!$G:$H,2,FALSE)))</f>
        <v>0x0000001B6AA51A58</v>
      </c>
      <c r="B2935" s="5" t="s">
        <v>7564</v>
      </c>
      <c r="C2935" s="5" t="s">
        <v>9467</v>
      </c>
      <c r="D2935" s="5" t="s">
        <v>16862</v>
      </c>
      <c r="E2935" s="5"/>
      <c r="F2935" s="1"/>
      <c r="G2935" s="5" t="s">
        <v>8971</v>
      </c>
      <c r="H2935" s="1"/>
      <c r="I2935" s="1"/>
      <c r="J2935" s="2"/>
      <c r="K2935" s="5" t="s">
        <v>8971</v>
      </c>
      <c r="M2935" s="18"/>
      <c r="N2935" s="1"/>
      <c r="O2935" s="1"/>
      <c r="P2935" s="21" t="str">
        <f>IF(ISNUMBER(MATCH($C2935,StackableKinds,0)), TRUE, "")</f>
        <v/>
      </c>
    </row>
    <row r="2936" spans="1:16" x14ac:dyDescent="0.2">
      <c r="A2936" s="19" t="str">
        <f>_xlfn.IFNA(VLOOKUP($B2936,Keys!$A:$B,2,FALSE),_xlfn.IFNA(VLOOKUP($B2936,Keys!$D:$E,2,FALSE),VLOOKUP($B2936,Keys!$G:$H,2,FALSE)))</f>
        <v>0x0000001BF3AC4BE2</v>
      </c>
      <c r="B2936" s="5" t="s">
        <v>7566</v>
      </c>
      <c r="C2936" s="5" t="s">
        <v>9467</v>
      </c>
      <c r="D2936" s="5" t="s">
        <v>16862</v>
      </c>
      <c r="E2936" s="5"/>
      <c r="F2936" s="1"/>
      <c r="G2936" s="5" t="s">
        <v>8971</v>
      </c>
      <c r="H2936" s="1"/>
      <c r="I2936" s="1"/>
      <c r="J2936" s="2"/>
      <c r="K2936" s="5" t="s">
        <v>8971</v>
      </c>
      <c r="M2936" s="18"/>
      <c r="N2936" s="1"/>
      <c r="O2936" s="1"/>
      <c r="P2936" s="21" t="str">
        <f>IF(ISNUMBER(MATCH($C2936,StackableKinds,0)), TRUE, "")</f>
        <v/>
      </c>
    </row>
    <row r="2937" spans="1:16" x14ac:dyDescent="0.2">
      <c r="A2937" s="19" t="str">
        <f>_xlfn.IFNA(VLOOKUP($B2937,Keys!$A:$B,2,FALSE),_xlfn.IFNA(VLOOKUP($B2937,Keys!$D:$E,2,FALSE),VLOOKUP($B2937,Keys!$G:$H,2,FALSE)))</f>
        <v>0x0000001F8647B42B</v>
      </c>
      <c r="B2937" s="5" t="s">
        <v>7568</v>
      </c>
      <c r="C2937" s="5" t="s">
        <v>9467</v>
      </c>
      <c r="D2937" s="5" t="s">
        <v>16862</v>
      </c>
      <c r="E2937" s="5"/>
      <c r="F2937" s="1"/>
      <c r="G2937" s="5" t="s">
        <v>8971</v>
      </c>
      <c r="H2937" s="1"/>
      <c r="I2937" s="1"/>
      <c r="J2937" s="2"/>
      <c r="K2937" s="5" t="s">
        <v>8971</v>
      </c>
      <c r="M2937" s="18"/>
      <c r="N2937" s="1"/>
      <c r="O2937" s="1"/>
      <c r="P2937" s="21" t="str">
        <f>IF(ISNUMBER(MATCH($C2937,StackableKinds,0)), TRUE, "")</f>
        <v/>
      </c>
    </row>
    <row r="2938" spans="1:16" x14ac:dyDescent="0.2">
      <c r="A2938" s="19" t="str">
        <f>_xlfn.IFNA(VLOOKUP($B2938,Keys!$A:$B,2,FALSE),_xlfn.IFNA(VLOOKUP($B2938,Keys!$D:$E,2,FALSE),VLOOKUP($B2938,Keys!$G:$H,2,FALSE)))</f>
        <v>0x0000001F1F4EE591</v>
      </c>
      <c r="B2938" s="5" t="s">
        <v>7570</v>
      </c>
      <c r="C2938" s="5" t="s">
        <v>9467</v>
      </c>
      <c r="D2938" s="5" t="s">
        <v>16862</v>
      </c>
      <c r="E2938" s="5"/>
      <c r="F2938" s="1"/>
      <c r="G2938" s="5" t="s">
        <v>8971</v>
      </c>
      <c r="H2938" s="1"/>
      <c r="I2938" s="1"/>
      <c r="J2938" s="2"/>
      <c r="K2938" s="5" t="s">
        <v>8971</v>
      </c>
      <c r="M2938" s="18"/>
      <c r="N2938" s="1"/>
      <c r="O2938" s="1"/>
      <c r="P2938" s="21" t="str">
        <f>IF(ISNUMBER(MATCH($C2938,StackableKinds,0)), TRUE, "")</f>
        <v/>
      </c>
    </row>
    <row r="2939" spans="1:16" x14ac:dyDescent="0.2">
      <c r="A2939" s="19" t="str">
        <f>_xlfn.IFNA(VLOOKUP($B2939,Keys!$A:$B,2,FALSE),_xlfn.IFNA(VLOOKUP($B2939,Keys!$D:$E,2,FALSE),VLOOKUP($B2939,Keys!$G:$H,2,FALSE)))</f>
        <v>0x0000001BA267C1CA</v>
      </c>
      <c r="B2939" s="5" t="s">
        <v>7572</v>
      </c>
      <c r="C2939" s="5" t="s">
        <v>9467</v>
      </c>
      <c r="D2939" s="5" t="s">
        <v>16862</v>
      </c>
      <c r="E2939" s="5"/>
      <c r="F2939" s="1"/>
      <c r="G2939" s="5" t="s">
        <v>8971</v>
      </c>
      <c r="H2939" s="1"/>
      <c r="I2939" s="1"/>
      <c r="J2939" s="2"/>
      <c r="K2939" s="5" t="s">
        <v>8971</v>
      </c>
      <c r="M2939" s="18"/>
      <c r="N2939" s="1"/>
      <c r="O2939" s="1"/>
      <c r="P2939" s="21" t="str">
        <f>IF(ISNUMBER(MATCH($C2939,StackableKinds,0)), TRUE, "")</f>
        <v/>
      </c>
    </row>
    <row r="2940" spans="1:16" x14ac:dyDescent="0.2">
      <c r="A2940" s="19" t="str">
        <f>_xlfn.IFNA(VLOOKUP($B2940,Keys!$A:$B,2,FALSE),_xlfn.IFNA(VLOOKUP($B2940,Keys!$D:$E,2,FALSE),VLOOKUP($B2940,Keys!$G:$H,2,FALSE)))</f>
        <v>0x0000001B3B6E9070</v>
      </c>
      <c r="B2940" s="5" t="s">
        <v>7574</v>
      </c>
      <c r="C2940" s="5" t="s">
        <v>9467</v>
      </c>
      <c r="D2940" s="5" t="s">
        <v>16862</v>
      </c>
      <c r="E2940" s="5"/>
      <c r="F2940" s="1"/>
      <c r="G2940" s="5" t="s">
        <v>8971</v>
      </c>
      <c r="H2940" s="1"/>
      <c r="I2940" s="1"/>
      <c r="J2940" s="2"/>
      <c r="K2940" s="5" t="s">
        <v>8971</v>
      </c>
      <c r="M2940" s="18"/>
      <c r="N2940" s="1"/>
      <c r="O2940" s="1"/>
      <c r="P2940" s="21" t="str">
        <f>IF(ISNUMBER(MATCH($C2940,StackableKinds,0)), TRUE, "")</f>
        <v/>
      </c>
    </row>
    <row r="2941" spans="1:16" x14ac:dyDescent="0.2">
      <c r="A2941" s="19" t="e">
        <f>_xlfn.IFNA(VLOOKUP($B2941,Keys!$A:$B,2,FALSE),_xlfn.IFNA(VLOOKUP($B2941,Keys!$D:$E,2,FALSE),VLOOKUP($B2941,Keys!$G:$H,2,FALSE)))</f>
        <v>#N/A</v>
      </c>
      <c r="B2941" s="5" t="s">
        <v>9877</v>
      </c>
      <c r="C2941" s="5" t="s">
        <v>9467</v>
      </c>
      <c r="D2941" s="5" t="s">
        <v>16862</v>
      </c>
      <c r="E2941" s="5"/>
      <c r="F2941" s="1"/>
      <c r="G2941" s="5" t="s">
        <v>8971</v>
      </c>
      <c r="H2941" s="1"/>
      <c r="I2941" s="1"/>
      <c r="J2941" s="2"/>
      <c r="K2941" s="5" t="s">
        <v>8971</v>
      </c>
      <c r="M2941" s="18"/>
      <c r="N2941" s="1"/>
      <c r="O2941" s="1"/>
      <c r="P2941" s="21" t="str">
        <f>IF(ISNUMBER(MATCH($C2941,StackableKinds,0)), TRUE, "")</f>
        <v/>
      </c>
    </row>
    <row r="2942" spans="1:16" x14ac:dyDescent="0.2">
      <c r="A2942" s="19" t="str">
        <f>_xlfn.IFNA(VLOOKUP($B2942,Keys!$A:$B,2,FALSE),_xlfn.IFNA(VLOOKUP($B2942,Keys!$D:$E,2,FALSE),VLOOKUP($B2942,Keys!$G:$H,2,FALSE)))</f>
        <v>0x00000019F23F8EFF</v>
      </c>
      <c r="B2942" s="5" t="s">
        <v>7576</v>
      </c>
      <c r="C2942" s="5" t="s">
        <v>9467</v>
      </c>
      <c r="D2942" s="5" t="s">
        <v>16862</v>
      </c>
      <c r="E2942" s="5"/>
      <c r="F2942" s="1"/>
      <c r="G2942" s="5" t="s">
        <v>8971</v>
      </c>
      <c r="H2942" s="1"/>
      <c r="I2942" s="1"/>
      <c r="J2942" s="2"/>
      <c r="K2942" s="5" t="s">
        <v>8971</v>
      </c>
      <c r="M2942" s="18"/>
      <c r="N2942" s="1"/>
      <c r="O2942" s="1"/>
      <c r="P2942" s="21" t="str">
        <f>IF(ISNUMBER(MATCH($C2942,StackableKinds,0)), TRUE, "")</f>
        <v/>
      </c>
    </row>
    <row r="2943" spans="1:16" x14ac:dyDescent="0.2">
      <c r="A2943" s="19" t="str">
        <f>_xlfn.IFNA(VLOOKUP($B2943,Keys!$A:$B,2,FALSE),_xlfn.IFNA(VLOOKUP($B2943,Keys!$D:$E,2,FALSE),VLOOKUP($B2943,Keys!$G:$H,2,FALSE)))</f>
        <v>0x00000019C3D79462</v>
      </c>
      <c r="B2943" s="5" t="s">
        <v>7578</v>
      </c>
      <c r="C2943" s="5" t="s">
        <v>9467</v>
      </c>
      <c r="D2943" s="5" t="s">
        <v>16862</v>
      </c>
      <c r="E2943" s="5"/>
      <c r="F2943" s="1"/>
      <c r="G2943" s="5" t="s">
        <v>8971</v>
      </c>
      <c r="H2943" s="1"/>
      <c r="I2943" s="1"/>
      <c r="J2943" s="2"/>
      <c r="K2943" s="5" t="s">
        <v>8971</v>
      </c>
      <c r="M2943" s="18"/>
      <c r="N2943" s="1"/>
      <c r="O2943" s="1"/>
      <c r="P2943" s="21" t="str">
        <f>IF(ISNUMBER(MATCH($C2943,StackableKinds,0)), TRUE, "")</f>
        <v/>
      </c>
    </row>
    <row r="2944" spans="1:16" x14ac:dyDescent="0.2">
      <c r="A2944" s="19" t="e">
        <f>_xlfn.IFNA(VLOOKUP($B2944,Keys!$A:$B,2,FALSE),_xlfn.IFNA(VLOOKUP($B2944,Keys!$D:$E,2,FALSE),VLOOKUP($B2944,Keys!$G:$H,2,FALSE)))</f>
        <v>#N/A</v>
      </c>
      <c r="B2944" s="5" t="s">
        <v>9878</v>
      </c>
      <c r="C2944" s="5" t="s">
        <v>9467</v>
      </c>
      <c r="D2944" s="5" t="s">
        <v>16862</v>
      </c>
      <c r="E2944" s="5"/>
      <c r="F2944" s="1"/>
      <c r="G2944" s="5" t="s">
        <v>8971</v>
      </c>
      <c r="H2944" s="1"/>
      <c r="I2944" s="1"/>
      <c r="J2944" s="2"/>
      <c r="K2944" s="5" t="s">
        <v>8971</v>
      </c>
      <c r="M2944" s="18"/>
      <c r="N2944" s="1"/>
      <c r="O2944" s="1"/>
      <c r="P2944" s="21" t="str">
        <f>IF(ISNUMBER(MATCH($C2944,StackableKinds,0)), TRUE, "")</f>
        <v/>
      </c>
    </row>
    <row r="2945" spans="1:17" x14ac:dyDescent="0.2">
      <c r="A2945" s="19" t="str">
        <f>_xlfn.IFNA(VLOOKUP($B2945,Keys!$A:$B,2,FALSE),_xlfn.IFNA(VLOOKUP($B2945,Keys!$D:$E,2,FALSE),VLOOKUP($B2945,Keys!$G:$H,2,FALSE)))</f>
        <v>0x00000019A007A158</v>
      </c>
      <c r="B2945" s="5" t="s">
        <v>7580</v>
      </c>
      <c r="C2945" s="5" t="s">
        <v>9467</v>
      </c>
      <c r="D2945" s="5" t="s">
        <v>16862</v>
      </c>
      <c r="E2945" s="5"/>
      <c r="F2945" s="1"/>
      <c r="G2945" s="5" t="s">
        <v>8971</v>
      </c>
      <c r="H2945" s="1"/>
      <c r="I2945" s="1"/>
      <c r="J2945" s="2"/>
      <c r="K2945" s="5" t="s">
        <v>8971</v>
      </c>
      <c r="M2945" s="18"/>
      <c r="N2945" s="1"/>
      <c r="O2945" s="1"/>
      <c r="P2945" s="21" t="str">
        <f>IF(ISNUMBER(MATCH($C2945,StackableKinds,0)), TRUE, "")</f>
        <v/>
      </c>
    </row>
    <row r="2946" spans="1:17" x14ac:dyDescent="0.2">
      <c r="A2946" s="19" t="str">
        <f>_xlfn.IFNA(VLOOKUP($B2946,Keys!$A:$B,2,FALSE),_xlfn.IFNA(VLOOKUP($B2946,Keys!$D:$E,2,FALSE),VLOOKUP($B2946,Keys!$G:$H,2,FALSE)))</f>
        <v>0x0000001A7FC5606A</v>
      </c>
      <c r="B2946" s="5" t="s">
        <v>7582</v>
      </c>
      <c r="C2946" s="5" t="s">
        <v>9467</v>
      </c>
      <c r="D2946" s="5" t="s">
        <v>16862</v>
      </c>
      <c r="E2946" s="5"/>
      <c r="F2946" s="1"/>
      <c r="G2946" s="5" t="s">
        <v>8971</v>
      </c>
      <c r="H2946" s="1"/>
      <c r="I2946" s="1"/>
      <c r="J2946" s="2"/>
      <c r="K2946" s="5" t="s">
        <v>8971</v>
      </c>
      <c r="M2946" s="18"/>
      <c r="N2946" s="1"/>
      <c r="O2946" s="1"/>
      <c r="P2946" s="21" t="str">
        <f>IF(ISNUMBER(MATCH($C2946,StackableKinds,0)), TRUE, "")</f>
        <v/>
      </c>
    </row>
    <row r="2947" spans="1:17" x14ac:dyDescent="0.2">
      <c r="A2947" s="19" t="str">
        <f>_xlfn.IFNA(VLOOKUP($B2947,Keys!$A:$B,2,FALSE),_xlfn.IFNA(VLOOKUP($B2947,Keys!$D:$E,2,FALSE),VLOOKUP($B2947,Keys!$G:$H,2,FALSE)))</f>
        <v>0x000000190670AAEC</v>
      </c>
      <c r="B2947" s="5" t="s">
        <v>7584</v>
      </c>
      <c r="C2947" s="5" t="s">
        <v>9467</v>
      </c>
      <c r="D2947" s="5" t="s">
        <v>16862</v>
      </c>
      <c r="E2947" s="5"/>
      <c r="F2947" s="1"/>
      <c r="G2947" s="5" t="s">
        <v>8971</v>
      </c>
      <c r="H2947" s="1"/>
      <c r="I2947" s="1"/>
      <c r="J2947" s="2"/>
      <c r="K2947" s="5" t="s">
        <v>8971</v>
      </c>
      <c r="M2947" s="18"/>
      <c r="N2947" s="1"/>
      <c r="O2947" s="1"/>
      <c r="P2947" s="21" t="str">
        <f>IF(ISNUMBER(MATCH($C2947,StackableKinds,0)), TRUE, "")</f>
        <v/>
      </c>
    </row>
    <row r="2948" spans="1:17" x14ac:dyDescent="0.2">
      <c r="A2948" s="19" t="str">
        <f>_xlfn.IFNA(VLOOKUP($B2948,Keys!$A:$B,2,FALSE),_xlfn.IFNA(VLOOKUP($B2948,Keys!$D:$E,2,FALSE),VLOOKUP($B2948,Keys!$G:$H,2,FALSE)))</f>
        <v>0x0000001AB36F60F4</v>
      </c>
      <c r="B2948" s="5" t="s">
        <v>7586</v>
      </c>
      <c r="C2948" s="5" t="s">
        <v>9467</v>
      </c>
      <c r="D2948" s="5" t="s">
        <v>16862</v>
      </c>
      <c r="E2948" s="5"/>
      <c r="F2948" s="1"/>
      <c r="G2948" s="5" t="s">
        <v>8971</v>
      </c>
      <c r="H2948" s="1"/>
      <c r="I2948" s="1"/>
      <c r="J2948" s="2"/>
      <c r="K2948" s="5" t="s">
        <v>8971</v>
      </c>
      <c r="M2948" s="18"/>
      <c r="N2948" s="1"/>
      <c r="O2948" s="1"/>
      <c r="P2948" s="21" t="str">
        <f>IF(ISNUMBER(MATCH($C2948,StackableKinds,0)), TRUE, "")</f>
        <v/>
      </c>
      <c r="Q2948" s="2"/>
    </row>
    <row r="2949" spans="1:17" x14ac:dyDescent="0.2">
      <c r="A2949" s="19" t="str">
        <f>_xlfn.IFNA(VLOOKUP($B2949,Keys!$A:$B,2,FALSE),_xlfn.IFNA(VLOOKUP($B2949,Keys!$D:$E,2,FALSE),VLOOKUP($B2949,Keys!$G:$H,2,FALSE)))</f>
        <v>0x0000001AC4685062</v>
      </c>
      <c r="B2949" s="5" t="s">
        <v>7588</v>
      </c>
      <c r="C2949" s="5" t="s">
        <v>9467</v>
      </c>
      <c r="D2949" s="5" t="s">
        <v>16862</v>
      </c>
      <c r="E2949" s="5"/>
      <c r="F2949" s="1"/>
      <c r="G2949" s="5" t="s">
        <v>8971</v>
      </c>
      <c r="H2949" s="1"/>
      <c r="I2949" s="1"/>
      <c r="J2949" s="2"/>
      <c r="K2949" s="5" t="s">
        <v>8971</v>
      </c>
      <c r="M2949" s="18"/>
      <c r="N2949" s="1"/>
      <c r="O2949" s="1"/>
      <c r="P2949" s="21" t="str">
        <f>IF(ISNUMBER(MATCH($C2949,StackableKinds,0)), TRUE, "")</f>
        <v/>
      </c>
      <c r="Q2949" s="2"/>
    </row>
    <row r="2950" spans="1:17" x14ac:dyDescent="0.2">
      <c r="A2950" s="19" t="str">
        <f>_xlfn.IFNA(VLOOKUP($B2950,Keys!$A:$B,2,FALSE),_xlfn.IFNA(VLOOKUP($B2950,Keys!$D:$E,2,FALSE),VLOOKUP($B2950,Keys!$G:$H,2,FALSE)))</f>
        <v>0x0000001F4F12E489</v>
      </c>
      <c r="B2950" s="5" t="s">
        <v>7600</v>
      </c>
      <c r="C2950" s="5" t="s">
        <v>9467</v>
      </c>
      <c r="D2950" s="5" t="s">
        <v>16862</v>
      </c>
      <c r="E2950" s="5"/>
      <c r="F2950" s="1"/>
      <c r="G2950" s="5" t="s">
        <v>8971</v>
      </c>
      <c r="H2950" s="1"/>
      <c r="I2950" s="1"/>
      <c r="J2950" s="2"/>
      <c r="K2950" s="5" t="s">
        <v>8971</v>
      </c>
      <c r="M2950" s="18"/>
      <c r="N2950" s="1"/>
      <c r="O2950" s="1"/>
      <c r="P2950" s="21" t="str">
        <f>IF(ISNUMBER(MATCH($C2950,StackableKinds,0)), TRUE, "")</f>
        <v/>
      </c>
      <c r="Q2950" s="2"/>
    </row>
    <row r="2951" spans="1:17" x14ac:dyDescent="0.2">
      <c r="A2951" s="19" t="str">
        <f>_xlfn.IFNA(VLOOKUP($B2951,Keys!$A:$B,2,FALSE),_xlfn.IFNA(VLOOKUP($B2951,Keys!$D:$E,2,FALSE),VLOOKUP($B2951,Keys!$G:$H,2,FALSE)))</f>
        <v>0x0000001AE43B0AC6</v>
      </c>
      <c r="B2951" s="5" t="s">
        <v>7679</v>
      </c>
      <c r="C2951" s="5" t="s">
        <v>9467</v>
      </c>
      <c r="D2951" s="5" t="s">
        <v>16862</v>
      </c>
      <c r="E2951" s="5"/>
      <c r="F2951" s="1"/>
      <c r="G2951" s="1"/>
      <c r="H2951" s="1"/>
      <c r="I2951" s="1"/>
      <c r="J2951" s="2"/>
      <c r="K2951" s="5" t="s">
        <v>8971</v>
      </c>
      <c r="M2951" s="18"/>
      <c r="N2951" s="1"/>
      <c r="O2951" s="1"/>
      <c r="P2951" s="21" t="str">
        <f>IF(ISNUMBER(MATCH($C2951,StackableKinds,0)), TRUE, "")</f>
        <v/>
      </c>
      <c r="Q2951" s="2"/>
    </row>
    <row r="2952" spans="1:17" x14ac:dyDescent="0.2">
      <c r="A2952" s="19" t="str">
        <f>_xlfn.IFNA(VLOOKUP($B2952,Keys!$A:$B,2,FALSE),_xlfn.IFNA(VLOOKUP($B2952,Keys!$D:$E,2,FALSE),VLOOKUP($B2952,Keys!$G:$H,2,FALSE)))</f>
        <v>0x000000185F9FEB9D</v>
      </c>
      <c r="B2952" s="5" t="s">
        <v>7924</v>
      </c>
      <c r="C2952" s="5" t="s">
        <v>9467</v>
      </c>
      <c r="D2952" s="5" t="s">
        <v>16862</v>
      </c>
      <c r="E2952" s="5"/>
      <c r="F2952" s="1"/>
      <c r="G2952" s="5" t="s">
        <v>8971</v>
      </c>
      <c r="H2952" s="1"/>
      <c r="I2952" s="1"/>
      <c r="J2952" s="2"/>
      <c r="K2952" s="5" t="s">
        <v>8971</v>
      </c>
      <c r="M2952" s="18"/>
      <c r="N2952" s="1"/>
      <c r="O2952" s="1"/>
      <c r="P2952" s="21" t="str">
        <f>IF(ISNUMBER(MATCH($C2952,StackableKinds,0)), TRUE, "")</f>
        <v/>
      </c>
      <c r="Q2952" s="2"/>
    </row>
    <row r="2953" spans="1:17" x14ac:dyDescent="0.2">
      <c r="A2953" s="19" t="str">
        <f>_xlfn.IFNA(VLOOKUP($B2953,Keys!$A:$B,2,FALSE),_xlfn.IFNA(VLOOKUP($B2953,Keys!$D:$E,2,FALSE),VLOOKUP($B2953,Keys!$G:$H,2,FALSE)))</f>
        <v>0x00000019A976B643</v>
      </c>
      <c r="B2953" s="5" t="s">
        <v>8046</v>
      </c>
      <c r="C2953" s="5" t="s">
        <v>9467</v>
      </c>
      <c r="D2953" s="5" t="s">
        <v>16862</v>
      </c>
      <c r="E2953" s="5"/>
      <c r="F2953" s="5" t="s">
        <v>8971</v>
      </c>
      <c r="G2953" s="1"/>
      <c r="H2953" s="1"/>
      <c r="I2953" s="1"/>
      <c r="J2953" s="2"/>
      <c r="K2953" s="5" t="s">
        <v>8971</v>
      </c>
      <c r="M2953" s="18"/>
      <c r="N2953" s="1"/>
      <c r="O2953" s="1"/>
      <c r="P2953" s="21" t="str">
        <f>IF(ISNUMBER(MATCH($C2953,StackableKinds,0)), TRUE, "")</f>
        <v/>
      </c>
      <c r="Q2953" s="2"/>
    </row>
    <row r="2954" spans="1:17" x14ac:dyDescent="0.2">
      <c r="A2954" s="19" t="str">
        <f>_xlfn.IFNA(VLOOKUP($B2954,Keys!$A:$B,2,FALSE),_xlfn.IFNA(VLOOKUP($B2954,Keys!$D:$E,2,FALSE),VLOOKUP($B2954,Keys!$G:$H,2,FALSE)))</f>
        <v>0x0000001DE69CFE79</v>
      </c>
      <c r="B2954" s="5" t="s">
        <v>8048</v>
      </c>
      <c r="C2954" s="5" t="s">
        <v>9467</v>
      </c>
      <c r="D2954" s="5" t="s">
        <v>16862</v>
      </c>
      <c r="E2954" s="5"/>
      <c r="F2954" s="5" t="s">
        <v>8971</v>
      </c>
      <c r="G2954" s="1"/>
      <c r="H2954" s="1"/>
      <c r="I2954" s="1"/>
      <c r="J2954" s="2"/>
      <c r="K2954" s="5" t="s">
        <v>8971</v>
      </c>
      <c r="M2954" s="18"/>
      <c r="N2954" s="1"/>
      <c r="O2954" s="1"/>
      <c r="P2954" s="21" t="str">
        <f>IF(ISNUMBER(MATCH($C2954,StackableKinds,0)), TRUE, "")</f>
        <v/>
      </c>
      <c r="Q2954" s="2"/>
    </row>
    <row r="2955" spans="1:17" x14ac:dyDescent="0.2">
      <c r="A2955" s="19" t="str">
        <f>_xlfn.IFNA(VLOOKUP($B2955,Keys!$A:$B,2,FALSE),_xlfn.IFNA(VLOOKUP($B2955,Keys!$D:$E,2,FALSE),VLOOKUP($B2955,Keys!$G:$H,2,FALSE)))</f>
        <v>0x0000001E72765450</v>
      </c>
      <c r="B2955" s="5" t="s">
        <v>8050</v>
      </c>
      <c r="C2955" s="5" t="s">
        <v>9467</v>
      </c>
      <c r="D2955" s="5" t="s">
        <v>16862</v>
      </c>
      <c r="E2955" s="5"/>
      <c r="F2955" s="5" t="s">
        <v>8971</v>
      </c>
      <c r="G2955" s="1"/>
      <c r="H2955" s="1"/>
      <c r="I2955" s="1"/>
      <c r="J2955" s="2"/>
      <c r="K2955" s="5" t="s">
        <v>8971</v>
      </c>
      <c r="M2955" s="18"/>
      <c r="N2955" s="1"/>
      <c r="O2955" s="1"/>
      <c r="P2955" s="21" t="str">
        <f>IF(ISNUMBER(MATCH($C2955,StackableKinds,0)), TRUE, "")</f>
        <v/>
      </c>
      <c r="Q2955" s="2"/>
    </row>
    <row r="2956" spans="1:17" x14ac:dyDescent="0.2">
      <c r="A2956" s="19" t="str">
        <f>_xlfn.IFNA(VLOOKUP($B2956,Keys!$A:$B,2,FALSE),_xlfn.IFNA(VLOOKUP($B2956,Keys!$D:$E,2,FALSE),VLOOKUP($B2956,Keys!$G:$H,2,FALSE)))</f>
        <v>0x0000001EEB7F05EA</v>
      </c>
      <c r="B2956" s="5" t="s">
        <v>8052</v>
      </c>
      <c r="C2956" s="5" t="s">
        <v>9467</v>
      </c>
      <c r="D2956" s="5" t="s">
        <v>16862</v>
      </c>
      <c r="E2956" s="5"/>
      <c r="F2956" s="5" t="s">
        <v>8971</v>
      </c>
      <c r="G2956" s="1"/>
      <c r="H2956" s="1"/>
      <c r="I2956" s="1"/>
      <c r="J2956" s="2"/>
      <c r="K2956" s="5" t="s">
        <v>8971</v>
      </c>
      <c r="M2956" s="18"/>
      <c r="N2956" s="1"/>
      <c r="O2956" s="1"/>
      <c r="P2956" s="21" t="str">
        <f>IF(ISNUMBER(MATCH($C2956,StackableKinds,0)), TRUE, "")</f>
        <v/>
      </c>
      <c r="Q2956" s="2"/>
    </row>
    <row r="2957" spans="1:17" x14ac:dyDescent="0.2">
      <c r="A2957" s="19" t="str">
        <f>_xlfn.IFNA(VLOOKUP($B2957,Keys!$A:$B,2,FALSE),_xlfn.IFNA(VLOOKUP($B2957,Keys!$D:$E,2,FALSE),VLOOKUP($B2957,Keys!$G:$H,2,FALSE)))</f>
        <v>0x0000001E5B4D41D3</v>
      </c>
      <c r="B2957" s="5" t="s">
        <v>8054</v>
      </c>
      <c r="C2957" s="5" t="s">
        <v>9467</v>
      </c>
      <c r="D2957" s="5" t="s">
        <v>16862</v>
      </c>
      <c r="E2957" s="5"/>
      <c r="F2957" s="5" t="s">
        <v>8971</v>
      </c>
      <c r="G2957" s="1"/>
      <c r="H2957" s="1"/>
      <c r="I2957" s="1"/>
      <c r="J2957" s="2"/>
      <c r="K2957" s="5" t="s">
        <v>8971</v>
      </c>
      <c r="M2957" s="18"/>
      <c r="N2957" s="1"/>
      <c r="O2957" s="1"/>
      <c r="P2957" s="21" t="str">
        <f>IF(ISNUMBER(MATCH($C2957,StackableKinds,0)), TRUE, "")</f>
        <v/>
      </c>
    </row>
    <row r="2958" spans="1:17" x14ac:dyDescent="0.2">
      <c r="A2958" s="19" t="str">
        <f>_xlfn.IFNA(VLOOKUP($B2958,Keys!$A:$B,2,FALSE),_xlfn.IFNA(VLOOKUP($B2958,Keys!$D:$E,2,FALSE),VLOOKUP($B2958,Keys!$G:$H,2,FALSE)))</f>
        <v>0x0000001D0440E500</v>
      </c>
      <c r="B2958" s="5" t="s">
        <v>8056</v>
      </c>
      <c r="C2958" s="5" t="s">
        <v>9467</v>
      </c>
      <c r="D2958" s="5" t="s">
        <v>16862</v>
      </c>
      <c r="E2958" s="5"/>
      <c r="F2958" s="5" t="s">
        <v>8971</v>
      </c>
      <c r="G2958" s="1"/>
      <c r="H2958" s="1"/>
      <c r="I2958" s="1"/>
      <c r="J2958" s="2"/>
      <c r="K2958" s="5" t="s">
        <v>8971</v>
      </c>
      <c r="M2958" s="18"/>
      <c r="N2958" s="1"/>
      <c r="O2958" s="1"/>
      <c r="P2958" s="21" t="str">
        <f>IF(ISNUMBER(MATCH($C2958,StackableKinds,0)), TRUE, "")</f>
        <v/>
      </c>
    </row>
    <row r="2959" spans="1:17" x14ac:dyDescent="0.2">
      <c r="A2959" s="19" t="str">
        <f>_xlfn.IFNA(VLOOKUP($B2959,Keys!$A:$B,2,FALSE),_xlfn.IFNA(VLOOKUP($B2959,Keys!$D:$E,2,FALSE),VLOOKUP($B2959,Keys!$G:$H,2,FALSE)))</f>
        <v>0x0000001D9D49B4BA</v>
      </c>
      <c r="B2959" s="5" t="s">
        <v>8058</v>
      </c>
      <c r="C2959" s="5" t="s">
        <v>9467</v>
      </c>
      <c r="D2959" s="5" t="s">
        <v>16862</v>
      </c>
      <c r="E2959" s="5"/>
      <c r="F2959" s="5" t="s">
        <v>8971</v>
      </c>
      <c r="G2959" s="1"/>
      <c r="H2959" s="1"/>
      <c r="I2959" s="1"/>
      <c r="J2959" s="2"/>
      <c r="K2959" s="5" t="s">
        <v>8971</v>
      </c>
      <c r="M2959" s="18"/>
      <c r="N2959" s="1"/>
      <c r="O2959" s="1"/>
      <c r="P2959" s="21" t="str">
        <f>IF(ISNUMBER(MATCH($C2959,StackableKinds,0)), TRUE, "")</f>
        <v/>
      </c>
    </row>
    <row r="2960" spans="1:17" x14ac:dyDescent="0.2">
      <c r="A2960" s="19" t="str">
        <f>_xlfn.IFNA(VLOOKUP($B2960,Keys!$A:$B,2,FALSE),_xlfn.IFNA(VLOOKUP($B2960,Keys!$D:$E,2,FALSE),VLOOKUP($B2960,Keys!$G:$H,2,FALSE)))</f>
        <v>0x0000001DEA4E842C</v>
      </c>
      <c r="B2960" s="5" t="s">
        <v>8060</v>
      </c>
      <c r="C2960" s="5" t="s">
        <v>9467</v>
      </c>
      <c r="D2960" s="5" t="s">
        <v>16862</v>
      </c>
      <c r="E2960" s="5"/>
      <c r="F2960" s="5" t="s">
        <v>8971</v>
      </c>
      <c r="G2960" s="1"/>
      <c r="H2960" s="1"/>
      <c r="I2960" s="1"/>
      <c r="J2960" s="2"/>
      <c r="K2960" s="5" t="s">
        <v>8971</v>
      </c>
      <c r="M2960" s="18"/>
      <c r="N2960" s="1"/>
      <c r="O2960" s="1"/>
      <c r="P2960" s="21" t="str">
        <f>IF(ISNUMBER(MATCH($C2960,StackableKinds,0)), TRUE, "")</f>
        <v/>
      </c>
    </row>
    <row r="2961" spans="1:16" x14ac:dyDescent="0.2">
      <c r="A2961" s="19" t="str">
        <f>_xlfn.IFNA(VLOOKUP($B2961,Keys!$A:$B,2,FALSE),_xlfn.IFNA(VLOOKUP($B2961,Keys!$D:$E,2,FALSE),VLOOKUP($B2961,Keys!$G:$H,2,FALSE)))</f>
        <v>0x0000001D742A118F</v>
      </c>
      <c r="B2961" s="5" t="s">
        <v>8062</v>
      </c>
      <c r="C2961" s="5" t="s">
        <v>9467</v>
      </c>
      <c r="D2961" s="5" t="s">
        <v>16862</v>
      </c>
      <c r="E2961" s="5"/>
      <c r="F2961" s="5" t="s">
        <v>8971</v>
      </c>
      <c r="G2961" s="1"/>
      <c r="H2961" s="1"/>
      <c r="I2961" s="1"/>
      <c r="J2961" s="2"/>
      <c r="K2961" s="5" t="s">
        <v>8971</v>
      </c>
      <c r="M2961" s="18"/>
      <c r="N2961" s="1"/>
      <c r="O2961" s="1"/>
      <c r="P2961" s="21" t="str">
        <f>IF(ISNUMBER(MATCH($C2961,StackableKinds,0)), TRUE, "")</f>
        <v/>
      </c>
    </row>
    <row r="2962" spans="1:16" x14ac:dyDescent="0.2">
      <c r="A2962" s="19" t="str">
        <f>_xlfn.IFNA(VLOOKUP($B2962,Keys!$A:$B,2,FALSE),_xlfn.IFNA(VLOOKUP($B2962,Keys!$D:$E,2,FALSE),VLOOKUP($B2962,Keys!$G:$H,2,FALSE)))</f>
        <v>0x0000001DEF775E03</v>
      </c>
      <c r="B2962" s="5" t="s">
        <v>8064</v>
      </c>
      <c r="C2962" s="5" t="s">
        <v>9467</v>
      </c>
      <c r="D2962" s="5" t="s">
        <v>16862</v>
      </c>
      <c r="E2962" s="5"/>
      <c r="F2962" s="5" t="s">
        <v>8971</v>
      </c>
      <c r="G2962" s="1"/>
      <c r="H2962" s="1"/>
      <c r="I2962" s="1"/>
      <c r="J2962" s="2"/>
      <c r="K2962" s="5" t="s">
        <v>8971</v>
      </c>
      <c r="M2962" s="18"/>
      <c r="N2962" s="1"/>
      <c r="O2962" s="1"/>
      <c r="P2962" s="21" t="str">
        <f>IF(ISNUMBER(MATCH($C2962,StackableKinds,0)), TRUE, "")</f>
        <v/>
      </c>
    </row>
    <row r="2963" spans="1:16" x14ac:dyDescent="0.2">
      <c r="A2963" s="19" t="str">
        <f>_xlfn.IFNA(VLOOKUP($B2963,Keys!$A:$B,2,FALSE),_xlfn.IFNA(VLOOKUP($B2963,Keys!$D:$E,2,FALSE),VLOOKUP($B2963,Keys!$G:$H,2,FALSE)))</f>
        <v>0x0000001D767E0FB9</v>
      </c>
      <c r="B2963" s="5" t="s">
        <v>8066</v>
      </c>
      <c r="C2963" s="5" t="s">
        <v>9467</v>
      </c>
      <c r="D2963" s="5" t="s">
        <v>16862</v>
      </c>
      <c r="E2963" s="5"/>
      <c r="F2963" s="5" t="s">
        <v>8971</v>
      </c>
      <c r="G2963" s="1"/>
      <c r="H2963" s="1"/>
      <c r="I2963" s="1"/>
      <c r="J2963" s="2"/>
      <c r="K2963" s="5" t="s">
        <v>8971</v>
      </c>
      <c r="M2963" s="18"/>
      <c r="N2963" s="1"/>
      <c r="O2963" s="1"/>
      <c r="P2963" s="21" t="str">
        <f>IF(ISNUMBER(MATCH($C2963,StackableKinds,0)), TRUE, "")</f>
        <v/>
      </c>
    </row>
    <row r="2964" spans="1:16" x14ac:dyDescent="0.2">
      <c r="A2964" s="19" t="str">
        <f>_xlfn.IFNA(VLOOKUP($B2964,Keys!$A:$B,2,FALSE),_xlfn.IFNA(VLOOKUP($B2964,Keys!$D:$E,2,FALSE),VLOOKUP($B2964,Keys!$G:$H,2,FALSE)))</f>
        <v>0x0000001D00B5353D</v>
      </c>
      <c r="B2964" s="5" t="s">
        <v>8068</v>
      </c>
      <c r="C2964" s="5" t="s">
        <v>9467</v>
      </c>
      <c r="D2964" s="5" t="s">
        <v>16862</v>
      </c>
      <c r="E2964" s="5"/>
      <c r="F2964" s="5" t="s">
        <v>8971</v>
      </c>
      <c r="G2964" s="1"/>
      <c r="H2964" s="1"/>
      <c r="I2964" s="1"/>
      <c r="J2964" s="2"/>
      <c r="K2964" s="5" t="s">
        <v>8971</v>
      </c>
      <c r="M2964" s="18"/>
      <c r="N2964" s="1"/>
      <c r="O2964" s="1"/>
      <c r="P2964" s="21" t="str">
        <f>IF(ISNUMBER(MATCH($C2964,StackableKinds,0)), TRUE, "")</f>
        <v/>
      </c>
    </row>
    <row r="2965" spans="1:16" x14ac:dyDescent="0.2">
      <c r="A2965" s="19" t="str">
        <f>_xlfn.IFNA(VLOOKUP($B2965,Keys!$A:$B,2,FALSE),_xlfn.IFNA(VLOOKUP($B2965,Keys!$D:$E,2,FALSE),VLOOKUP($B2965,Keys!$G:$H,2,FALSE)))</f>
        <v>0x0000001DF1BE6EB0</v>
      </c>
      <c r="B2965" s="5" t="s">
        <v>8070</v>
      </c>
      <c r="C2965" s="5" t="s">
        <v>9467</v>
      </c>
      <c r="D2965" s="5" t="s">
        <v>16862</v>
      </c>
      <c r="E2965" s="5"/>
      <c r="F2965" s="5" t="s">
        <v>8971</v>
      </c>
      <c r="G2965" s="1"/>
      <c r="H2965" s="1"/>
      <c r="I2965" s="1"/>
      <c r="J2965" s="2"/>
      <c r="K2965" s="5" t="s">
        <v>8971</v>
      </c>
      <c r="M2965" s="18"/>
      <c r="N2965" s="1"/>
      <c r="O2965" s="1"/>
      <c r="P2965" s="21" t="str">
        <f>IF(ISNUMBER(MATCH($C2965,StackableKinds,0)), TRUE, "")</f>
        <v/>
      </c>
    </row>
    <row r="2966" spans="1:16" x14ac:dyDescent="0.2">
      <c r="A2966" s="19" t="str">
        <f>_xlfn.IFNA(VLOOKUP($B2966,Keys!$A:$B,2,FALSE),_xlfn.IFNA(VLOOKUP($B2966,Keys!$D:$E,2,FALSE),VLOOKUP($B2966,Keys!$G:$H,2,FALSE)))</f>
        <v>0x0000001D1E7C058E</v>
      </c>
      <c r="B2966" s="5" t="s">
        <v>8072</v>
      </c>
      <c r="C2966" s="5" t="s">
        <v>9467</v>
      </c>
      <c r="D2966" s="5" t="s">
        <v>16862</v>
      </c>
      <c r="E2966" s="5"/>
      <c r="F2966" s="5" t="s">
        <v>8971</v>
      </c>
      <c r="G2966" s="1"/>
      <c r="H2966" s="1"/>
      <c r="I2966" s="1"/>
      <c r="J2966" s="2"/>
      <c r="K2966" s="5" t="s">
        <v>8971</v>
      </c>
      <c r="M2966" s="18"/>
      <c r="N2966" s="1"/>
      <c r="O2966" s="1"/>
      <c r="P2966" s="21" t="str">
        <f>IF(ISNUMBER(MATCH($C2966,StackableKinds,0)), TRUE, "")</f>
        <v/>
      </c>
    </row>
    <row r="2967" spans="1:16" x14ac:dyDescent="0.2">
      <c r="A2967" s="19" t="str">
        <f>_xlfn.IFNA(VLOOKUP($B2967,Keys!$A:$B,2,FALSE),_xlfn.IFNA(VLOOKUP($B2967,Keys!$D:$E,2,FALSE),VLOOKUP($B2967,Keys!$G:$H,2,FALSE)))</f>
        <v>0x0000001D87755434</v>
      </c>
      <c r="B2967" s="5" t="s">
        <v>8074</v>
      </c>
      <c r="C2967" s="5" t="s">
        <v>9467</v>
      </c>
      <c r="D2967" s="5" t="s">
        <v>16862</v>
      </c>
      <c r="E2967" s="5"/>
      <c r="F2967" s="5" t="s">
        <v>8971</v>
      </c>
      <c r="G2967" s="1"/>
      <c r="H2967" s="1"/>
      <c r="I2967" s="1"/>
      <c r="J2967" s="2"/>
      <c r="K2967" s="5" t="s">
        <v>8971</v>
      </c>
      <c r="M2967" s="18"/>
      <c r="N2967" s="1"/>
      <c r="O2967" s="1"/>
      <c r="P2967" s="21" t="str">
        <f>IF(ISNUMBER(MATCH($C2967,StackableKinds,0)), TRUE, "")</f>
        <v/>
      </c>
    </row>
    <row r="2968" spans="1:16" x14ac:dyDescent="0.2">
      <c r="A2968" s="19" t="e">
        <f>_xlfn.IFNA(VLOOKUP($B2968,Keys!$A:$B,2,FALSE),_xlfn.IFNA(VLOOKUP($B2968,Keys!$D:$E,2,FALSE),VLOOKUP($B2968,Keys!$G:$H,2,FALSE)))</f>
        <v>#N/A</v>
      </c>
      <c r="B2968" s="5" t="s">
        <v>10426</v>
      </c>
      <c r="C2968" s="5" t="s">
        <v>9467</v>
      </c>
      <c r="D2968" s="5" t="s">
        <v>16862</v>
      </c>
      <c r="E2968" s="5"/>
      <c r="F2968" s="5" t="s">
        <v>8971</v>
      </c>
      <c r="G2968" s="1"/>
      <c r="H2968" s="1"/>
      <c r="I2968" s="1"/>
      <c r="J2968" s="2"/>
      <c r="K2968" s="5" t="s">
        <v>8971</v>
      </c>
      <c r="M2968" s="18"/>
      <c r="N2968" s="1"/>
      <c r="O2968" s="1"/>
      <c r="P2968" s="21" t="str">
        <f>IF(ISNUMBER(MATCH($C2968,StackableKinds,0)), TRUE, "")</f>
        <v/>
      </c>
    </row>
    <row r="2969" spans="1:16" x14ac:dyDescent="0.2">
      <c r="A2969" s="19" t="str">
        <f>_xlfn.IFNA(VLOOKUP($B2969,Keys!$A:$B,2,FALSE),_xlfn.IFNA(VLOOKUP($B2969,Keys!$D:$E,2,FALSE),VLOOKUP($B2969,Keys!$G:$H,2,FALSE)))</f>
        <v>0x00000019BE48D890</v>
      </c>
      <c r="B2969" s="5" t="s">
        <v>8076</v>
      </c>
      <c r="C2969" s="5" t="s">
        <v>9467</v>
      </c>
      <c r="D2969" s="5" t="s">
        <v>16862</v>
      </c>
      <c r="E2969" s="5"/>
      <c r="F2969" s="5" t="s">
        <v>8971</v>
      </c>
      <c r="G2969" s="1"/>
      <c r="H2969" s="1"/>
      <c r="I2969" s="1"/>
      <c r="J2969" s="2"/>
      <c r="K2969" s="5" t="s">
        <v>8971</v>
      </c>
      <c r="M2969" s="18"/>
      <c r="N2969" s="1"/>
      <c r="O2969" s="1"/>
      <c r="P2969" s="21" t="str">
        <f>IF(ISNUMBER(MATCH($C2969,StackableKinds,0)), TRUE, "")</f>
        <v/>
      </c>
    </row>
    <row r="2970" spans="1:16" x14ac:dyDescent="0.2">
      <c r="A2970" s="19" t="str">
        <f>_xlfn.IFNA(VLOOKUP($B2970,Keys!$A:$B,2,FALSE),_xlfn.IFNA(VLOOKUP($B2970,Keys!$D:$E,2,FALSE),VLOOKUP($B2970,Keys!$G:$H,2,FALSE)))</f>
        <v>0x0000001E99E470EA</v>
      </c>
      <c r="B2970" s="5" t="s">
        <v>8078</v>
      </c>
      <c r="C2970" s="5" t="s">
        <v>9467</v>
      </c>
      <c r="D2970" s="5" t="s">
        <v>16862</v>
      </c>
      <c r="E2970" s="5"/>
      <c r="F2970" s="5" t="s">
        <v>8971</v>
      </c>
      <c r="G2970" s="1"/>
      <c r="H2970" s="1"/>
      <c r="I2970" s="1"/>
      <c r="J2970" s="2"/>
      <c r="K2970" s="5" t="s">
        <v>8971</v>
      </c>
      <c r="M2970" s="18"/>
      <c r="N2970" s="1"/>
      <c r="O2970" s="1"/>
      <c r="P2970" s="21" t="str">
        <f>IF(ISNUMBER(MATCH($C2970,StackableKinds,0)), TRUE, "")</f>
        <v/>
      </c>
    </row>
    <row r="2971" spans="1:16" x14ac:dyDescent="0.2">
      <c r="A2971" s="19" t="str">
        <f>_xlfn.IFNA(VLOOKUP($B2971,Keys!$A:$B,2,FALSE),_xlfn.IFNA(VLOOKUP($B2971,Keys!$D:$E,2,FALSE),VLOOKUP($B2971,Keys!$G:$H,2,FALSE)))</f>
        <v>0x0000001E00ED2150</v>
      </c>
      <c r="B2971" s="5" t="s">
        <v>8080</v>
      </c>
      <c r="C2971" s="5" t="s">
        <v>9467</v>
      </c>
      <c r="D2971" s="5" t="s">
        <v>16862</v>
      </c>
      <c r="E2971" s="5"/>
      <c r="F2971" s="5" t="s">
        <v>8971</v>
      </c>
      <c r="G2971" s="1"/>
      <c r="H2971" s="1"/>
      <c r="I2971" s="1"/>
      <c r="J2971" s="2"/>
      <c r="K2971" s="5" t="s">
        <v>8971</v>
      </c>
      <c r="M2971" s="18"/>
      <c r="N2971" s="1"/>
      <c r="O2971" s="1"/>
      <c r="P2971" s="21" t="str">
        <f>IF(ISNUMBER(MATCH($C2971,StackableKinds,0)), TRUE, "")</f>
        <v/>
      </c>
    </row>
    <row r="2972" spans="1:16" x14ac:dyDescent="0.2">
      <c r="A2972" s="19" t="str">
        <f>_xlfn.IFNA(VLOOKUP($B2972,Keys!$A:$B,2,FALSE),_xlfn.IFNA(VLOOKUP($B2972,Keys!$D:$E,2,FALSE),VLOOKUP($B2972,Keys!$G:$H,2,FALSE)))</f>
        <v>0x0000001E77EA11C6</v>
      </c>
      <c r="B2972" s="5" t="s">
        <v>8082</v>
      </c>
      <c r="C2972" s="5" t="s">
        <v>9467</v>
      </c>
      <c r="D2972" s="5" t="s">
        <v>16862</v>
      </c>
      <c r="E2972" s="5"/>
      <c r="F2972" s="5" t="s">
        <v>8971</v>
      </c>
      <c r="G2972" s="1"/>
      <c r="H2972" s="1"/>
      <c r="I2972" s="1"/>
      <c r="J2972" s="2"/>
      <c r="K2972" s="5" t="s">
        <v>8971</v>
      </c>
      <c r="M2972" s="18"/>
      <c r="N2972" s="1"/>
      <c r="O2972" s="1"/>
      <c r="P2972" s="21" t="str">
        <f>IF(ISNUMBER(MATCH($C2972,StackableKinds,0)), TRUE, "")</f>
        <v/>
      </c>
    </row>
    <row r="2973" spans="1:16" x14ac:dyDescent="0.2">
      <c r="A2973" s="19" t="str">
        <f>_xlfn.IFNA(VLOOKUP($B2973,Keys!$A:$B,2,FALSE),_xlfn.IFNA(VLOOKUP($B2973,Keys!$D:$E,2,FALSE),VLOOKUP($B2973,Keys!$G:$H,2,FALSE)))</f>
        <v>0x0000001E089D388A</v>
      </c>
      <c r="B2973" s="5" t="s">
        <v>8084</v>
      </c>
      <c r="C2973" s="5" t="s">
        <v>9467</v>
      </c>
      <c r="D2973" s="5" t="s">
        <v>16862</v>
      </c>
      <c r="E2973" s="5"/>
      <c r="F2973" s="5" t="s">
        <v>8971</v>
      </c>
      <c r="G2973" s="1"/>
      <c r="H2973" s="1"/>
      <c r="I2973" s="1"/>
      <c r="J2973" s="2"/>
      <c r="K2973" s="5" t="s">
        <v>8971</v>
      </c>
      <c r="M2973" s="18"/>
      <c r="N2973" s="1"/>
      <c r="O2973" s="1"/>
      <c r="P2973" s="21" t="str">
        <f>IF(ISNUMBER(MATCH($C2973,StackableKinds,0)), TRUE, "")</f>
        <v/>
      </c>
    </row>
    <row r="2974" spans="1:16" x14ac:dyDescent="0.2">
      <c r="A2974" s="19" t="str">
        <f>_xlfn.IFNA(VLOOKUP($B2974,Keys!$A:$B,2,FALSE),_xlfn.IFNA(VLOOKUP($B2974,Keys!$D:$E,2,FALSE),VLOOKUP($B2974,Keys!$G:$H,2,FALSE)))</f>
        <v>0x0000001E91946930</v>
      </c>
      <c r="B2974" s="5" t="s">
        <v>8086</v>
      </c>
      <c r="C2974" s="5" t="s">
        <v>9467</v>
      </c>
      <c r="D2974" s="5" t="s">
        <v>16862</v>
      </c>
      <c r="E2974" s="5"/>
      <c r="F2974" s="5" t="s">
        <v>8971</v>
      </c>
      <c r="G2974" s="1"/>
      <c r="H2974" s="1"/>
      <c r="I2974" s="1"/>
      <c r="J2974" s="2"/>
      <c r="K2974" s="5" t="s">
        <v>8971</v>
      </c>
      <c r="M2974" s="18"/>
      <c r="N2974" s="1"/>
      <c r="O2974" s="1"/>
      <c r="P2974" s="21" t="str">
        <f>IF(ISNUMBER(MATCH($C2974,StackableKinds,0)), TRUE, "")</f>
        <v/>
      </c>
    </row>
    <row r="2975" spans="1:16" x14ac:dyDescent="0.2">
      <c r="A2975" s="19" t="str">
        <f>_xlfn.IFNA(VLOOKUP($B2975,Keys!$A:$B,2,FALSE),_xlfn.IFNA(VLOOKUP($B2975,Keys!$D:$E,2,FALSE),VLOOKUP($B2975,Keys!$G:$H,2,FALSE)))</f>
        <v>0x0000001EE69359A6</v>
      </c>
      <c r="B2975" s="5" t="s">
        <v>8088</v>
      </c>
      <c r="C2975" s="5" t="s">
        <v>9467</v>
      </c>
      <c r="D2975" s="5" t="s">
        <v>16862</v>
      </c>
      <c r="E2975" s="5"/>
      <c r="F2975" s="5" t="s">
        <v>8971</v>
      </c>
      <c r="G2975" s="1"/>
      <c r="H2975" s="1"/>
      <c r="I2975" s="1"/>
      <c r="J2975" s="2"/>
      <c r="K2975" s="5" t="s">
        <v>8971</v>
      </c>
      <c r="M2975" s="18"/>
      <c r="N2975" s="1"/>
      <c r="O2975" s="1"/>
      <c r="P2975" s="21" t="str">
        <f>IF(ISNUMBER(MATCH($C2975,StackableKinds,0)), TRUE, "")</f>
        <v/>
      </c>
    </row>
    <row r="2976" spans="1:16" x14ac:dyDescent="0.2">
      <c r="A2976" s="19" t="str">
        <f>_xlfn.IFNA(VLOOKUP($B2976,Keys!$A:$B,2,FALSE),_xlfn.IFNA(VLOOKUP($B2976,Keys!$D:$E,2,FALSE),VLOOKUP($B2976,Keys!$G:$H,2,FALSE)))</f>
        <v>0x00000019F4253C02</v>
      </c>
      <c r="B2976" s="5" t="s">
        <v>8090</v>
      </c>
      <c r="C2976" s="5" t="s">
        <v>9467</v>
      </c>
      <c r="D2976" s="5" t="s">
        <v>16862</v>
      </c>
      <c r="E2976" s="5"/>
      <c r="F2976" s="5" t="s">
        <v>8971</v>
      </c>
      <c r="G2976" s="1"/>
      <c r="H2976" s="1"/>
      <c r="I2976" s="1"/>
      <c r="J2976" s="2"/>
      <c r="K2976" s="5" t="s">
        <v>8971</v>
      </c>
      <c r="M2976" s="18"/>
      <c r="N2976" s="1"/>
      <c r="O2976" s="1"/>
      <c r="P2976" s="21" t="str">
        <f>IF(ISNUMBER(MATCH($C2976,StackableKinds,0)), TRUE, "")</f>
        <v/>
      </c>
    </row>
    <row r="2977" spans="1:16" x14ac:dyDescent="0.2">
      <c r="A2977" s="19" t="str">
        <f>_xlfn.IFNA(VLOOKUP($B2977,Keys!$A:$B,2,FALSE),_xlfn.IFNA(VLOOKUP($B2977,Keys!$D:$E,2,FALSE),VLOOKUP($B2977,Keys!$G:$H,2,FALSE)))</f>
        <v>0x0000001E2061DDDC</v>
      </c>
      <c r="B2977" s="5" t="s">
        <v>8092</v>
      </c>
      <c r="C2977" s="5" t="s">
        <v>9467</v>
      </c>
      <c r="D2977" s="5" t="s">
        <v>16862</v>
      </c>
      <c r="E2977" s="5"/>
      <c r="F2977" s="5" t="s">
        <v>8971</v>
      </c>
      <c r="G2977" s="1"/>
      <c r="H2977" s="1"/>
      <c r="I2977" s="1"/>
      <c r="J2977" s="2"/>
      <c r="K2977" s="5" t="s">
        <v>8971</v>
      </c>
      <c r="M2977" s="18"/>
      <c r="N2977" s="1"/>
      <c r="O2977" s="1"/>
      <c r="P2977" s="21" t="str">
        <f>IF(ISNUMBER(MATCH($C2977,StackableKinds,0)), TRUE, "")</f>
        <v/>
      </c>
    </row>
    <row r="2978" spans="1:16" x14ac:dyDescent="0.2">
      <c r="A2978" s="19" t="str">
        <f>_xlfn.IFNA(VLOOKUP($B2978,Keys!$A:$B,2,FALSE),_xlfn.IFNA(VLOOKUP($B2978,Keys!$D:$E,2,FALSE),VLOOKUP($B2978,Keys!$G:$H,2,FALSE)))</f>
        <v>0x0000001EB9688C66</v>
      </c>
      <c r="B2978" s="5" t="s">
        <v>8094</v>
      </c>
      <c r="C2978" s="5" t="s">
        <v>9467</v>
      </c>
      <c r="D2978" s="5" t="s">
        <v>16862</v>
      </c>
      <c r="E2978" s="5"/>
      <c r="F2978" s="5" t="s">
        <v>8971</v>
      </c>
      <c r="G2978" s="1"/>
      <c r="H2978" s="1"/>
      <c r="I2978" s="1"/>
      <c r="J2978" s="2"/>
      <c r="K2978" s="5" t="s">
        <v>8971</v>
      </c>
      <c r="M2978" s="18"/>
      <c r="N2978" s="1"/>
      <c r="O2978" s="1"/>
      <c r="P2978" s="21" t="str">
        <f>IF(ISNUMBER(MATCH($C2978,StackableKinds,0)), TRUE, "")</f>
        <v/>
      </c>
    </row>
    <row r="2979" spans="1:16" x14ac:dyDescent="0.2">
      <c r="A2979" s="19" t="str">
        <f>_xlfn.IFNA(VLOOKUP($B2979,Keys!$A:$B,2,FALSE),_xlfn.IFNA(VLOOKUP($B2979,Keys!$D:$E,2,FALSE),VLOOKUP($B2979,Keys!$G:$H,2,FALSE)))</f>
        <v>0x0000001ECE6FBCF0</v>
      </c>
      <c r="B2979" s="5" t="s">
        <v>8096</v>
      </c>
      <c r="C2979" s="5" t="s">
        <v>9467</v>
      </c>
      <c r="D2979" s="5" t="s">
        <v>16862</v>
      </c>
      <c r="E2979" s="5"/>
      <c r="F2979" s="5" t="s">
        <v>8971</v>
      </c>
      <c r="G2979" s="1"/>
      <c r="H2979" s="1"/>
      <c r="I2979" s="1"/>
      <c r="J2979" s="2"/>
      <c r="K2979" s="5" t="s">
        <v>8971</v>
      </c>
      <c r="M2979" s="18"/>
      <c r="N2979" s="1"/>
      <c r="O2979" s="1"/>
      <c r="P2979" s="21" t="str">
        <f>IF(ISNUMBER(MATCH($C2979,StackableKinds,0)), TRUE, "")</f>
        <v/>
      </c>
    </row>
    <row r="2980" spans="1:16" x14ac:dyDescent="0.2">
      <c r="A2980" s="19" t="str">
        <f>_xlfn.IFNA(VLOOKUP($B2980,Keys!$A:$B,2,FALSE),_xlfn.IFNA(VLOOKUP($B2980,Keys!$D:$E,2,FALSE),VLOOKUP($B2980,Keys!$G:$H,2,FALSE)))</f>
        <v>0x0000001BD3A1CEF7</v>
      </c>
      <c r="B2980" s="5" t="s">
        <v>8098</v>
      </c>
      <c r="C2980" s="5" t="s">
        <v>9467</v>
      </c>
      <c r="D2980" s="5" t="s">
        <v>16862</v>
      </c>
      <c r="E2980" s="5"/>
      <c r="F2980" s="5" t="s">
        <v>8971</v>
      </c>
      <c r="G2980" s="1"/>
      <c r="H2980" s="1"/>
      <c r="I2980" s="1"/>
      <c r="J2980" s="2"/>
      <c r="K2980" s="5" t="s">
        <v>8971</v>
      </c>
      <c r="M2980" s="18"/>
      <c r="N2980" s="1"/>
      <c r="O2980" s="1"/>
      <c r="P2980" s="21" t="str">
        <f>IF(ISNUMBER(MATCH($C2980,StackableKinds,0)), TRUE, "")</f>
        <v/>
      </c>
    </row>
    <row r="2981" spans="1:16" x14ac:dyDescent="0.2">
      <c r="A2981" s="19" t="str">
        <f>_xlfn.IFNA(VLOOKUP($B2981,Keys!$A:$B,2,FALSE),_xlfn.IFNA(VLOOKUP($B2981,Keys!$D:$E,2,FALSE),VLOOKUP($B2981,Keys!$G:$H,2,FALSE)))</f>
        <v>0x0000001CF5A5C72F</v>
      </c>
      <c r="B2981" s="5" t="s">
        <v>8100</v>
      </c>
      <c r="C2981" s="5" t="s">
        <v>9467</v>
      </c>
      <c r="D2981" s="5" t="s">
        <v>16862</v>
      </c>
      <c r="E2981" s="5"/>
      <c r="F2981" s="5" t="s">
        <v>8971</v>
      </c>
      <c r="G2981" s="1"/>
      <c r="H2981" s="1"/>
      <c r="I2981" s="1"/>
      <c r="J2981" s="2"/>
      <c r="K2981" s="5" t="s">
        <v>8971</v>
      </c>
      <c r="M2981" s="18"/>
      <c r="N2981" s="1"/>
      <c r="O2981" s="1"/>
      <c r="P2981" s="21" t="str">
        <f>IF(ISNUMBER(MATCH($C2981,StackableKinds,0)), TRUE, "")</f>
        <v/>
      </c>
    </row>
    <row r="2982" spans="1:16" x14ac:dyDescent="0.2">
      <c r="A2982" s="19" t="str">
        <f>_xlfn.IFNA(VLOOKUP($B2982,Keys!$A:$B,2,FALSE),_xlfn.IFNA(VLOOKUP($B2982,Keys!$D:$E,2,FALSE),VLOOKUP($B2982,Keys!$G:$H,2,FALSE)))</f>
        <v>0x0000001D7E5FA878</v>
      </c>
      <c r="B2982" s="5" t="s">
        <v>8102</v>
      </c>
      <c r="C2982" s="5" t="s">
        <v>9467</v>
      </c>
      <c r="D2982" s="5" t="s">
        <v>16862</v>
      </c>
      <c r="E2982" s="5"/>
      <c r="F2982" s="5" t="s">
        <v>8971</v>
      </c>
      <c r="G2982" s="1"/>
      <c r="H2982" s="1"/>
      <c r="I2982" s="1"/>
      <c r="J2982" s="2"/>
      <c r="K2982" s="5" t="s">
        <v>8971</v>
      </c>
      <c r="M2982" s="18"/>
      <c r="N2982" s="1"/>
      <c r="O2982" s="1"/>
      <c r="P2982" s="21" t="str">
        <f>IF(ISNUMBER(MATCH($C2982,StackableKinds,0)), TRUE, "")</f>
        <v/>
      </c>
    </row>
    <row r="2983" spans="1:16" x14ac:dyDescent="0.2">
      <c r="A2983" s="19" t="str">
        <f>_xlfn.IFNA(VLOOKUP($B2983,Keys!$A:$B,2,FALSE),_xlfn.IFNA(VLOOKUP($B2983,Keys!$D:$E,2,FALSE),VLOOKUP($B2983,Keys!$G:$H,2,FALSE)))</f>
        <v>0x0000001E5136719E</v>
      </c>
      <c r="B2983" s="5" t="s">
        <v>8104</v>
      </c>
      <c r="C2983" s="5" t="s">
        <v>9467</v>
      </c>
      <c r="D2983" s="5" t="s">
        <v>16862</v>
      </c>
      <c r="E2983" s="5"/>
      <c r="F2983" s="5" t="s">
        <v>8971</v>
      </c>
      <c r="G2983" s="1"/>
      <c r="H2983" s="1"/>
      <c r="I2983" s="1"/>
      <c r="J2983" s="2"/>
      <c r="K2983" s="5" t="s">
        <v>8971</v>
      </c>
      <c r="M2983" s="18"/>
      <c r="N2983" s="1"/>
      <c r="O2983" s="1"/>
      <c r="P2983" s="21" t="str">
        <f>IF(ISNUMBER(MATCH($C2983,StackableKinds,0)), TRUE, "")</f>
        <v/>
      </c>
    </row>
    <row r="2984" spans="1:16" x14ac:dyDescent="0.2">
      <c r="A2984" s="19" t="str">
        <f>_xlfn.IFNA(VLOOKUP($B2984,Keys!$A:$B,2,FALSE),_xlfn.IFNA(VLOOKUP($B2984,Keys!$D:$E,2,FALSE),VLOOKUP($B2984,Keys!$G:$H,2,FALSE)))</f>
        <v>0x0000002362125E82</v>
      </c>
      <c r="B2984" s="5" t="s">
        <v>8106</v>
      </c>
      <c r="C2984" s="5" t="s">
        <v>9467</v>
      </c>
      <c r="D2984" s="5" t="s">
        <v>16862</v>
      </c>
      <c r="E2984" s="5"/>
      <c r="F2984" s="5" t="s">
        <v>8971</v>
      </c>
      <c r="G2984" s="1"/>
      <c r="H2984" s="1"/>
      <c r="I2984" s="1"/>
      <c r="J2984" s="2"/>
      <c r="K2984" s="5" t="s">
        <v>8971</v>
      </c>
      <c r="M2984" s="18"/>
      <c r="N2984" s="1"/>
      <c r="O2984" s="1"/>
      <c r="P2984" s="21" t="str">
        <f>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16862</v>
      </c>
      <c r="E2985" s="5"/>
      <c r="F2985" s="5" t="s">
        <v>8971</v>
      </c>
      <c r="G2985" s="1"/>
      <c r="H2985" s="1"/>
      <c r="I2985" s="1"/>
      <c r="J2985" s="2"/>
      <c r="K2985" s="5" t="s">
        <v>8971</v>
      </c>
      <c r="M2985" s="18"/>
      <c r="N2985" s="1"/>
      <c r="O2985" s="1"/>
      <c r="P2985" s="21" t="str">
        <f>IF(ISNUMBER(MATCH($C2985,StackableKinds,0)), TRUE, "")</f>
        <v/>
      </c>
    </row>
    <row r="2986" spans="1:16" x14ac:dyDescent="0.2">
      <c r="A2986" s="19" t="str">
        <f>_xlfn.IFNA(VLOOKUP($B2986,Keys!$A:$B,2,FALSE),_xlfn.IFNA(VLOOKUP($B2986,Keys!$D:$E,2,FALSE),VLOOKUP($B2986,Keys!$G:$H,2,FALSE)))</f>
        <v>0x0000001E095AC85F</v>
      </c>
      <c r="B2986" s="5" t="s">
        <v>8110</v>
      </c>
      <c r="C2986" s="5" t="s">
        <v>9467</v>
      </c>
      <c r="D2986" s="5" t="s">
        <v>16862</v>
      </c>
      <c r="E2986" s="5"/>
      <c r="F2986" s="5" t="s">
        <v>8971</v>
      </c>
      <c r="G2986" s="1"/>
      <c r="H2986" s="1"/>
      <c r="I2986" s="1"/>
      <c r="J2986" s="2"/>
      <c r="K2986" s="5" t="s">
        <v>8971</v>
      </c>
      <c r="M2986" s="18"/>
      <c r="N2986" s="1"/>
      <c r="O2986" s="1"/>
      <c r="P2986" s="21" t="str">
        <f>IF(ISNUMBER(MATCH($C2986,StackableKinds,0)), TRUE, "")</f>
        <v/>
      </c>
    </row>
    <row r="2987" spans="1:16" x14ac:dyDescent="0.2">
      <c r="A2987" s="19" t="str">
        <f>_xlfn.IFNA(VLOOKUP($B2987,Keys!$A:$B,2,FALSE),_xlfn.IFNA(VLOOKUP($B2987,Keys!$D:$E,2,FALSE),VLOOKUP($B2987,Keys!$G:$H,2,FALSE)))</f>
        <v>0x0000001941408A1D</v>
      </c>
      <c r="B2987" s="5" t="s">
        <v>8112</v>
      </c>
      <c r="C2987" s="5" t="s">
        <v>9467</v>
      </c>
      <c r="D2987" s="5" t="s">
        <v>16862</v>
      </c>
      <c r="E2987" s="5"/>
      <c r="F2987" s="5" t="s">
        <v>8971</v>
      </c>
      <c r="G2987" s="1"/>
      <c r="H2987" s="1"/>
      <c r="I2987" s="1"/>
      <c r="J2987" s="2"/>
      <c r="K2987" s="5" t="s">
        <v>8971</v>
      </c>
      <c r="M2987" s="18"/>
      <c r="N2987" s="1"/>
      <c r="O2987" s="1"/>
      <c r="P2987" s="21" t="str">
        <f>IF(ISNUMBER(MATCH($C2987,StackableKinds,0)), TRUE, "")</f>
        <v/>
      </c>
    </row>
    <row r="2988" spans="1:16" x14ac:dyDescent="0.2">
      <c r="A2988" s="19" t="str">
        <f>_xlfn.IFNA(VLOOKUP($B2988,Keys!$A:$B,2,FALSE),_xlfn.IFNA(VLOOKUP($B2988,Keys!$D:$E,2,FALSE),VLOOKUP($B2988,Keys!$G:$H,2,FALSE)))</f>
        <v>0x0000001E862A847A</v>
      </c>
      <c r="B2988" s="5" t="s">
        <v>8114</v>
      </c>
      <c r="C2988" s="5" t="s">
        <v>9467</v>
      </c>
      <c r="D2988" s="5" t="s">
        <v>16862</v>
      </c>
      <c r="E2988" s="5"/>
      <c r="F2988" s="5" t="s">
        <v>8971</v>
      </c>
      <c r="G2988" s="1"/>
      <c r="H2988" s="1"/>
      <c r="I2988" s="1"/>
      <c r="J2988" s="2"/>
      <c r="K2988" s="5" t="s">
        <v>8971</v>
      </c>
      <c r="M2988" s="18"/>
      <c r="N2988" s="1"/>
      <c r="O2988" s="1"/>
      <c r="P2988" s="21" t="str">
        <f>IF(ISNUMBER(MATCH($C2988,StackableKinds,0)), TRUE, "")</f>
        <v/>
      </c>
    </row>
    <row r="2989" spans="1:16" x14ac:dyDescent="0.2">
      <c r="A2989" s="19" t="str">
        <f>_xlfn.IFNA(VLOOKUP($B2989,Keys!$A:$B,2,FALSE),_xlfn.IFNA(VLOOKUP($B2989,Keys!$D:$E,2,FALSE),VLOOKUP($B2989,Keys!$G:$H,2,FALSE)))</f>
        <v>0x0000001E1F23D5C0</v>
      </c>
      <c r="B2989" s="5" t="s">
        <v>8116</v>
      </c>
      <c r="C2989" s="5" t="s">
        <v>9467</v>
      </c>
      <c r="D2989" s="5" t="s">
        <v>16862</v>
      </c>
      <c r="E2989" s="5"/>
      <c r="F2989" s="5" t="s">
        <v>8971</v>
      </c>
      <c r="G2989" s="1"/>
      <c r="H2989" s="1"/>
      <c r="I2989" s="1"/>
      <c r="J2989" s="2"/>
      <c r="K2989" s="5" t="s">
        <v>8971</v>
      </c>
      <c r="M2989" s="18"/>
      <c r="N2989" s="1"/>
      <c r="O2989" s="1"/>
      <c r="P2989" s="21" t="str">
        <f>IF(ISNUMBER(MATCH($C2989,StackableKinds,0)), TRUE, "")</f>
        <v/>
      </c>
    </row>
    <row r="2990" spans="1:16" x14ac:dyDescent="0.2">
      <c r="A2990" s="19" t="str">
        <f>_xlfn.IFNA(VLOOKUP($B2990,Keys!$A:$B,2,FALSE),_xlfn.IFNA(VLOOKUP($B2990,Keys!$D:$E,2,FALSE),VLOOKUP($B2990,Keys!$G:$H,2,FALSE)))</f>
        <v>0x0000001E6824E556</v>
      </c>
      <c r="B2990" s="5" t="s">
        <v>8118</v>
      </c>
      <c r="C2990" s="5" t="s">
        <v>9467</v>
      </c>
      <c r="D2990" s="5" t="s">
        <v>16862</v>
      </c>
      <c r="E2990" s="5"/>
      <c r="F2990" s="5" t="s">
        <v>8971</v>
      </c>
      <c r="G2990" s="1"/>
      <c r="H2990" s="1"/>
      <c r="I2990" s="1"/>
      <c r="J2990" s="2"/>
      <c r="K2990" s="5" t="s">
        <v>8971</v>
      </c>
      <c r="M2990" s="18"/>
      <c r="N2990" s="1"/>
      <c r="O2990" s="1"/>
      <c r="P2990" s="21" t="str">
        <f>IF(ISNUMBER(MATCH($C2990,StackableKinds,0)), TRUE, "")</f>
        <v/>
      </c>
    </row>
    <row r="2991" spans="1:16" x14ac:dyDescent="0.2">
      <c r="A2991" s="19" t="str">
        <f>_xlfn.IFNA(VLOOKUP($B2991,Keys!$A:$B,2,FALSE),_xlfn.IFNA(VLOOKUP($B2991,Keys!$D:$E,2,FALSE),VLOOKUP($B2991,Keys!$G:$H,2,FALSE)))</f>
        <v>0x0000001EF64070F5</v>
      </c>
      <c r="B2991" s="5" t="s">
        <v>8120</v>
      </c>
      <c r="C2991" s="5" t="s">
        <v>9467</v>
      </c>
      <c r="D2991" s="5" t="s">
        <v>16862</v>
      </c>
      <c r="E2991" s="5"/>
      <c r="F2991" s="5" t="s">
        <v>8971</v>
      </c>
      <c r="G2991" s="1"/>
      <c r="H2991" s="1"/>
      <c r="I2991" s="1"/>
      <c r="J2991" s="2"/>
      <c r="K2991" s="5" t="s">
        <v>8971</v>
      </c>
      <c r="M2991" s="18"/>
      <c r="N2991" s="1"/>
      <c r="O2991" s="1"/>
      <c r="P2991" s="21" t="str">
        <f>IF(ISNUMBER(MATCH($C2991,StackableKinds,0)), TRUE, "")</f>
        <v/>
      </c>
    </row>
    <row r="2992" spans="1:16" x14ac:dyDescent="0.2">
      <c r="A2992" s="19" t="str">
        <f>_xlfn.IFNA(VLOOKUP($B2992,Keys!$A:$B,2,FALSE),_xlfn.IFNA(VLOOKUP($B2992,Keys!$D:$E,2,FALSE),VLOOKUP($B2992,Keys!$G:$H,2,FALSE)))</f>
        <v>0x0000001CEA294631</v>
      </c>
      <c r="B2992" s="5" t="s">
        <v>8122</v>
      </c>
      <c r="C2992" s="5" t="s">
        <v>9467</v>
      </c>
      <c r="D2992" s="5" t="s">
        <v>16862</v>
      </c>
      <c r="E2992" s="5"/>
      <c r="F2992" s="5" t="s">
        <v>8971</v>
      </c>
      <c r="G2992" s="1"/>
      <c r="H2992" s="1"/>
      <c r="I2992" s="1"/>
      <c r="J2992" s="2"/>
      <c r="K2992" s="5" t="s">
        <v>8971</v>
      </c>
      <c r="M2992" s="18"/>
      <c r="N2992" s="1"/>
      <c r="O2992" s="1"/>
      <c r="P2992" s="21" t="str">
        <f>IF(ISNUMBER(MATCH($C2992,StackableKinds,0)), TRUE, "")</f>
        <v/>
      </c>
    </row>
    <row r="2993" spans="1:16" x14ac:dyDescent="0.2">
      <c r="A2993" s="19" t="str">
        <f>_xlfn.IFNA(VLOOKUP($B2993,Keys!$A:$B,2,FALSE),_xlfn.IFNA(VLOOKUP($B2993,Keys!$D:$E,2,FALSE),VLOOKUP($B2993,Keys!$G:$H,2,FALSE)))</f>
        <v>0x0000001E1FC8E27B</v>
      </c>
      <c r="B2993" s="5" t="s">
        <v>8124</v>
      </c>
      <c r="C2993" s="5" t="s">
        <v>9467</v>
      </c>
      <c r="D2993" s="5" t="s">
        <v>16862</v>
      </c>
      <c r="E2993" s="5"/>
      <c r="F2993" s="5" t="s">
        <v>8971</v>
      </c>
      <c r="G2993" s="1"/>
      <c r="H2993" s="1"/>
      <c r="I2993" s="1"/>
      <c r="J2993" s="2"/>
      <c r="K2993" s="5" t="s">
        <v>8971</v>
      </c>
      <c r="M2993" s="18"/>
      <c r="N2993" s="1"/>
      <c r="O2993" s="1"/>
      <c r="P2993" s="21" t="str">
        <f>IF(ISNUMBER(MATCH($C2993,StackableKinds,0)), TRUE, "")</f>
        <v/>
      </c>
    </row>
    <row r="2994" spans="1:16" x14ac:dyDescent="0.2">
      <c r="A2994" s="19" t="str">
        <f>_xlfn.IFNA(VLOOKUP($B2994,Keys!$A:$B,2,FALSE),_xlfn.IFNA(VLOOKUP($B2994,Keys!$D:$E,2,FALSE),VLOOKUP($B2994,Keys!$G:$H,2,FALSE)))</f>
        <v>0x0000001AE73C2A2A</v>
      </c>
      <c r="B2994" s="5" t="s">
        <v>8126</v>
      </c>
      <c r="C2994" s="5" t="s">
        <v>9467</v>
      </c>
      <c r="D2994" s="5" t="s">
        <v>16862</v>
      </c>
      <c r="E2994" s="5"/>
      <c r="F2994" s="5" t="s">
        <v>8971</v>
      </c>
      <c r="G2994" s="1"/>
      <c r="H2994" s="1"/>
      <c r="I2994" s="1"/>
      <c r="J2994" s="2"/>
      <c r="K2994" s="5" t="s">
        <v>8971</v>
      </c>
      <c r="M2994" s="18"/>
      <c r="N2994" s="1"/>
      <c r="O2994" s="1"/>
      <c r="P2994" s="21" t="str">
        <f>IF(ISNUMBER(MATCH($C2994,StackableKinds,0)), TRUE, "")</f>
        <v/>
      </c>
    </row>
    <row r="2995" spans="1:16" x14ac:dyDescent="0.2">
      <c r="A2995" s="19" t="str">
        <f>_xlfn.IFNA(VLOOKUP($B2995,Keys!$A:$B,2,FALSE),_xlfn.IFNA(VLOOKUP($B2995,Keys!$D:$E,2,FALSE),VLOOKUP($B2995,Keys!$G:$H,2,FALSE)))</f>
        <v>0x0000001EAF1191F9</v>
      </c>
      <c r="B2995" s="5" t="s">
        <v>8128</v>
      </c>
      <c r="C2995" s="5" t="s">
        <v>9467</v>
      </c>
      <c r="D2995" s="5" t="s">
        <v>16862</v>
      </c>
      <c r="E2995" s="5"/>
      <c r="F2995" s="5" t="s">
        <v>8971</v>
      </c>
      <c r="G2995" s="1"/>
      <c r="H2995" s="1"/>
      <c r="I2995" s="1"/>
      <c r="J2995" s="2"/>
      <c r="K2995" s="5" t="s">
        <v>8971</v>
      </c>
      <c r="M2995" s="18"/>
      <c r="N2995" s="1"/>
      <c r="O2995" s="1"/>
      <c r="P2995" s="21" t="str">
        <f>IF(ISNUMBER(MATCH($C2995,StackableKinds,0)), TRUE, "")</f>
        <v/>
      </c>
    </row>
    <row r="2996" spans="1:16" x14ac:dyDescent="0.2">
      <c r="A2996" s="19" t="str">
        <f>_xlfn.IFNA(VLOOKUP($B2996,Keys!$A:$B,2,FALSE),_xlfn.IFNA(VLOOKUP($B2996,Keys!$D:$E,2,FALSE),VLOOKUP($B2996,Keys!$G:$H,2,FALSE)))</f>
        <v>0x0000001931257D8A</v>
      </c>
      <c r="B2996" s="5" t="s">
        <v>8130</v>
      </c>
      <c r="C2996" s="5" t="s">
        <v>9467</v>
      </c>
      <c r="D2996" s="5" t="s">
        <v>16862</v>
      </c>
      <c r="E2996" s="5"/>
      <c r="F2996" s="5" t="s">
        <v>8971</v>
      </c>
      <c r="G2996" s="1"/>
      <c r="H2996" s="1"/>
      <c r="I2996" s="1"/>
      <c r="J2996" s="2"/>
      <c r="K2996" s="5" t="s">
        <v>8971</v>
      </c>
      <c r="M2996" s="18"/>
      <c r="N2996" s="1"/>
      <c r="O2996" s="1"/>
      <c r="P2996" s="21" t="str">
        <f>IF(ISNUMBER(MATCH($C2996,StackableKinds,0)), TRUE, "")</f>
        <v/>
      </c>
    </row>
    <row r="2997" spans="1:16" x14ac:dyDescent="0.2">
      <c r="A2997" s="19" t="str">
        <f>_xlfn.IFNA(VLOOKUP($B2997,Keys!$A:$B,2,FALSE),_xlfn.IFNA(VLOOKUP($B2997,Keys!$D:$E,2,FALSE),VLOOKUP($B2997,Keys!$G:$H,2,FALSE)))</f>
        <v>0x0000001EFD67BAFF</v>
      </c>
      <c r="B2997" s="5" t="s">
        <v>8132</v>
      </c>
      <c r="C2997" s="5" t="s">
        <v>9467</v>
      </c>
      <c r="D2997" s="5" t="s">
        <v>16862</v>
      </c>
      <c r="E2997" s="5"/>
      <c r="F2997" s="5" t="s">
        <v>8971</v>
      </c>
      <c r="G2997" s="1"/>
      <c r="H2997" s="1"/>
      <c r="I2997" s="1"/>
      <c r="J2997" s="2"/>
      <c r="K2997" s="5" t="s">
        <v>8971</v>
      </c>
      <c r="M2997" s="18"/>
      <c r="N2997" s="1"/>
      <c r="O2997" s="1"/>
      <c r="P2997" s="21" t="str">
        <f>IF(ISNUMBER(MATCH($C2997,StackableKinds,0)), TRUE, "")</f>
        <v/>
      </c>
    </row>
    <row r="2998" spans="1:16" x14ac:dyDescent="0.2">
      <c r="A2998" s="19" t="str">
        <f>_xlfn.IFNA(VLOOKUP($B2998,Keys!$A:$B,2,FALSE),_xlfn.IFNA(VLOOKUP($B2998,Keys!$D:$E,2,FALSE),VLOOKUP($B2998,Keys!$G:$H,2,FALSE)))</f>
        <v>0x0000001E646EEB45</v>
      </c>
      <c r="B2998" s="5" t="s">
        <v>8134</v>
      </c>
      <c r="C2998" s="5" t="s">
        <v>9467</v>
      </c>
      <c r="D2998" s="5" t="s">
        <v>16862</v>
      </c>
      <c r="E2998" s="5"/>
      <c r="F2998" s="5" t="s">
        <v>8971</v>
      </c>
      <c r="G2998" s="1"/>
      <c r="H2998" s="1"/>
      <c r="I2998" s="1"/>
      <c r="J2998" s="2"/>
      <c r="K2998" s="5" t="s">
        <v>8971</v>
      </c>
      <c r="M2998" s="18"/>
      <c r="N2998" s="1"/>
      <c r="O2998" s="1"/>
      <c r="P2998" s="21" t="str">
        <f>IF(ISNUMBER(MATCH($C2998,StackableKinds,0)), TRUE, "")</f>
        <v/>
      </c>
    </row>
    <row r="2999" spans="1:16" x14ac:dyDescent="0.2">
      <c r="A2999" s="19" t="str">
        <f>_xlfn.IFNA(VLOOKUP($B2999,Keys!$A:$B,2,FALSE),_xlfn.IFNA(VLOOKUP($B2999,Keys!$D:$E,2,FALSE),VLOOKUP($B2999,Keys!$G:$H,2,FALSE)))</f>
        <v>0x0000001E1369DBD3</v>
      </c>
      <c r="B2999" s="5" t="s">
        <v>8136</v>
      </c>
      <c r="C2999" s="5" t="s">
        <v>9467</v>
      </c>
      <c r="D2999" s="5" t="s">
        <v>16862</v>
      </c>
      <c r="E2999" s="5"/>
      <c r="F2999" s="5" t="s">
        <v>8971</v>
      </c>
      <c r="G2999" s="1"/>
      <c r="H2999" s="1"/>
      <c r="I2999" s="1"/>
      <c r="J2999" s="2"/>
      <c r="K2999" s="5" t="s">
        <v>8971</v>
      </c>
      <c r="M2999" s="18"/>
      <c r="N2999" s="1"/>
      <c r="O2999" s="1"/>
      <c r="P2999" s="21" t="str">
        <f>IF(ISNUMBER(MATCH($C2999,StackableKinds,0)), TRUE, "")</f>
        <v/>
      </c>
    </row>
    <row r="3000" spans="1:16" x14ac:dyDescent="0.2">
      <c r="A3000" s="19" t="str">
        <f>_xlfn.IFNA(VLOOKUP($B3000,Keys!$A:$B,2,FALSE),_xlfn.IFNA(VLOOKUP($B3000,Keys!$D:$E,2,FALSE),VLOOKUP($B3000,Keys!$G:$H,2,FALSE)))</f>
        <v>0x0000001CF5403CB0</v>
      </c>
      <c r="B3000" s="5" t="s">
        <v>8138</v>
      </c>
      <c r="C3000" s="5" t="s">
        <v>9467</v>
      </c>
      <c r="D3000" s="5" t="s">
        <v>16862</v>
      </c>
      <c r="E3000" s="5"/>
      <c r="F3000" s="5" t="s">
        <v>8971</v>
      </c>
      <c r="G3000" s="1"/>
      <c r="H3000" s="1"/>
      <c r="I3000" s="1"/>
      <c r="J3000" s="2"/>
      <c r="K3000" s="5" t="s">
        <v>8971</v>
      </c>
      <c r="M3000" s="18"/>
      <c r="N3000" s="1"/>
      <c r="O3000" s="1"/>
      <c r="P3000" s="21" t="str">
        <f>IF(ISNUMBER(MATCH($C3000,StackableKinds,0)), TRUE, "")</f>
        <v/>
      </c>
    </row>
    <row r="3001" spans="1:16" x14ac:dyDescent="0.2">
      <c r="A3001" s="19" t="str">
        <f>_xlfn.IFNA(VLOOKUP($B3001,Keys!$A:$B,2,FALSE),_xlfn.IFNA(VLOOKUP($B3001,Keys!$D:$E,2,FALSE),VLOOKUP($B3001,Keys!$G:$H,2,FALSE)))</f>
        <v>0x0000001E3CE9653F</v>
      </c>
      <c r="B3001" s="5" t="s">
        <v>8140</v>
      </c>
      <c r="C3001" s="5" t="s">
        <v>9467</v>
      </c>
      <c r="D3001" s="5" t="s">
        <v>16862</v>
      </c>
      <c r="E3001" s="5"/>
      <c r="F3001" s="5" t="s">
        <v>8971</v>
      </c>
      <c r="G3001" s="1"/>
      <c r="H3001" s="1"/>
      <c r="I3001" s="1"/>
      <c r="J3001" s="2"/>
      <c r="K3001" s="5" t="s">
        <v>8971</v>
      </c>
      <c r="M3001" s="18"/>
      <c r="N3001" s="1"/>
      <c r="O3001" s="1"/>
      <c r="P3001" s="21" t="str">
        <f>IF(ISNUMBER(MATCH($C3001,StackableKinds,0)), TRUE, "")</f>
        <v/>
      </c>
    </row>
    <row r="3002" spans="1:16" x14ac:dyDescent="0.2">
      <c r="A3002" s="19" t="str">
        <f>_xlfn.IFNA(VLOOKUP($B3002,Keys!$A:$B,2,FALSE),_xlfn.IFNA(VLOOKUP($B3002,Keys!$D:$E,2,FALSE),VLOOKUP($B3002,Keys!$G:$H,2,FALSE)))</f>
        <v>0x0000001E109F0FC2</v>
      </c>
      <c r="B3002" s="5" t="s">
        <v>8142</v>
      </c>
      <c r="C3002" s="5" t="s">
        <v>9467</v>
      </c>
      <c r="D3002" s="5" t="s">
        <v>16862</v>
      </c>
      <c r="E3002" s="5"/>
      <c r="F3002" s="5" t="s">
        <v>8971</v>
      </c>
      <c r="G3002" s="1"/>
      <c r="H3002" s="1"/>
      <c r="I3002" s="1"/>
      <c r="J3002" s="2"/>
      <c r="K3002" s="5" t="s">
        <v>8971</v>
      </c>
      <c r="M3002" s="18"/>
      <c r="N3002" s="1"/>
      <c r="O3002" s="1"/>
      <c r="P3002" s="21" t="str">
        <f>IF(ISNUMBER(MATCH($C3002,StackableKinds,0)), TRUE, "")</f>
        <v/>
      </c>
    </row>
    <row r="3003" spans="1:16" x14ac:dyDescent="0.2">
      <c r="A3003" s="19" t="str">
        <f>_xlfn.IFNA(VLOOKUP($B3003,Keys!$A:$B,2,FALSE),_xlfn.IFNA(VLOOKUP($B3003,Keys!$D:$E,2,FALSE),VLOOKUP($B3003,Keys!$G:$H,2,FALSE)))</f>
        <v>0x0000001E89965E78</v>
      </c>
      <c r="B3003" s="5" t="s">
        <v>8144</v>
      </c>
      <c r="C3003" s="5" t="s">
        <v>9467</v>
      </c>
      <c r="D3003" s="5" t="s">
        <v>16862</v>
      </c>
      <c r="E3003" s="5"/>
      <c r="F3003" s="5" t="s">
        <v>8971</v>
      </c>
      <c r="G3003" s="1"/>
      <c r="H3003" s="1"/>
      <c r="I3003" s="1"/>
      <c r="J3003" s="2"/>
      <c r="K3003" s="5" t="s">
        <v>8971</v>
      </c>
      <c r="M3003" s="18"/>
      <c r="N3003" s="1"/>
      <c r="O3003" s="1"/>
      <c r="P3003" s="21" t="str">
        <f>IF(ISNUMBER(MATCH($C3003,StackableKinds,0)), TRUE, "")</f>
        <v/>
      </c>
    </row>
    <row r="3004" spans="1:16" x14ac:dyDescent="0.2">
      <c r="A3004" s="19" t="str">
        <f>_xlfn.IFNA(VLOOKUP($B3004,Keys!$A:$B,2,FALSE),_xlfn.IFNA(VLOOKUP($B3004,Keys!$D:$E,2,FALSE),VLOOKUP($B3004,Keys!$G:$H,2,FALSE)))</f>
        <v>0x0000001E48F3B603</v>
      </c>
      <c r="B3004" s="5" t="s">
        <v>8146</v>
      </c>
      <c r="C3004" s="5" t="s">
        <v>9467</v>
      </c>
      <c r="D3004" s="5" t="s">
        <v>16862</v>
      </c>
      <c r="E3004" s="5"/>
      <c r="F3004" s="5" t="s">
        <v>8971</v>
      </c>
      <c r="G3004" s="1"/>
      <c r="H3004" s="1"/>
      <c r="I3004" s="1"/>
      <c r="J3004" s="2"/>
      <c r="K3004" s="5" t="s">
        <v>8971</v>
      </c>
      <c r="M3004" s="18"/>
      <c r="N3004" s="1"/>
      <c r="O3004" s="1"/>
      <c r="P3004" s="21" t="str">
        <f>IF(ISNUMBER(MATCH($C3004,StackableKinds,0)), TRUE, "")</f>
        <v/>
      </c>
    </row>
    <row r="3005" spans="1:16" x14ac:dyDescent="0.2">
      <c r="A3005" s="19" t="str">
        <f>_xlfn.IFNA(VLOOKUP($B3005,Keys!$A:$B,2,FALSE),_xlfn.IFNA(VLOOKUP($B3005,Keys!$D:$E,2,FALSE),VLOOKUP($B3005,Keys!$G:$H,2,FALSE)))</f>
        <v>0x0000001E39A41A41</v>
      </c>
      <c r="B3005" s="5" t="s">
        <v>8148</v>
      </c>
      <c r="C3005" s="5" t="s">
        <v>9467</v>
      </c>
      <c r="D3005" s="5" t="s">
        <v>16862</v>
      </c>
      <c r="E3005" s="5"/>
      <c r="F3005" s="5" t="s">
        <v>8971</v>
      </c>
      <c r="G3005" s="1"/>
      <c r="H3005" s="1"/>
      <c r="I3005" s="1"/>
      <c r="J3005" s="2"/>
      <c r="K3005" s="5" t="s">
        <v>8971</v>
      </c>
      <c r="M3005" s="18"/>
      <c r="N3005" s="1"/>
      <c r="O3005" s="1"/>
      <c r="P3005" s="21" t="str">
        <f>IF(ISNUMBER(MATCH($C3005,StackableKinds,0)), TRUE, "")</f>
        <v/>
      </c>
    </row>
    <row r="3006" spans="1:16" x14ac:dyDescent="0.2">
      <c r="A3006" s="19" t="str">
        <f>_xlfn.IFNA(VLOOKUP($B3006,Keys!$A:$B,2,FALSE),_xlfn.IFNA(VLOOKUP($B3006,Keys!$D:$E,2,FALSE),VLOOKUP($B3006,Keys!$G:$H,2,FALSE)))</f>
        <v>0x0000001ECC796DCC</v>
      </c>
      <c r="B3006" s="5" t="s">
        <v>8150</v>
      </c>
      <c r="C3006" s="5" t="s">
        <v>9467</v>
      </c>
      <c r="D3006" s="5" t="s">
        <v>16862</v>
      </c>
      <c r="E3006" s="5"/>
      <c r="F3006" s="5" t="s">
        <v>8971</v>
      </c>
      <c r="G3006" s="1"/>
      <c r="H3006" s="1"/>
      <c r="I3006" s="1"/>
      <c r="J3006" s="2"/>
      <c r="K3006" s="5" t="s">
        <v>8971</v>
      </c>
      <c r="M3006" s="18"/>
      <c r="N3006" s="1"/>
      <c r="O3006" s="1"/>
      <c r="P3006" s="21" t="str">
        <f>IF(ISNUMBER(MATCH($C3006,StackableKinds,0)), TRUE, "")</f>
        <v/>
      </c>
    </row>
    <row r="3007" spans="1:16" x14ac:dyDescent="0.2">
      <c r="A3007" s="19" t="str">
        <f>_xlfn.IFNA(VLOOKUP($B3007,Keys!$A:$B,2,FALSE),_xlfn.IFNA(VLOOKUP($B3007,Keys!$D:$E,2,FALSE),VLOOKUP($B3007,Keys!$G:$H,2,FALSE)))</f>
        <v>0x0000001E55703C76</v>
      </c>
      <c r="B3007" s="5" t="s">
        <v>8152</v>
      </c>
      <c r="C3007" s="5" t="s">
        <v>9467</v>
      </c>
      <c r="D3007" s="5" t="s">
        <v>16862</v>
      </c>
      <c r="E3007" s="5"/>
      <c r="F3007" s="5" t="s">
        <v>8971</v>
      </c>
      <c r="G3007" s="1"/>
      <c r="H3007" s="1"/>
      <c r="I3007" s="1"/>
      <c r="J3007" s="2"/>
      <c r="K3007" s="5" t="s">
        <v>8971</v>
      </c>
      <c r="M3007" s="18"/>
      <c r="N3007" s="1"/>
      <c r="O3007" s="1"/>
      <c r="P3007" s="21" t="str">
        <f>IF(ISNUMBER(MATCH($C3007,StackableKinds,0)), TRUE, "")</f>
        <v/>
      </c>
    </row>
    <row r="3008" spans="1:16" x14ac:dyDescent="0.2">
      <c r="A3008" s="19" t="str">
        <f>_xlfn.IFNA(VLOOKUP($B3008,Keys!$A:$B,2,FALSE),_xlfn.IFNA(VLOOKUP($B3008,Keys!$D:$E,2,FALSE),VLOOKUP($B3008,Keys!$G:$H,2,FALSE)))</f>
        <v>0x0000001E22770CE0</v>
      </c>
      <c r="B3008" s="5" t="s">
        <v>8154</v>
      </c>
      <c r="C3008" s="5" t="s">
        <v>9467</v>
      </c>
      <c r="D3008" s="5" t="s">
        <v>16862</v>
      </c>
      <c r="E3008" s="5"/>
      <c r="F3008" s="5" t="s">
        <v>8971</v>
      </c>
      <c r="G3008" s="1"/>
      <c r="H3008" s="1"/>
      <c r="I3008" s="1"/>
      <c r="J3008" s="2"/>
      <c r="K3008" s="5" t="s">
        <v>8971</v>
      </c>
      <c r="M3008" s="18"/>
      <c r="N3008" s="1"/>
      <c r="O3008" s="1"/>
      <c r="P3008" s="21" t="str">
        <f>IF(ISNUMBER(MATCH($C3008,StackableKinds,0)), TRUE, "")</f>
        <v/>
      </c>
    </row>
    <row r="3009" spans="1:16" x14ac:dyDescent="0.2">
      <c r="A3009" s="19" t="str">
        <f>_xlfn.IFNA(VLOOKUP($B3009,Keys!$A:$B,2,FALSE),_xlfn.IFNA(VLOOKUP($B3009,Keys!$D:$E,2,FALSE),VLOOKUP($B3009,Keys!$G:$H,2,FALSE)))</f>
        <v>0x0000001ED955A1E5</v>
      </c>
      <c r="B3009" s="5" t="s">
        <v>8156</v>
      </c>
      <c r="C3009" s="5" t="s">
        <v>9467</v>
      </c>
      <c r="D3009" s="5" t="s">
        <v>16862</v>
      </c>
      <c r="E3009" s="5"/>
      <c r="F3009" s="5" t="s">
        <v>8971</v>
      </c>
      <c r="G3009" s="1"/>
      <c r="H3009" s="1"/>
      <c r="I3009" s="1"/>
      <c r="J3009" s="2"/>
      <c r="K3009" s="5" t="s">
        <v>8971</v>
      </c>
      <c r="M3009" s="18"/>
      <c r="N3009" s="1"/>
      <c r="O3009" s="1"/>
      <c r="P3009" s="21" t="str">
        <f>IF(ISNUMBER(MATCH($C3009,StackableKinds,0)), TRUE, "")</f>
        <v/>
      </c>
    </row>
    <row r="3010" spans="1:16" x14ac:dyDescent="0.2">
      <c r="A3010" s="19" t="str">
        <f>_xlfn.IFNA(VLOOKUP($B3010,Keys!$A:$B,2,FALSE),_xlfn.IFNA(VLOOKUP($B3010,Keys!$D:$E,2,FALSE),VLOOKUP($B3010,Keys!$G:$H,2,FALSE)))</f>
        <v>0x0000001E405CF05F</v>
      </c>
      <c r="B3010" s="5" t="s">
        <v>8158</v>
      </c>
      <c r="C3010" s="5" t="s">
        <v>9467</v>
      </c>
      <c r="D3010" s="5" t="s">
        <v>16862</v>
      </c>
      <c r="E3010" s="5"/>
      <c r="F3010" s="5" t="s">
        <v>8971</v>
      </c>
      <c r="G3010" s="1"/>
      <c r="H3010" s="1"/>
      <c r="I3010" s="1"/>
      <c r="J3010" s="2"/>
      <c r="K3010" s="5" t="s">
        <v>8971</v>
      </c>
      <c r="M3010" s="18"/>
      <c r="N3010" s="1"/>
      <c r="O3010" s="1"/>
      <c r="P3010" s="21" t="str">
        <f>IF(ISNUMBER(MATCH($C3010,StackableKinds,0)), TRUE, "")</f>
        <v/>
      </c>
    </row>
    <row r="3011" spans="1:16" x14ac:dyDescent="0.2">
      <c r="A3011" s="19" t="str">
        <f>_xlfn.IFNA(VLOOKUP($B3011,Keys!$A:$B,2,FALSE),_xlfn.IFNA(VLOOKUP($B3011,Keys!$D:$E,2,FALSE),VLOOKUP($B3011,Keys!$G:$H,2,FALSE)))</f>
        <v>0x0000001E375BC0C9</v>
      </c>
      <c r="B3011" s="5" t="s">
        <v>8160</v>
      </c>
      <c r="C3011" s="5" t="s">
        <v>9467</v>
      </c>
      <c r="D3011" s="5" t="s">
        <v>16862</v>
      </c>
      <c r="E3011" s="5"/>
      <c r="F3011" s="5" t="s">
        <v>8971</v>
      </c>
      <c r="G3011" s="1"/>
      <c r="H3011" s="1"/>
      <c r="I3011" s="1"/>
      <c r="J3011" s="2"/>
      <c r="K3011" s="5" t="s">
        <v>8971</v>
      </c>
      <c r="M3011" s="18"/>
      <c r="N3011" s="1"/>
      <c r="O3011" s="1"/>
      <c r="P3011" s="21" t="str">
        <f>IF(ISNUMBER(MATCH($C3011,StackableKinds,0)), TRUE, "")</f>
        <v/>
      </c>
    </row>
    <row r="3012" spans="1:16" x14ac:dyDescent="0.2">
      <c r="A3012" s="19" t="str">
        <f>_xlfn.IFNA(VLOOKUP($B3012,Keys!$A:$B,2,FALSE),_xlfn.IFNA(VLOOKUP($B3012,Keys!$D:$E,2,FALSE),VLOOKUP($B3012,Keys!$G:$H,2,FALSE)))</f>
        <v>0x00000019BE13A6D1</v>
      </c>
      <c r="B3012" s="5" t="s">
        <v>8162</v>
      </c>
      <c r="C3012" s="5" t="s">
        <v>9467</v>
      </c>
      <c r="D3012" s="5" t="s">
        <v>16862</v>
      </c>
      <c r="E3012" s="5"/>
      <c r="F3012" s="5" t="s">
        <v>8971</v>
      </c>
      <c r="G3012" s="1"/>
      <c r="H3012" s="1"/>
      <c r="I3012" s="1"/>
      <c r="J3012" s="2"/>
      <c r="K3012" s="5" t="s">
        <v>8971</v>
      </c>
      <c r="M3012" s="18"/>
      <c r="N3012" s="1"/>
      <c r="O3012" s="1"/>
      <c r="P3012" s="21" t="str">
        <f>IF(ISNUMBER(MATCH($C3012,StackableKinds,0)), TRUE, "")</f>
        <v/>
      </c>
    </row>
    <row r="3013" spans="1:16" x14ac:dyDescent="0.2">
      <c r="A3013" s="19" t="str">
        <f>_xlfn.IFNA(VLOOKUP($B3013,Keys!$A:$B,2,FALSE),_xlfn.IFNA(VLOOKUP($B3013,Keys!$D:$E,2,FALSE),VLOOKUP($B3013,Keys!$G:$H,2,FALSE)))</f>
        <v>0x0000001E1282BD52</v>
      </c>
      <c r="B3013" s="5" t="s">
        <v>8164</v>
      </c>
      <c r="C3013" s="5" t="s">
        <v>9467</v>
      </c>
      <c r="D3013" s="5" t="s">
        <v>16862</v>
      </c>
      <c r="E3013" s="5"/>
      <c r="F3013" s="5" t="s">
        <v>8971</v>
      </c>
      <c r="G3013" s="1"/>
      <c r="H3013" s="1"/>
      <c r="I3013" s="1"/>
      <c r="J3013" s="2"/>
      <c r="K3013" s="5" t="s">
        <v>8971</v>
      </c>
      <c r="M3013" s="18"/>
      <c r="N3013" s="1"/>
      <c r="O3013" s="1"/>
      <c r="P3013" s="21" t="str">
        <f>IF(ISNUMBER(MATCH($C3013,StackableKinds,0)), TRUE, "")</f>
        <v/>
      </c>
    </row>
    <row r="3014" spans="1:16" x14ac:dyDescent="0.2">
      <c r="A3014" s="19" t="str">
        <f>_xlfn.IFNA(VLOOKUP($B3014,Keys!$A:$B,2,FALSE),_xlfn.IFNA(VLOOKUP($B3014,Keys!$D:$E,2,FALSE),VLOOKUP($B3014,Keys!$G:$H,2,FALSE)))</f>
        <v>0x00000019E7DB1D46</v>
      </c>
      <c r="B3014" s="5" t="s">
        <v>8166</v>
      </c>
      <c r="C3014" s="5" t="s">
        <v>9467</v>
      </c>
      <c r="D3014" s="5" t="s">
        <v>16862</v>
      </c>
      <c r="E3014" s="5"/>
      <c r="F3014" s="5" t="s">
        <v>8971</v>
      </c>
      <c r="G3014" s="1"/>
      <c r="H3014" s="1"/>
      <c r="I3014" s="1"/>
      <c r="J3014" s="2"/>
      <c r="K3014" s="5" t="s">
        <v>8971</v>
      </c>
      <c r="M3014" s="18"/>
      <c r="N3014" s="1"/>
      <c r="O3014" s="1"/>
      <c r="P3014" s="21" t="str">
        <f>IF(ISNUMBER(MATCH($C3014,StackableKinds,0)), TRUE, "")</f>
        <v/>
      </c>
    </row>
    <row r="3015" spans="1:16" x14ac:dyDescent="0.2">
      <c r="A3015" s="19" t="str">
        <f>_xlfn.IFNA(VLOOKUP($B3015,Keys!$A:$B,2,FALSE),_xlfn.IFNA(VLOOKUP($B3015,Keys!$D:$E,2,FALSE),VLOOKUP($B3015,Keys!$G:$H,2,FALSE)))</f>
        <v>0x0000001E4AEE0493</v>
      </c>
      <c r="B3015" s="5" t="s">
        <v>8168</v>
      </c>
      <c r="C3015" s="5" t="s">
        <v>9467</v>
      </c>
      <c r="D3015" s="5" t="s">
        <v>16862</v>
      </c>
      <c r="E3015" s="5"/>
      <c r="F3015" s="5" t="s">
        <v>8971</v>
      </c>
      <c r="G3015" s="1"/>
      <c r="H3015" s="1"/>
      <c r="I3015" s="1"/>
      <c r="J3015" s="2"/>
      <c r="K3015" s="5" t="s">
        <v>8971</v>
      </c>
      <c r="M3015" s="18"/>
      <c r="N3015" s="1"/>
      <c r="O3015" s="1"/>
      <c r="P3015" s="21" t="str">
        <f>IF(ISNUMBER(MATCH($C3015,StackableKinds,0)), TRUE, "")</f>
        <v/>
      </c>
    </row>
    <row r="3016" spans="1:16" x14ac:dyDescent="0.2">
      <c r="A3016" s="19" t="str">
        <f>_xlfn.IFNA(VLOOKUP($B3016,Keys!$A:$B,2,FALSE),_xlfn.IFNA(VLOOKUP($B3016,Keys!$D:$E,2,FALSE),VLOOKUP($B3016,Keys!$G:$H,2,FALSE)))</f>
        <v>0x0000001ED3E75529</v>
      </c>
      <c r="B3016" s="5" t="s">
        <v>8170</v>
      </c>
      <c r="C3016" s="5" t="s">
        <v>9467</v>
      </c>
      <c r="D3016" s="5" t="s">
        <v>16862</v>
      </c>
      <c r="E3016" s="5"/>
      <c r="F3016" s="5" t="s">
        <v>8971</v>
      </c>
      <c r="G3016" s="1"/>
      <c r="H3016" s="1"/>
      <c r="I3016" s="1"/>
      <c r="J3016" s="2"/>
      <c r="K3016" s="5" t="s">
        <v>8971</v>
      </c>
      <c r="M3016" s="18"/>
      <c r="N3016" s="1"/>
      <c r="O3016" s="1"/>
      <c r="P3016" s="21" t="str">
        <f>IF(ISNUMBER(MATCH($C3016,StackableKinds,0)), TRUE, "")</f>
        <v/>
      </c>
    </row>
    <row r="3017" spans="1:16" x14ac:dyDescent="0.2">
      <c r="A3017" s="19" t="str">
        <f>_xlfn.IFNA(VLOOKUP($B3017,Keys!$A:$B,2,FALSE),_xlfn.IFNA(VLOOKUP($B3017,Keys!$D:$E,2,FALSE),VLOOKUP($B3017,Keys!$G:$H,2,FALSE)))</f>
        <v>0x0000001E3B529F6A</v>
      </c>
      <c r="B3017" s="5" t="s">
        <v>8174</v>
      </c>
      <c r="C3017" s="5" t="s">
        <v>9467</v>
      </c>
      <c r="D3017" s="5" t="s">
        <v>16862</v>
      </c>
      <c r="E3017" s="5"/>
      <c r="F3017" s="5" t="s">
        <v>8971</v>
      </c>
      <c r="G3017" s="1"/>
      <c r="H3017" s="1"/>
      <c r="I3017" s="1"/>
      <c r="J3017" s="2"/>
      <c r="K3017" s="5" t="s">
        <v>8971</v>
      </c>
      <c r="M3017" s="18"/>
      <c r="N3017" s="1"/>
      <c r="O3017" s="1"/>
      <c r="P3017" s="21" t="str">
        <f>IF(ISNUMBER(MATCH($C3017,StackableKinds,0)), TRUE, "")</f>
        <v/>
      </c>
    </row>
    <row r="3018" spans="1:16" x14ac:dyDescent="0.2">
      <c r="A3018" s="19" t="str">
        <f>_xlfn.IFNA(VLOOKUP($B3018,Keys!$A:$B,2,FALSE),_xlfn.IFNA(VLOOKUP($B3018,Keys!$D:$E,2,FALSE),VLOOKUP($B3018,Keys!$G:$H,2,FALSE)))</f>
        <v>0x00000024FB12E4F2</v>
      </c>
      <c r="B3018" s="5" t="s">
        <v>8176</v>
      </c>
      <c r="C3018" s="5" t="s">
        <v>9467</v>
      </c>
      <c r="D3018" s="5" t="s">
        <v>16862</v>
      </c>
      <c r="E3018" s="5"/>
      <c r="F3018" s="5" t="s">
        <v>8971</v>
      </c>
      <c r="G3018" s="1"/>
      <c r="H3018" s="1"/>
      <c r="I3018" s="1"/>
      <c r="J3018" s="2"/>
      <c r="K3018" s="5" t="s">
        <v>8971</v>
      </c>
      <c r="M3018" s="18"/>
      <c r="N3018" s="1"/>
      <c r="O3018" s="1"/>
      <c r="P3018" s="21" t="str">
        <f>IF(ISNUMBER(MATCH($C3018,StackableKinds,0)), TRUE, "")</f>
        <v/>
      </c>
    </row>
    <row r="3019" spans="1:16" x14ac:dyDescent="0.2">
      <c r="A3019" s="19" t="str">
        <f>_xlfn.IFNA(VLOOKUP($B3019,Keys!$A:$B,2,FALSE),_xlfn.IFNA(VLOOKUP($B3019,Keys!$D:$E,2,FALSE),VLOOKUP($B3019,Keys!$G:$H,2,FALSE)))</f>
        <v>0x0000001CB91E0B89</v>
      </c>
      <c r="B3019" s="5" t="s">
        <v>8178</v>
      </c>
      <c r="C3019" s="5" t="s">
        <v>9467</v>
      </c>
      <c r="D3019" s="5" t="s">
        <v>16862</v>
      </c>
      <c r="E3019" s="5"/>
      <c r="F3019" s="5" t="s">
        <v>8971</v>
      </c>
      <c r="G3019" s="1"/>
      <c r="H3019" s="1"/>
      <c r="I3019" s="1"/>
      <c r="J3019" s="2"/>
      <c r="K3019" s="5" t="s">
        <v>8971</v>
      </c>
      <c r="M3019" s="18"/>
      <c r="N3019" s="1"/>
      <c r="O3019" s="1"/>
      <c r="P3019" s="21" t="str">
        <f>IF(ISNUMBER(MATCH($C3019,StackableKinds,0)), TRUE, "")</f>
        <v/>
      </c>
    </row>
    <row r="3020" spans="1:16" x14ac:dyDescent="0.2">
      <c r="A3020" s="19" t="str">
        <f>_xlfn.IFNA(VLOOKUP($B3020,Keys!$A:$B,2,FALSE),_xlfn.IFNA(VLOOKUP($B3020,Keys!$D:$E,2,FALSE),VLOOKUP($B3020,Keys!$G:$H,2,FALSE)))</f>
        <v>0x0000001E3BB9A8D1</v>
      </c>
      <c r="B3020" s="5" t="s">
        <v>8180</v>
      </c>
      <c r="C3020" s="5" t="s">
        <v>9467</v>
      </c>
      <c r="D3020" s="5" t="s">
        <v>16862</v>
      </c>
      <c r="E3020" s="5"/>
      <c r="F3020" s="5" t="s">
        <v>8971</v>
      </c>
      <c r="G3020" s="1"/>
      <c r="H3020" s="1"/>
      <c r="I3020" s="1"/>
      <c r="J3020" s="2"/>
      <c r="K3020" s="5" t="s">
        <v>8971</v>
      </c>
      <c r="M3020" s="18"/>
      <c r="N3020" s="1"/>
      <c r="O3020" s="1"/>
      <c r="P3020" s="21" t="str">
        <f>IF(ISNUMBER(MATCH($C3020,StackableKinds,0)), TRUE, "")</f>
        <v/>
      </c>
    </row>
    <row r="3021" spans="1:16" x14ac:dyDescent="0.2">
      <c r="A3021" s="19" t="str">
        <f>_xlfn.IFNA(VLOOKUP($B3021,Keys!$A:$B,2,FALSE),_xlfn.IFNA(VLOOKUP($B3021,Keys!$D:$E,2,FALSE),VLOOKUP($B3021,Keys!$G:$H,2,FALSE)))</f>
        <v>0x0000001FBACC265C</v>
      </c>
      <c r="B3021" s="5" t="s">
        <v>8182</v>
      </c>
      <c r="C3021" s="5" t="s">
        <v>9467</v>
      </c>
      <c r="D3021" s="5" t="s">
        <v>16862</v>
      </c>
      <c r="E3021" s="5"/>
      <c r="F3021" s="5" t="s">
        <v>8971</v>
      </c>
      <c r="G3021" s="1"/>
      <c r="H3021" s="1"/>
      <c r="I3021" s="1"/>
      <c r="J3021" s="2"/>
      <c r="K3021" s="5" t="s">
        <v>8971</v>
      </c>
      <c r="M3021" s="18"/>
      <c r="N3021" s="1"/>
      <c r="O3021" s="1"/>
      <c r="P3021" s="21" t="str">
        <f>IF(ISNUMBER(MATCH($C3021,StackableKinds,0)), TRUE, "")</f>
        <v/>
      </c>
    </row>
    <row r="3022" spans="1:16" x14ac:dyDescent="0.2">
      <c r="A3022" s="19" t="str">
        <f>_xlfn.IFNA(VLOOKUP($B3022,Keys!$A:$B,2,FALSE),_xlfn.IFNA(VLOOKUP($B3022,Keys!$D:$E,2,FALSE),VLOOKUP($B3022,Keys!$G:$H,2,FALSE)))</f>
        <v>0x0000001DD6BCBD3C</v>
      </c>
      <c r="B3022" s="5" t="s">
        <v>8184</v>
      </c>
      <c r="C3022" s="5" t="s">
        <v>9467</v>
      </c>
      <c r="D3022" s="5" t="s">
        <v>16862</v>
      </c>
      <c r="E3022" s="5"/>
      <c r="F3022" s="5" t="s">
        <v>8971</v>
      </c>
      <c r="G3022" s="1"/>
      <c r="H3022" s="1"/>
      <c r="I3022" s="1"/>
      <c r="J3022" s="2"/>
      <c r="K3022" s="5" t="s">
        <v>8971</v>
      </c>
      <c r="M3022" s="18"/>
      <c r="N3022" s="1"/>
      <c r="O3022" s="1"/>
      <c r="P3022" s="21" t="str">
        <f>IF(ISNUMBER(MATCH($C3022,StackableKinds,0)), TRUE, "")</f>
        <v/>
      </c>
    </row>
    <row r="3023" spans="1:16" x14ac:dyDescent="0.2">
      <c r="A3023" s="19" t="str">
        <f>_xlfn.IFNA(VLOOKUP($B3023,Keys!$A:$B,2,FALSE),_xlfn.IFNA(VLOOKUP($B3023,Keys!$D:$E,2,FALSE),VLOOKUP($B3023,Keys!$G:$H,2,FALSE)))</f>
        <v>0x0000001E48A92EFD</v>
      </c>
      <c r="B3023" s="5" t="s">
        <v>8186</v>
      </c>
      <c r="C3023" s="5" t="s">
        <v>9467</v>
      </c>
      <c r="D3023" s="5" t="s">
        <v>16862</v>
      </c>
      <c r="E3023" s="5"/>
      <c r="F3023" s="5" t="s">
        <v>8971</v>
      </c>
      <c r="G3023" s="1"/>
      <c r="H3023" s="1"/>
      <c r="I3023" s="1"/>
      <c r="J3023" s="2"/>
      <c r="K3023" s="5" t="s">
        <v>8971</v>
      </c>
      <c r="M3023" s="18"/>
      <c r="N3023" s="1"/>
      <c r="O3023" s="1"/>
      <c r="P3023" s="21" t="str">
        <f>IF(ISNUMBER(MATCH($C3023,StackableKinds,0)), TRUE, "")</f>
        <v/>
      </c>
    </row>
    <row r="3024" spans="1:16" x14ac:dyDescent="0.2">
      <c r="A3024" s="19" t="str">
        <f>_xlfn.IFNA(VLOOKUP($B3024,Keys!$A:$B,2,FALSE),_xlfn.IFNA(VLOOKUP($B3024,Keys!$D:$E,2,FALSE),VLOOKUP($B3024,Keys!$G:$H,2,FALSE)))</f>
        <v>0x0000001ED1A07F47</v>
      </c>
      <c r="B3024" s="5" t="s">
        <v>8188</v>
      </c>
      <c r="C3024" s="5" t="s">
        <v>9467</v>
      </c>
      <c r="D3024" s="5" t="s">
        <v>16862</v>
      </c>
      <c r="E3024" s="5"/>
      <c r="F3024" s="5" t="s">
        <v>8971</v>
      </c>
      <c r="G3024" s="1"/>
      <c r="H3024" s="1"/>
      <c r="I3024" s="1"/>
      <c r="J3024" s="2"/>
      <c r="K3024" s="5" t="s">
        <v>8971</v>
      </c>
      <c r="M3024" s="18"/>
      <c r="N3024" s="1"/>
      <c r="O3024" s="1"/>
      <c r="P3024" s="21" t="str">
        <f>IF(ISNUMBER(MATCH($C3024,StackableKinds,0)), TRUE, "")</f>
        <v/>
      </c>
    </row>
    <row r="3025" spans="1:16" x14ac:dyDescent="0.2">
      <c r="A3025" s="19" t="str">
        <f>_xlfn.IFNA(VLOOKUP($B3025,Keys!$A:$B,2,FALSE),_xlfn.IFNA(VLOOKUP($B3025,Keys!$D:$E,2,FALSE),VLOOKUP($B3025,Keys!$G:$H,2,FALSE)))</f>
        <v>0x0000001EA6A74FD1</v>
      </c>
      <c r="B3025" s="5" t="s">
        <v>8190</v>
      </c>
      <c r="C3025" s="5" t="s">
        <v>9467</v>
      </c>
      <c r="D3025" s="5" t="s">
        <v>16862</v>
      </c>
      <c r="E3025" s="5"/>
      <c r="F3025" s="5" t="s">
        <v>8971</v>
      </c>
      <c r="G3025" s="1"/>
      <c r="H3025" s="1"/>
      <c r="I3025" s="1"/>
      <c r="J3025" s="2"/>
      <c r="K3025" s="5" t="s">
        <v>8971</v>
      </c>
      <c r="M3025" s="18"/>
      <c r="N3025" s="1"/>
      <c r="O3025" s="1"/>
      <c r="P3025" s="21" t="str">
        <f>IF(ISNUMBER(MATCH($C3025,StackableKinds,0)), TRUE, "")</f>
        <v/>
      </c>
    </row>
    <row r="3026" spans="1:16" x14ac:dyDescent="0.2">
      <c r="A3026" s="19" t="str">
        <f>_xlfn.IFNA(VLOOKUP($B3026,Keys!$A:$B,2,FALSE),_xlfn.IFNA(VLOOKUP($B3026,Keys!$D:$E,2,FALSE),VLOOKUP($B3026,Keys!$G:$H,2,FALSE)))</f>
        <v>0x0000001E8927F13D</v>
      </c>
      <c r="B3026" s="5" t="s">
        <v>8192</v>
      </c>
      <c r="C3026" s="5" t="s">
        <v>9467</v>
      </c>
      <c r="D3026" s="5" t="s">
        <v>16862</v>
      </c>
      <c r="E3026" s="5"/>
      <c r="F3026" s="5" t="s">
        <v>8971</v>
      </c>
      <c r="G3026" s="1"/>
      <c r="H3026" s="1"/>
      <c r="I3026" s="1"/>
      <c r="J3026" s="2"/>
      <c r="K3026" s="5" t="s">
        <v>8971</v>
      </c>
      <c r="M3026" s="18"/>
      <c r="N3026" s="1"/>
      <c r="O3026" s="1"/>
      <c r="P3026" s="21" t="str">
        <f>IF(ISNUMBER(MATCH($C3026,StackableKinds,0)), TRUE, "")</f>
        <v/>
      </c>
    </row>
    <row r="3027" spans="1:16" x14ac:dyDescent="0.2">
      <c r="A3027" s="19" t="str">
        <f>_xlfn.IFNA(VLOOKUP($B3027,Keys!$A:$B,2,FALSE),_xlfn.IFNA(VLOOKUP($B3027,Keys!$D:$E,2,FALSE),VLOOKUP($B3027,Keys!$G:$H,2,FALSE)))</f>
        <v>0x0000001DEBA3B1A1</v>
      </c>
      <c r="B3027" s="5" t="s">
        <v>8194</v>
      </c>
      <c r="C3027" s="5" t="s">
        <v>9467</v>
      </c>
      <c r="D3027" s="5" t="s">
        <v>16862</v>
      </c>
      <c r="E3027" s="5"/>
      <c r="F3027" s="5" t="s">
        <v>8971</v>
      </c>
      <c r="G3027" s="1"/>
      <c r="H3027" s="1"/>
      <c r="I3027" s="1"/>
      <c r="J3027" s="2"/>
      <c r="K3027" s="5" t="s">
        <v>8971</v>
      </c>
      <c r="M3027" s="18"/>
      <c r="N3027" s="1"/>
      <c r="O3027" s="1"/>
      <c r="P3027" s="21" t="str">
        <f>IF(ISNUMBER(MATCH($C3027,StackableKinds,0)), TRUE, "")</f>
        <v/>
      </c>
    </row>
    <row r="3028" spans="1:16" x14ac:dyDescent="0.2">
      <c r="A3028" s="19" t="str">
        <f>_xlfn.IFNA(VLOOKUP($B3028,Keys!$A:$B,2,FALSE),_xlfn.IFNA(VLOOKUP($B3028,Keys!$D:$E,2,FALSE),VLOOKUP($B3028,Keys!$G:$H,2,FALSE)))</f>
        <v>0x0000001E20F47399</v>
      </c>
      <c r="B3028" s="5" t="s">
        <v>8196</v>
      </c>
      <c r="C3028" s="5" t="s">
        <v>9467</v>
      </c>
      <c r="D3028" s="5" t="s">
        <v>16862</v>
      </c>
      <c r="E3028" s="5"/>
      <c r="F3028" s="5" t="s">
        <v>8971</v>
      </c>
      <c r="G3028" s="1"/>
      <c r="H3028" s="1"/>
      <c r="I3028" s="1"/>
      <c r="J3028" s="2"/>
      <c r="K3028" s="5" t="s">
        <v>8971</v>
      </c>
      <c r="M3028" s="18"/>
      <c r="N3028" s="1"/>
      <c r="O3028" s="1"/>
      <c r="P3028" s="21" t="str">
        <f>IF(ISNUMBER(MATCH($C3028,StackableKinds,0)), TRUE, "")</f>
        <v/>
      </c>
    </row>
    <row r="3029" spans="1:16" x14ac:dyDescent="0.2">
      <c r="A3029" s="19" t="str">
        <f>_xlfn.IFNA(VLOOKUP($B3029,Keys!$A:$B,2,FALSE),_xlfn.IFNA(VLOOKUP($B3029,Keys!$D:$E,2,FALSE),VLOOKUP($B3029,Keys!$G:$H,2,FALSE)))</f>
        <v>0x0000001A930B223E</v>
      </c>
      <c r="B3029" s="5" t="s">
        <v>8198</v>
      </c>
      <c r="C3029" s="5" t="s">
        <v>9467</v>
      </c>
      <c r="D3029" s="5" t="s">
        <v>16862</v>
      </c>
      <c r="E3029" s="5"/>
      <c r="F3029" s="5" t="s">
        <v>8971</v>
      </c>
      <c r="G3029" s="1"/>
      <c r="H3029" s="1"/>
      <c r="I3029" s="1"/>
      <c r="J3029" s="2"/>
      <c r="K3029" s="5" t="s">
        <v>8971</v>
      </c>
      <c r="M3029" s="18"/>
      <c r="N3029" s="1"/>
      <c r="O3029" s="1"/>
      <c r="P3029" s="21" t="str">
        <f>IF(ISNUMBER(MATCH($C3029,StackableKinds,0)), TRUE, "")</f>
        <v/>
      </c>
    </row>
    <row r="3030" spans="1:16" x14ac:dyDescent="0.2">
      <c r="A3030" s="19" t="str">
        <f>_xlfn.IFNA(VLOOKUP($B3030,Keys!$A:$B,2,FALSE),_xlfn.IFNA(VLOOKUP($B3030,Keys!$D:$E,2,FALSE),VLOOKUP($B3030,Keys!$G:$H,2,FALSE)))</f>
        <v>0x0000001EB9161598</v>
      </c>
      <c r="B3030" s="5" t="s">
        <v>8200</v>
      </c>
      <c r="C3030" s="5" t="s">
        <v>9467</v>
      </c>
      <c r="D3030" s="5" t="s">
        <v>16862</v>
      </c>
      <c r="E3030" s="5"/>
      <c r="F3030" s="5" t="s">
        <v>8971</v>
      </c>
      <c r="G3030" s="1"/>
      <c r="H3030" s="1"/>
      <c r="I3030" s="1"/>
      <c r="J3030" s="2"/>
      <c r="K3030" s="5" t="s">
        <v>8971</v>
      </c>
      <c r="M3030" s="18"/>
      <c r="N3030" s="1"/>
      <c r="O3030" s="1"/>
      <c r="P3030" s="21" t="str">
        <f>IF(ISNUMBER(MATCH($C3030,StackableKinds,0)), TRUE, "")</f>
        <v/>
      </c>
    </row>
    <row r="3031" spans="1:16" x14ac:dyDescent="0.2">
      <c r="A3031" s="19" t="str">
        <f>_xlfn.IFNA(VLOOKUP($B3031,Keys!$A:$B,2,FALSE),_xlfn.IFNA(VLOOKUP($B3031,Keys!$D:$E,2,FALSE),VLOOKUP($B3031,Keys!$G:$H,2,FALSE)))</f>
        <v>0x0000001DE76EBAC9</v>
      </c>
      <c r="B3031" s="5" t="s">
        <v>8202</v>
      </c>
      <c r="C3031" s="5" t="s">
        <v>9467</v>
      </c>
      <c r="D3031" s="5" t="s">
        <v>16862</v>
      </c>
      <c r="E3031" s="5"/>
      <c r="F3031" s="5" t="s">
        <v>8971</v>
      </c>
      <c r="G3031" s="1"/>
      <c r="H3031" s="1"/>
      <c r="I3031" s="1"/>
      <c r="J3031" s="2"/>
      <c r="K3031" s="5" t="s">
        <v>8971</v>
      </c>
      <c r="M3031" s="18"/>
      <c r="N3031" s="1"/>
      <c r="O3031" s="1"/>
      <c r="P3031" s="21" t="str">
        <f>IF(ISNUMBER(MATCH($C3031,StackableKinds,0)), TRUE, "")</f>
        <v/>
      </c>
    </row>
    <row r="3032" spans="1:16" x14ac:dyDescent="0.2">
      <c r="A3032" s="19" t="str">
        <f>_xlfn.IFNA(VLOOKUP($B3032,Keys!$A:$B,2,FALSE),_xlfn.IFNA(VLOOKUP($B3032,Keys!$D:$E,2,FALSE),VLOOKUP($B3032,Keys!$G:$H,2,FALSE)))</f>
        <v>0x0000001D7E67EB73</v>
      </c>
      <c r="B3032" s="5" t="s">
        <v>8204</v>
      </c>
      <c r="C3032" s="5" t="s">
        <v>9467</v>
      </c>
      <c r="D3032" s="5" t="s">
        <v>16862</v>
      </c>
      <c r="E3032" s="5"/>
      <c r="F3032" s="5" t="s">
        <v>8971</v>
      </c>
      <c r="G3032" s="1"/>
      <c r="H3032" s="1"/>
      <c r="I3032" s="1"/>
      <c r="J3032" s="2"/>
      <c r="K3032" s="5" t="s">
        <v>8971</v>
      </c>
      <c r="M3032" s="18"/>
      <c r="N3032" s="1"/>
      <c r="O3032" s="1"/>
      <c r="P3032" s="21" t="str">
        <f>IF(ISNUMBER(MATCH($C3032,StackableKinds,0)), TRUE, "")</f>
        <v/>
      </c>
    </row>
    <row r="3033" spans="1:16" x14ac:dyDescent="0.2">
      <c r="A3033" s="19" t="str">
        <f>_xlfn.IFNA(VLOOKUP($B3033,Keys!$A:$B,2,FALSE),_xlfn.IFNA(VLOOKUP($B3033,Keys!$D:$E,2,FALSE),VLOOKUP($B3033,Keys!$G:$H,2,FALSE)))</f>
        <v>0x00000020F3CE96D3</v>
      </c>
      <c r="B3033" s="5" t="s">
        <v>8206</v>
      </c>
      <c r="C3033" s="5" t="s">
        <v>9467</v>
      </c>
      <c r="D3033" s="5" t="s">
        <v>16862</v>
      </c>
      <c r="E3033" s="5"/>
      <c r="F3033" s="5" t="s">
        <v>8971</v>
      </c>
      <c r="G3033" s="1"/>
      <c r="H3033" s="1"/>
      <c r="I3033" s="1"/>
      <c r="J3033" s="2"/>
      <c r="K3033" s="5" t="s">
        <v>8971</v>
      </c>
      <c r="M3033" s="18"/>
      <c r="N3033" s="1"/>
      <c r="O3033" s="1"/>
      <c r="P3033" s="21" t="str">
        <f>IF(ISNUMBER(MATCH($C3033,StackableKinds,0)), TRUE, "")</f>
        <v/>
      </c>
    </row>
    <row r="3034" spans="1:16" x14ac:dyDescent="0.2">
      <c r="A3034" s="19" t="str">
        <f>_xlfn.IFNA(VLOOKUP($B3034,Keys!$A:$B,2,FALSE),_xlfn.IFNA(VLOOKUP($B3034,Keys!$D:$E,2,FALSE),VLOOKUP($B3034,Keys!$G:$H,2,FALSE)))</f>
        <v>0x0000001E51A3DFDB</v>
      </c>
      <c r="B3034" s="5" t="s">
        <v>8208</v>
      </c>
      <c r="C3034" s="5" t="s">
        <v>9467</v>
      </c>
      <c r="D3034" s="5" t="s">
        <v>16862</v>
      </c>
      <c r="E3034" s="5"/>
      <c r="F3034" s="5" t="s">
        <v>8971</v>
      </c>
      <c r="G3034" s="1"/>
      <c r="H3034" s="1"/>
      <c r="I3034" s="1"/>
      <c r="J3034" s="2"/>
      <c r="K3034" s="5" t="s">
        <v>8971</v>
      </c>
      <c r="M3034" s="18"/>
      <c r="N3034" s="1"/>
      <c r="O3034" s="1"/>
      <c r="P3034" s="21" t="str">
        <f>IF(ISNUMBER(MATCH($C3034,StackableKinds,0)), TRUE, "")</f>
        <v/>
      </c>
    </row>
    <row r="3035" spans="1:16" x14ac:dyDescent="0.2">
      <c r="A3035" s="19" t="str">
        <f>_xlfn.IFNA(VLOOKUP($B3035,Keys!$A:$B,2,FALSE),_xlfn.IFNA(VLOOKUP($B3035,Keys!$D:$E,2,FALSE),VLOOKUP($B3035,Keys!$G:$H,2,FALSE)))</f>
        <v>0x0000001DAB9C95A2</v>
      </c>
      <c r="B3035" s="5" t="s">
        <v>8210</v>
      </c>
      <c r="C3035" s="5" t="s">
        <v>9467</v>
      </c>
      <c r="D3035" s="5" t="s">
        <v>16862</v>
      </c>
      <c r="E3035" s="5"/>
      <c r="F3035" s="5" t="s">
        <v>8971</v>
      </c>
      <c r="G3035" s="1"/>
      <c r="H3035" s="1"/>
      <c r="I3035" s="1"/>
      <c r="J3035" s="2"/>
      <c r="K3035" s="5" t="s">
        <v>8971</v>
      </c>
      <c r="M3035" s="18"/>
      <c r="N3035" s="1"/>
      <c r="O3035" s="1"/>
      <c r="P3035" s="21" t="str">
        <f>IF(ISNUMBER(MATCH($C3035,StackableKinds,0)), TRUE, "")</f>
        <v/>
      </c>
    </row>
    <row r="3036" spans="1:16" x14ac:dyDescent="0.2">
      <c r="A3036" s="19" t="str">
        <f>_xlfn.IFNA(VLOOKUP($B3036,Keys!$A:$B,2,FALSE),_xlfn.IFNA(VLOOKUP($B3036,Keys!$D:$E,2,FALSE),VLOOKUP($B3036,Keys!$G:$H,2,FALSE)))</f>
        <v>0x0000001E902D001B</v>
      </c>
      <c r="B3036" s="5" t="s">
        <v>8212</v>
      </c>
      <c r="C3036" s="5" t="s">
        <v>9467</v>
      </c>
      <c r="D3036" s="5" t="s">
        <v>16862</v>
      </c>
      <c r="E3036" s="5"/>
      <c r="F3036" s="5" t="s">
        <v>8971</v>
      </c>
      <c r="G3036" s="1"/>
      <c r="H3036" s="1"/>
      <c r="I3036" s="1"/>
      <c r="J3036" s="2"/>
      <c r="K3036" s="5" t="s">
        <v>8971</v>
      </c>
      <c r="M3036" s="18"/>
      <c r="N3036" s="1"/>
      <c r="O3036" s="1"/>
      <c r="P3036" s="21" t="str">
        <f>IF(ISNUMBER(MATCH($C3036,StackableKinds,0)), TRUE, "")</f>
        <v/>
      </c>
    </row>
    <row r="3037" spans="1:16" x14ac:dyDescent="0.2">
      <c r="A3037" s="19" t="str">
        <f>_xlfn.IFNA(VLOOKUP($B3037,Keys!$A:$B,2,FALSE),_xlfn.IFNA(VLOOKUP($B3037,Keys!$D:$E,2,FALSE),VLOOKUP($B3037,Keys!$G:$H,2,FALSE)))</f>
        <v>0x0000001E092451A1</v>
      </c>
      <c r="B3037" s="5" t="s">
        <v>8214</v>
      </c>
      <c r="C3037" s="5" t="s">
        <v>9467</v>
      </c>
      <c r="D3037" s="5" t="s">
        <v>16862</v>
      </c>
      <c r="E3037" s="5"/>
      <c r="F3037" s="5" t="s">
        <v>8971</v>
      </c>
      <c r="G3037" s="1"/>
      <c r="H3037" s="1"/>
      <c r="I3037" s="1"/>
      <c r="J3037" s="2"/>
      <c r="K3037" s="5" t="s">
        <v>8971</v>
      </c>
      <c r="M3037" s="18"/>
      <c r="N3037" s="1"/>
      <c r="O3037" s="1"/>
      <c r="P3037" s="21" t="str">
        <f>IF(ISNUMBER(MATCH($C3037,StackableKinds,0)), TRUE, "")</f>
        <v/>
      </c>
    </row>
    <row r="3038" spans="1:16" x14ac:dyDescent="0.2">
      <c r="A3038" s="19" t="str">
        <f>_xlfn.IFNA(VLOOKUP($B3038,Keys!$A:$B,2,FALSE),_xlfn.IFNA(VLOOKUP($B3038,Keys!$D:$E,2,FALSE),VLOOKUP($B3038,Keys!$G:$H,2,FALSE)))</f>
        <v>0x0000001E7E236137</v>
      </c>
      <c r="B3038" s="5" t="s">
        <v>8216</v>
      </c>
      <c r="C3038" s="5" t="s">
        <v>9467</v>
      </c>
      <c r="D3038" s="5" t="s">
        <v>16862</v>
      </c>
      <c r="E3038" s="5"/>
      <c r="F3038" s="5" t="s">
        <v>8971</v>
      </c>
      <c r="G3038" s="1"/>
      <c r="H3038" s="1"/>
      <c r="I3038" s="1"/>
      <c r="J3038" s="2"/>
      <c r="K3038" s="5" t="s">
        <v>8971</v>
      </c>
      <c r="M3038" s="18"/>
      <c r="N3038" s="1"/>
      <c r="O3038" s="1"/>
      <c r="P3038" s="21" t="str">
        <f>IF(ISNUMBER(MATCH($C3038,StackableKinds,0)), TRUE, "")</f>
        <v/>
      </c>
    </row>
    <row r="3039" spans="1:16" x14ac:dyDescent="0.2">
      <c r="A3039" s="19" t="str">
        <f>_xlfn.IFNA(VLOOKUP($B3039,Keys!$A:$B,2,FALSE),_xlfn.IFNA(VLOOKUP($B3039,Keys!$D:$E,2,FALSE),VLOOKUP($B3039,Keys!$G:$H,2,FALSE)))</f>
        <v>0x0000001EE047F494</v>
      </c>
      <c r="B3039" s="5" t="s">
        <v>8218</v>
      </c>
      <c r="C3039" s="5" t="s">
        <v>9467</v>
      </c>
      <c r="D3039" s="5" t="s">
        <v>16862</v>
      </c>
      <c r="E3039" s="5"/>
      <c r="F3039" s="5" t="s">
        <v>8971</v>
      </c>
      <c r="G3039" s="1"/>
      <c r="H3039" s="1"/>
      <c r="I3039" s="1"/>
      <c r="J3039" s="2"/>
      <c r="K3039" s="5" t="s">
        <v>8971</v>
      </c>
      <c r="M3039" s="18"/>
      <c r="N3039" s="1"/>
      <c r="O3039" s="1"/>
      <c r="P3039" s="21" t="str">
        <f>IF(ISNUMBER(MATCH($C3039,StackableKinds,0)), TRUE, "")</f>
        <v/>
      </c>
    </row>
    <row r="3040" spans="1:16" x14ac:dyDescent="0.2">
      <c r="A3040" s="19" t="str">
        <f>_xlfn.IFNA(VLOOKUP($B3040,Keys!$A:$B,2,FALSE),_xlfn.IFNA(VLOOKUP($B3040,Keys!$D:$E,2,FALSE),VLOOKUP($B3040,Keys!$G:$H,2,FALSE)))</f>
        <v>0x0000001CB4F8848D</v>
      </c>
      <c r="B3040" s="5" t="s">
        <v>8220</v>
      </c>
      <c r="C3040" s="5" t="s">
        <v>9467</v>
      </c>
      <c r="D3040" s="5" t="s">
        <v>16862</v>
      </c>
      <c r="E3040" s="5"/>
      <c r="F3040" s="5" t="s">
        <v>8971</v>
      </c>
      <c r="G3040" s="1"/>
      <c r="H3040" s="1"/>
      <c r="I3040" s="1"/>
      <c r="J3040" s="2"/>
      <c r="K3040" s="5" t="s">
        <v>8971</v>
      </c>
      <c r="M3040" s="18"/>
      <c r="N3040" s="1"/>
      <c r="O3040" s="1"/>
      <c r="P3040" s="21" t="str">
        <f>IF(ISNUMBER(MATCH($C3040,StackableKinds,0)), TRUE, "")</f>
        <v/>
      </c>
    </row>
    <row r="3041" spans="1:16" x14ac:dyDescent="0.2">
      <c r="A3041" s="19" t="str">
        <f>_xlfn.IFNA(VLOOKUP($B3041,Keys!$A:$B,2,FALSE),_xlfn.IFNA(VLOOKUP($B3041,Keys!$D:$E,2,FALSE),VLOOKUP($B3041,Keys!$G:$H,2,FALSE)))</f>
        <v>0x000000209B877C61</v>
      </c>
      <c r="B3041" s="5" t="s">
        <v>8222</v>
      </c>
      <c r="C3041" s="5" t="s">
        <v>9467</v>
      </c>
      <c r="D3041" s="5" t="s">
        <v>16862</v>
      </c>
      <c r="E3041" s="5"/>
      <c r="F3041" s="5" t="s">
        <v>8971</v>
      </c>
      <c r="G3041" s="1"/>
      <c r="H3041" s="1"/>
      <c r="I3041" s="1"/>
      <c r="J3041" s="2"/>
      <c r="K3041" s="5" t="s">
        <v>8971</v>
      </c>
      <c r="M3041" s="18"/>
      <c r="N3041" s="1"/>
      <c r="O3041" s="1"/>
      <c r="P3041" s="21" t="str">
        <f>IF(ISNUMBER(MATCH($C3041,StackableKinds,0)), TRUE, "")</f>
        <v/>
      </c>
    </row>
    <row r="3042" spans="1:16" x14ac:dyDescent="0.2">
      <c r="A3042" s="19" t="str">
        <f>_xlfn.IFNA(VLOOKUP($B3042,Keys!$A:$B,2,FALSE),_xlfn.IFNA(VLOOKUP($B3042,Keys!$D:$E,2,FALSE),VLOOKUP($B3042,Keys!$G:$H,2,FALSE)))</f>
        <v>0x0000001A84F08E92</v>
      </c>
      <c r="B3042" s="5" t="s">
        <v>8224</v>
      </c>
      <c r="C3042" s="5" t="s">
        <v>9467</v>
      </c>
      <c r="D3042" s="5" t="s">
        <v>16862</v>
      </c>
      <c r="E3042" s="5"/>
      <c r="F3042" s="5" t="s">
        <v>8971</v>
      </c>
      <c r="G3042" s="1"/>
      <c r="H3042" s="1"/>
      <c r="I3042" s="1"/>
      <c r="J3042" s="2"/>
      <c r="K3042" s="5" t="s">
        <v>8971</v>
      </c>
      <c r="M3042" s="18"/>
      <c r="N3042" s="1"/>
      <c r="O3042" s="1"/>
      <c r="P3042" s="21" t="str">
        <f>IF(ISNUMBER(MATCH($C3042,StackableKinds,0)), TRUE, "")</f>
        <v/>
      </c>
    </row>
    <row r="3043" spans="1:16" x14ac:dyDescent="0.2">
      <c r="A3043" s="19" t="str">
        <f>_xlfn.IFNA(VLOOKUP($B3043,Keys!$A:$B,2,FALSE),_xlfn.IFNA(VLOOKUP($B3043,Keys!$D:$E,2,FALSE),VLOOKUP($B3043,Keys!$G:$H,2,FALSE)))</f>
        <v>0x0000001BE4029904</v>
      </c>
      <c r="B3043" s="5" t="s">
        <v>8226</v>
      </c>
      <c r="C3043" s="5" t="s">
        <v>9467</v>
      </c>
      <c r="D3043" s="5" t="s">
        <v>16862</v>
      </c>
      <c r="E3043" s="5"/>
      <c r="F3043" s="5" t="s">
        <v>8971</v>
      </c>
      <c r="G3043" s="1"/>
      <c r="H3043" s="1"/>
      <c r="I3043" s="1"/>
      <c r="J3043" s="2"/>
      <c r="K3043" s="5" t="s">
        <v>8971</v>
      </c>
      <c r="M3043" s="18"/>
      <c r="N3043" s="1"/>
      <c r="O3043" s="1"/>
      <c r="P3043" s="21" t="str">
        <f>IF(ISNUMBER(MATCH($C3043,StackableKinds,0)), TRUE, "")</f>
        <v/>
      </c>
    </row>
    <row r="3044" spans="1:16" x14ac:dyDescent="0.2">
      <c r="A3044" s="19" t="str">
        <f>_xlfn.IFNA(VLOOKUP($B3044,Keys!$A:$B,2,FALSE),_xlfn.IFNA(VLOOKUP($B3044,Keys!$D:$E,2,FALSE),VLOOKUP($B3044,Keys!$G:$H,2,FALSE)))</f>
        <v>0x00000020264D10AF</v>
      </c>
      <c r="B3044" s="5" t="s">
        <v>8228</v>
      </c>
      <c r="C3044" s="5" t="s">
        <v>9467</v>
      </c>
      <c r="D3044" s="5" t="s">
        <v>16862</v>
      </c>
      <c r="E3044" s="5"/>
      <c r="F3044" s="5" t="s">
        <v>8971</v>
      </c>
      <c r="G3044" s="1"/>
      <c r="H3044" s="1"/>
      <c r="I3044" s="1"/>
      <c r="J3044" s="2"/>
      <c r="K3044" s="5" t="s">
        <v>8971</v>
      </c>
      <c r="M3044" s="18"/>
      <c r="N3044" s="1"/>
      <c r="O3044" s="1"/>
      <c r="P3044" s="21" t="str">
        <f>IF(ISNUMBER(MATCH($C3044,StackableKinds,0)), TRUE, "")</f>
        <v/>
      </c>
    </row>
    <row r="3045" spans="1:16" x14ac:dyDescent="0.2">
      <c r="A3045" s="19" t="str">
        <f>_xlfn.IFNA(VLOOKUP($B3045,Keys!$A:$B,2,FALSE),_xlfn.IFNA(VLOOKUP($B3045,Keys!$D:$E,2,FALSE),VLOOKUP($B3045,Keys!$G:$H,2,FALSE)))</f>
        <v>0x00000020BF444115</v>
      </c>
      <c r="B3045" s="5" t="s">
        <v>8230</v>
      </c>
      <c r="C3045" s="5" t="s">
        <v>9467</v>
      </c>
      <c r="D3045" s="5" t="s">
        <v>16862</v>
      </c>
      <c r="E3045" s="5"/>
      <c r="F3045" s="5" t="s">
        <v>8971</v>
      </c>
      <c r="G3045" s="1"/>
      <c r="H3045" s="1"/>
      <c r="I3045" s="1"/>
      <c r="J3045" s="2"/>
      <c r="K3045" s="5" t="s">
        <v>8971</v>
      </c>
      <c r="M3045" s="18"/>
      <c r="N3045" s="1"/>
      <c r="O3045" s="1"/>
      <c r="P3045" s="21" t="str">
        <f>IF(ISNUMBER(MATCH($C3045,StackableKinds,0)), TRUE, "")</f>
        <v/>
      </c>
    </row>
    <row r="3046" spans="1:16" x14ac:dyDescent="0.2">
      <c r="A3046" s="19" t="str">
        <f>_xlfn.IFNA(VLOOKUP($B3046,Keys!$A:$B,2,FALSE),_xlfn.IFNA(VLOOKUP($B3046,Keys!$D:$E,2,FALSE),VLOOKUP($B3046,Keys!$G:$H,2,FALSE)))</f>
        <v>0x00000020100DB386</v>
      </c>
      <c r="B3046" s="5" t="s">
        <v>8232</v>
      </c>
      <c r="C3046" s="5" t="s">
        <v>9467</v>
      </c>
      <c r="D3046" s="5" t="s">
        <v>16862</v>
      </c>
      <c r="E3046" s="5"/>
      <c r="F3046" s="5" t="s">
        <v>8971</v>
      </c>
      <c r="G3046" s="1"/>
      <c r="H3046" s="1"/>
      <c r="I3046" s="1"/>
      <c r="J3046" s="2"/>
      <c r="K3046" s="5" t="s">
        <v>8971</v>
      </c>
      <c r="M3046" s="18"/>
      <c r="N3046" s="1"/>
      <c r="O3046" s="1"/>
      <c r="P3046" s="21" t="str">
        <f>IF(ISNUMBER(MATCH($C3046,StackableKinds,0)), TRUE, "")</f>
        <v/>
      </c>
    </row>
    <row r="3047" spans="1:16" x14ac:dyDescent="0.2">
      <c r="A3047" s="19" t="str">
        <f>_xlfn.IFNA(VLOOKUP($B3047,Keys!$A:$B,2,FALSE),_xlfn.IFNA(VLOOKUP($B3047,Keys!$D:$E,2,FALSE),VLOOKUP($B3047,Keys!$G:$H,2,FALSE)))</f>
        <v>0x00000019D5618EFC</v>
      </c>
      <c r="B3047" s="5" t="s">
        <v>8234</v>
      </c>
      <c r="C3047" s="5" t="s">
        <v>9467</v>
      </c>
      <c r="D3047" s="5" t="s">
        <v>16862</v>
      </c>
      <c r="E3047" s="5"/>
      <c r="F3047" s="5" t="s">
        <v>8971</v>
      </c>
      <c r="G3047" s="1"/>
      <c r="H3047" s="1"/>
      <c r="I3047" s="1"/>
      <c r="J3047" s="2"/>
      <c r="K3047" s="5" t="s">
        <v>8971</v>
      </c>
      <c r="M3047" s="18"/>
      <c r="N3047" s="1"/>
      <c r="O3047" s="1"/>
      <c r="P3047" s="21" t="str">
        <f>IF(ISNUMBER(MATCH($C3047,StackableKinds,0)), TRUE, "")</f>
        <v/>
      </c>
    </row>
    <row r="3048" spans="1:16" x14ac:dyDescent="0.2">
      <c r="A3048" s="19" t="str">
        <f>_xlfn.IFNA(VLOOKUP($B3048,Keys!$A:$B,2,FALSE),_xlfn.IFNA(VLOOKUP($B3048,Keys!$D:$E,2,FALSE),VLOOKUP($B3048,Keys!$G:$H,2,FALSE)))</f>
        <v>0x000000214187CCE9</v>
      </c>
      <c r="B3048" s="5" t="s">
        <v>8236</v>
      </c>
      <c r="C3048" s="5" t="s">
        <v>9467</v>
      </c>
      <c r="D3048" s="5" t="s">
        <v>16862</v>
      </c>
      <c r="E3048" s="5"/>
      <c r="F3048" s="5" t="s">
        <v>8971</v>
      </c>
      <c r="G3048" s="1"/>
      <c r="H3048" s="1"/>
      <c r="I3048" s="1"/>
      <c r="J3048" s="2"/>
      <c r="K3048" s="5" t="s">
        <v>8971</v>
      </c>
      <c r="M3048" s="18"/>
      <c r="N3048" s="1"/>
      <c r="O3048" s="1"/>
      <c r="P3048" s="21" t="str">
        <f>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16862</v>
      </c>
      <c r="E3049" s="5"/>
      <c r="F3049" s="5" t="s">
        <v>8971</v>
      </c>
      <c r="G3049" s="1"/>
      <c r="H3049" s="1"/>
      <c r="I3049" s="1"/>
      <c r="J3049" s="2"/>
      <c r="K3049" s="5" t="s">
        <v>8971</v>
      </c>
      <c r="M3049" s="18"/>
      <c r="N3049" s="1"/>
      <c r="O3049" s="1"/>
      <c r="P3049" s="21" t="str">
        <f>IF(ISNUMBER(MATCH($C3049,StackableKinds,0)), TRUE, "")</f>
        <v/>
      </c>
    </row>
    <row r="3050" spans="1:16" x14ac:dyDescent="0.2">
      <c r="A3050" s="19" t="str">
        <f>_xlfn.IFNA(VLOOKUP($B3050,Keys!$A:$B,2,FALSE),_xlfn.IFNA(VLOOKUP($B3050,Keys!$D:$E,2,FALSE),VLOOKUP($B3050,Keys!$G:$H,2,FALSE)))</f>
        <v>0x0000001EE94D6397</v>
      </c>
      <c r="B3050" s="5" t="s">
        <v>8240</v>
      </c>
      <c r="C3050" s="5" t="s">
        <v>9467</v>
      </c>
      <c r="D3050" s="5" t="s">
        <v>16862</v>
      </c>
      <c r="E3050" s="5"/>
      <c r="F3050" s="5" t="s">
        <v>8971</v>
      </c>
      <c r="G3050" s="1"/>
      <c r="H3050" s="1"/>
      <c r="I3050" s="1"/>
      <c r="J3050" s="2"/>
      <c r="K3050" s="5" t="s">
        <v>8971</v>
      </c>
      <c r="M3050" s="18"/>
      <c r="N3050" s="1"/>
      <c r="O3050" s="1"/>
      <c r="P3050" s="21" t="str">
        <f>IF(ISNUMBER(MATCH($C3050,StackableKinds,0)), TRUE, "")</f>
        <v/>
      </c>
    </row>
    <row r="3051" spans="1:16" x14ac:dyDescent="0.2">
      <c r="A3051" s="19" t="str">
        <f>_xlfn.IFNA(VLOOKUP($B3051,Keys!$A:$B,2,FALSE),_xlfn.IFNA(VLOOKUP($B3051,Keys!$D:$E,2,FALSE),VLOOKUP($B3051,Keys!$G:$H,2,FALSE)))</f>
        <v>0x0000001E7044322D</v>
      </c>
      <c r="B3051" s="5" t="s">
        <v>8242</v>
      </c>
      <c r="C3051" s="5" t="s">
        <v>9467</v>
      </c>
      <c r="D3051" s="5" t="s">
        <v>16862</v>
      </c>
      <c r="E3051" s="5"/>
      <c r="F3051" s="5" t="s">
        <v>8971</v>
      </c>
      <c r="G3051" s="1"/>
      <c r="H3051" s="1"/>
      <c r="I3051" s="1"/>
      <c r="J3051" s="2"/>
      <c r="K3051" s="5" t="s">
        <v>8971</v>
      </c>
      <c r="M3051" s="18"/>
      <c r="N3051" s="1"/>
      <c r="O3051" s="1"/>
      <c r="P3051" s="21" t="str">
        <f>IF(ISNUMBER(MATCH($C3051,StackableKinds,0)), TRUE, "")</f>
        <v/>
      </c>
    </row>
    <row r="3052" spans="1:16" x14ac:dyDescent="0.2">
      <c r="A3052" s="19" t="str">
        <f>_xlfn.IFNA(VLOOKUP($B3052,Keys!$A:$B,2,FALSE),_xlfn.IFNA(VLOOKUP($B3052,Keys!$D:$E,2,FALSE),VLOOKUP($B3052,Keys!$G:$H,2,FALSE)))</f>
        <v>0x0000001E074302BB</v>
      </c>
      <c r="B3052" s="5" t="s">
        <v>8244</v>
      </c>
      <c r="C3052" s="5" t="s">
        <v>9467</v>
      </c>
      <c r="D3052" s="5" t="s">
        <v>16862</v>
      </c>
      <c r="E3052" s="5"/>
      <c r="F3052" s="5" t="s">
        <v>8971</v>
      </c>
      <c r="G3052" s="1"/>
      <c r="H3052" s="1"/>
      <c r="I3052" s="1"/>
      <c r="J3052" s="2"/>
      <c r="K3052" s="5" t="s">
        <v>8971</v>
      </c>
      <c r="M3052" s="18"/>
      <c r="N3052" s="1"/>
      <c r="O3052" s="1"/>
      <c r="P3052" s="21" t="str">
        <f>IF(ISNUMBER(MATCH($C3052,StackableKinds,0)), TRUE, "")</f>
        <v/>
      </c>
    </row>
    <row r="3053" spans="1:16" x14ac:dyDescent="0.2">
      <c r="A3053" s="19" t="str">
        <f>_xlfn.IFNA(VLOOKUP($B3053,Keys!$A:$B,2,FALSE),_xlfn.IFNA(VLOOKUP($B3053,Keys!$D:$E,2,FALSE),VLOOKUP($B3053,Keys!$G:$H,2,FALSE)))</f>
        <v>0x00000021B945875F</v>
      </c>
      <c r="B3053" s="5" t="s">
        <v>8246</v>
      </c>
      <c r="C3053" s="5" t="s">
        <v>9467</v>
      </c>
      <c r="D3053" s="5" t="s">
        <v>16862</v>
      </c>
      <c r="E3053" s="5"/>
      <c r="F3053" s="5" t="s">
        <v>8971</v>
      </c>
      <c r="G3053" s="1"/>
      <c r="H3053" s="1"/>
      <c r="I3053" s="1"/>
      <c r="J3053" s="2"/>
      <c r="K3053" s="5" t="s">
        <v>8971</v>
      </c>
      <c r="M3053" s="18"/>
      <c r="N3053" s="1"/>
      <c r="O3053" s="1"/>
      <c r="P3053" s="21" t="str">
        <f>IF(ISNUMBER(MATCH($C3053,StackableKinds,0)), TRUE, "")</f>
        <v/>
      </c>
    </row>
    <row r="3054" spans="1:16" x14ac:dyDescent="0.2">
      <c r="A3054" s="19" t="str">
        <f>_xlfn.IFNA(VLOOKUP($B3054,Keys!$A:$B,2,FALSE),_xlfn.IFNA(VLOOKUP($B3054,Keys!$D:$E,2,FALSE),VLOOKUP($B3054,Keys!$G:$H,2,FALSE)))</f>
        <v>0x00000021C524A284</v>
      </c>
      <c r="B3054" s="5" t="s">
        <v>8248</v>
      </c>
      <c r="C3054" s="5" t="s">
        <v>9467</v>
      </c>
      <c r="D3054" s="5" t="s">
        <v>16862</v>
      </c>
      <c r="E3054" s="5"/>
      <c r="F3054" s="5" t="s">
        <v>8971</v>
      </c>
      <c r="G3054" s="1"/>
      <c r="H3054" s="1"/>
      <c r="I3054" s="1"/>
      <c r="J3054" s="2"/>
      <c r="K3054" s="5" t="s">
        <v>8971</v>
      </c>
      <c r="M3054" s="18"/>
      <c r="N3054" s="1"/>
      <c r="O3054" s="1"/>
      <c r="P3054" s="21" t="str">
        <f>IF(ISNUMBER(MATCH($C3054,StackableKinds,0)), TRUE, "")</f>
        <v/>
      </c>
    </row>
    <row r="3055" spans="1:16" x14ac:dyDescent="0.2">
      <c r="A3055" s="19" t="str">
        <f>_xlfn.IFNA(VLOOKUP($B3055,Keys!$A:$B,2,FALSE),_xlfn.IFNA(VLOOKUP($B3055,Keys!$D:$E,2,FALSE),VLOOKUP($B3055,Keys!$G:$H,2,FALSE)))</f>
        <v>0x000000215C2DF33E</v>
      </c>
      <c r="B3055" s="5" t="s">
        <v>8250</v>
      </c>
      <c r="C3055" s="5" t="s">
        <v>9467</v>
      </c>
      <c r="D3055" s="5" t="s">
        <v>16862</v>
      </c>
      <c r="E3055" s="5"/>
      <c r="F3055" s="5" t="s">
        <v>8971</v>
      </c>
      <c r="G3055" s="1"/>
      <c r="H3055" s="1"/>
      <c r="I3055" s="1"/>
      <c r="J3055" s="2"/>
      <c r="K3055" s="5" t="s">
        <v>8971</v>
      </c>
      <c r="M3055" s="18"/>
      <c r="N3055" s="1"/>
      <c r="O3055" s="1"/>
      <c r="P3055" s="21" t="str">
        <f>IF(ISNUMBER(MATCH($C3055,StackableKinds,0)), TRUE, "")</f>
        <v/>
      </c>
    </row>
    <row r="3056" spans="1:16" x14ac:dyDescent="0.2">
      <c r="A3056" s="19" t="str">
        <f>_xlfn.IFNA(VLOOKUP($B3056,Keys!$A:$B,2,FALSE),_xlfn.IFNA(VLOOKUP($B3056,Keys!$D:$E,2,FALSE),VLOOKUP($B3056,Keys!$G:$H,2,FALSE)))</f>
        <v>0x00000021582B43F2</v>
      </c>
      <c r="B3056" s="5" t="s">
        <v>8252</v>
      </c>
      <c r="C3056" s="5" t="s">
        <v>9467</v>
      </c>
      <c r="D3056" s="5" t="s">
        <v>16862</v>
      </c>
      <c r="E3056" s="5"/>
      <c r="F3056" s="5" t="s">
        <v>8971</v>
      </c>
      <c r="G3056" s="1"/>
      <c r="H3056" s="1"/>
      <c r="I3056" s="1"/>
      <c r="J3056" s="2"/>
      <c r="K3056" s="5" t="s">
        <v>8971</v>
      </c>
      <c r="M3056" s="18"/>
      <c r="N3056" s="1"/>
      <c r="O3056" s="1"/>
      <c r="P3056" s="21" t="str">
        <f>IF(ISNUMBER(MATCH($C3056,StackableKinds,0)), TRUE, "")</f>
        <v/>
      </c>
    </row>
    <row r="3057" spans="1:16" x14ac:dyDescent="0.2">
      <c r="A3057" s="19" t="str">
        <f>_xlfn.IFNA(VLOOKUP($B3057,Keys!$A:$B,2,FALSE),_xlfn.IFNA(VLOOKUP($B3057,Keys!$D:$E,2,FALSE),VLOOKUP($B3057,Keys!$G:$H,2,FALSE)))</f>
        <v>0x00000021C1221248</v>
      </c>
      <c r="B3057" s="5" t="s">
        <v>8254</v>
      </c>
      <c r="C3057" s="5" t="s">
        <v>9467</v>
      </c>
      <c r="D3057" s="5" t="s">
        <v>16862</v>
      </c>
      <c r="E3057" s="5"/>
      <c r="F3057" s="5" t="s">
        <v>8971</v>
      </c>
      <c r="G3057" s="1"/>
      <c r="H3057" s="1"/>
      <c r="I3057" s="1"/>
      <c r="J3057" s="2"/>
      <c r="K3057" s="5" t="s">
        <v>8971</v>
      </c>
      <c r="M3057" s="18"/>
      <c r="N3057" s="1"/>
      <c r="O3057" s="1"/>
      <c r="P3057" s="21" t="str">
        <f>IF(ISNUMBER(MATCH($C3057,StackableKinds,0)), TRUE, "")</f>
        <v/>
      </c>
    </row>
    <row r="3058" spans="1:16" x14ac:dyDescent="0.2">
      <c r="A3058" s="19" t="str">
        <f>_xlfn.IFNA(VLOOKUP($B3058,Keys!$A:$B,2,FALSE),_xlfn.IFNA(VLOOKUP($B3058,Keys!$D:$E,2,FALSE),VLOOKUP($B3058,Keys!$G:$H,2,FALSE)))</f>
        <v>0x000000210EBFF704</v>
      </c>
      <c r="B3058" s="5" t="s">
        <v>8256</v>
      </c>
      <c r="C3058" s="5" t="s">
        <v>9467</v>
      </c>
      <c r="D3058" s="5" t="s">
        <v>16862</v>
      </c>
      <c r="E3058" s="5"/>
      <c r="F3058" s="5" t="s">
        <v>8971</v>
      </c>
      <c r="G3058" s="1"/>
      <c r="H3058" s="1"/>
      <c r="I3058" s="1"/>
      <c r="J3058" s="2"/>
      <c r="K3058" s="5" t="s">
        <v>8971</v>
      </c>
      <c r="M3058" s="18"/>
      <c r="N3058" s="1"/>
      <c r="O3058" s="1"/>
      <c r="P3058" s="21" t="str">
        <f>IF(ISNUMBER(MATCH($C3058,StackableKinds,0)), TRUE, "")</f>
        <v/>
      </c>
    </row>
    <row r="3059" spans="1:16" x14ac:dyDescent="0.2">
      <c r="A3059" s="19" t="str">
        <f>_xlfn.IFNA(VLOOKUP($B3059,Keys!$A:$B,2,FALSE),_xlfn.IFNA(VLOOKUP($B3059,Keys!$D:$E,2,FALSE),VLOOKUP($B3059,Keys!$G:$H,2,FALSE)))</f>
        <v>0x000000223D156363</v>
      </c>
      <c r="B3059" s="5" t="s">
        <v>8258</v>
      </c>
      <c r="C3059" s="5" t="s">
        <v>9467</v>
      </c>
      <c r="D3059" s="5" t="s">
        <v>16862</v>
      </c>
      <c r="E3059" s="5"/>
      <c r="F3059" s="5" t="s">
        <v>8971</v>
      </c>
      <c r="G3059" s="1"/>
      <c r="H3059" s="1"/>
      <c r="I3059" s="1"/>
      <c r="J3059" s="2"/>
      <c r="K3059" s="5" t="s">
        <v>8971</v>
      </c>
      <c r="M3059" s="18"/>
      <c r="N3059" s="1"/>
      <c r="O3059" s="1"/>
      <c r="P3059" s="21" t="str">
        <f>IF(ISNUMBER(MATCH($C3059,StackableKinds,0)), TRUE, "")</f>
        <v/>
      </c>
    </row>
    <row r="3060" spans="1:16" x14ac:dyDescent="0.2">
      <c r="A3060" s="19" t="str">
        <f>_xlfn.IFNA(VLOOKUP($B3060,Keys!$A:$B,2,FALSE),_xlfn.IFNA(VLOOKUP($B3060,Keys!$D:$E,2,FALSE),VLOOKUP($B3060,Keys!$G:$H,2,FALSE)))</f>
        <v>0x0000001FE3238179</v>
      </c>
      <c r="B3060" s="5" t="s">
        <v>8260</v>
      </c>
      <c r="C3060" s="5" t="s">
        <v>9467</v>
      </c>
      <c r="D3060" s="5" t="s">
        <v>16862</v>
      </c>
      <c r="E3060" s="5"/>
      <c r="F3060" s="5" t="s">
        <v>8971</v>
      </c>
      <c r="G3060" s="1"/>
      <c r="H3060" s="1"/>
      <c r="I3060" s="1"/>
      <c r="J3060" s="2"/>
      <c r="K3060" s="5" t="s">
        <v>8971</v>
      </c>
      <c r="M3060" s="18"/>
      <c r="N3060" s="1"/>
      <c r="O3060" s="1"/>
      <c r="P3060" s="21" t="str">
        <f>IF(ISNUMBER(MATCH($C3060,StackableKinds,0)), TRUE, "")</f>
        <v/>
      </c>
    </row>
    <row r="3061" spans="1:16" x14ac:dyDescent="0.2">
      <c r="A3061" s="19" t="str">
        <f>_xlfn.IFNA(VLOOKUP($B3061,Keys!$A:$B,2,FALSE),_xlfn.IFNA(VLOOKUP($B3061,Keys!$D:$E,2,FALSE),VLOOKUP($B3061,Keys!$G:$H,2,FALSE)))</f>
        <v>0x00000022C5D728D5</v>
      </c>
      <c r="B3061" s="5" t="s">
        <v>8262</v>
      </c>
      <c r="C3061" s="5" t="s">
        <v>9467</v>
      </c>
      <c r="D3061" s="5" t="s">
        <v>16862</v>
      </c>
      <c r="E3061" s="5"/>
      <c r="F3061" s="5" t="s">
        <v>8971</v>
      </c>
      <c r="G3061" s="1"/>
      <c r="H3061" s="1"/>
      <c r="I3061" s="1"/>
      <c r="J3061" s="2"/>
      <c r="K3061" s="5" t="s">
        <v>8971</v>
      </c>
      <c r="M3061" s="18"/>
      <c r="N3061" s="1"/>
      <c r="O3061" s="1"/>
      <c r="P3061" s="21" t="str">
        <f>IF(ISNUMBER(MATCH($C3061,StackableKinds,0)), TRUE, "")</f>
        <v/>
      </c>
    </row>
    <row r="3062" spans="1:16" x14ac:dyDescent="0.2">
      <c r="A3062" s="19" t="str">
        <f>_xlfn.IFNA(VLOOKUP($B3062,Keys!$A:$B,2,FALSE),_xlfn.IFNA(VLOOKUP($B3062,Keys!$D:$E,2,FALSE),VLOOKUP($B3062,Keys!$G:$H,2,FALSE)))</f>
        <v>0x000000225CDE796F</v>
      </c>
      <c r="B3062" s="5" t="s">
        <v>8264</v>
      </c>
      <c r="C3062" s="5" t="s">
        <v>9467</v>
      </c>
      <c r="D3062" s="5" t="s">
        <v>16862</v>
      </c>
      <c r="E3062" s="5"/>
      <c r="F3062" s="5" t="s">
        <v>8971</v>
      </c>
      <c r="G3062" s="1"/>
      <c r="H3062" s="1"/>
      <c r="I3062" s="1"/>
      <c r="J3062" s="2"/>
      <c r="K3062" s="5" t="s">
        <v>8971</v>
      </c>
      <c r="M3062" s="18"/>
      <c r="N3062" s="1"/>
      <c r="O3062" s="1"/>
      <c r="P3062" s="21" t="str">
        <f>IF(ISNUMBER(MATCH($C3062,StackableKinds,0)), TRUE, "")</f>
        <v/>
      </c>
    </row>
    <row r="3063" spans="1:16" x14ac:dyDescent="0.2">
      <c r="A3063" s="19" t="str">
        <f>_xlfn.IFNA(VLOOKUP($B3063,Keys!$A:$B,2,FALSE),_xlfn.IFNA(VLOOKUP($B3063,Keys!$D:$E,2,FALSE),VLOOKUP($B3063,Keys!$G:$H,2,FALSE)))</f>
        <v>0x000000222BD949F9</v>
      </c>
      <c r="B3063" s="5" t="s">
        <v>8266</v>
      </c>
      <c r="C3063" s="5" t="s">
        <v>9467</v>
      </c>
      <c r="D3063" s="5" t="s">
        <v>16862</v>
      </c>
      <c r="E3063" s="5"/>
      <c r="F3063" s="5" t="s">
        <v>8971</v>
      </c>
      <c r="G3063" s="1"/>
      <c r="H3063" s="1"/>
      <c r="I3063" s="1"/>
      <c r="J3063" s="2"/>
      <c r="K3063" s="5" t="s">
        <v>8971</v>
      </c>
      <c r="M3063" s="18"/>
      <c r="N3063" s="1"/>
      <c r="O3063" s="1"/>
      <c r="P3063" s="21" t="str">
        <f>IF(ISNUMBER(MATCH($C3063,StackableKinds,0)), TRUE, "")</f>
        <v/>
      </c>
    </row>
    <row r="3064" spans="1:16" x14ac:dyDescent="0.2">
      <c r="A3064" s="19" t="str">
        <f>_xlfn.IFNA(VLOOKUP($B3064,Keys!$A:$B,2,FALSE),_xlfn.IFNA(VLOOKUP($B3064,Keys!$D:$E,2,FALSE),VLOOKUP($B3064,Keys!$G:$H,2,FALSE)))</f>
        <v>0x0000001E1F525CAA</v>
      </c>
      <c r="B3064" s="5" t="s">
        <v>8268</v>
      </c>
      <c r="C3064" s="5" t="s">
        <v>9467</v>
      </c>
      <c r="D3064" s="5" t="s">
        <v>16862</v>
      </c>
      <c r="E3064" s="5"/>
      <c r="F3064" s="5" t="s">
        <v>8971</v>
      </c>
      <c r="G3064" s="1"/>
      <c r="H3064" s="1"/>
      <c r="I3064" s="1"/>
      <c r="J3064" s="2"/>
      <c r="K3064" s="5" t="s">
        <v>8971</v>
      </c>
      <c r="M3064" s="18"/>
      <c r="N3064" s="1"/>
      <c r="O3064" s="1"/>
      <c r="P3064" s="21" t="str">
        <f>IF(ISNUMBER(MATCH($C3064,StackableKinds,0)), TRUE, "")</f>
        <v/>
      </c>
    </row>
    <row r="3065" spans="1:16" x14ac:dyDescent="0.2">
      <c r="A3065" s="19" t="str">
        <f>_xlfn.IFNA(VLOOKUP($B3065,Keys!$A:$B,2,FALSE),_xlfn.IFNA(VLOOKUP($B3065,Keys!$D:$E,2,FALSE),VLOOKUP($B3065,Keys!$G:$H,2,FALSE)))</f>
        <v>0x0000001E473EE56B</v>
      </c>
      <c r="B3065" s="5" t="s">
        <v>8270</v>
      </c>
      <c r="C3065" s="5" t="s">
        <v>9467</v>
      </c>
      <c r="D3065" s="5" t="s">
        <v>16862</v>
      </c>
      <c r="E3065" s="5"/>
      <c r="F3065" s="5" t="s">
        <v>8971</v>
      </c>
      <c r="G3065" s="1"/>
      <c r="H3065" s="1"/>
      <c r="I3065" s="1"/>
      <c r="J3065" s="2"/>
      <c r="K3065" s="5" t="s">
        <v>8971</v>
      </c>
      <c r="M3065" s="18"/>
      <c r="N3065" s="1"/>
      <c r="O3065" s="1"/>
      <c r="P3065" s="21" t="str">
        <f>IF(ISNUMBER(MATCH($C3065,StackableKinds,0)), TRUE, "")</f>
        <v/>
      </c>
    </row>
    <row r="3066" spans="1:16" x14ac:dyDescent="0.2">
      <c r="A3066" s="19" t="str">
        <f>_xlfn.IFNA(VLOOKUP($B3066,Keys!$A:$B,2,FALSE),_xlfn.IFNA(VLOOKUP($B3066,Keys!$D:$E,2,FALSE),VLOOKUP($B3066,Keys!$G:$H,2,FALSE)))</f>
        <v>0x0000001EDE37B4D1</v>
      </c>
      <c r="B3066" s="5" t="s">
        <v>8272</v>
      </c>
      <c r="C3066" s="5" t="s">
        <v>9467</v>
      </c>
      <c r="D3066" s="5" t="s">
        <v>16862</v>
      </c>
      <c r="E3066" s="5"/>
      <c r="F3066" s="5" t="s">
        <v>8971</v>
      </c>
      <c r="G3066" s="1"/>
      <c r="H3066" s="1"/>
      <c r="I3066" s="1"/>
      <c r="J3066" s="2"/>
      <c r="K3066" s="5" t="s">
        <v>8971</v>
      </c>
      <c r="M3066" s="18"/>
      <c r="N3066" s="1"/>
      <c r="O3066" s="1"/>
      <c r="P3066" s="21" t="str">
        <f>IF(ISNUMBER(MATCH($C3066,StackableKinds,0)), TRUE, "")</f>
        <v/>
      </c>
    </row>
    <row r="3067" spans="1:16" x14ac:dyDescent="0.2">
      <c r="A3067" s="19" t="str">
        <f>_xlfn.IFNA(VLOOKUP($B3067,Keys!$A:$B,2,FALSE),_xlfn.IFNA(VLOOKUP($B3067,Keys!$D:$E,2,FALSE),VLOOKUP($B3067,Keys!$G:$H,2,FALSE)))</f>
        <v>0x0000002037021EDB</v>
      </c>
      <c r="B3067" s="5" t="s">
        <v>8274</v>
      </c>
      <c r="C3067" s="5" t="s">
        <v>9467</v>
      </c>
      <c r="D3067" s="5" t="s">
        <v>16862</v>
      </c>
      <c r="E3067" s="5"/>
      <c r="F3067" s="5" t="s">
        <v>8971</v>
      </c>
      <c r="G3067" s="1"/>
      <c r="H3067" s="1"/>
      <c r="I3067" s="1"/>
      <c r="J3067" s="2"/>
      <c r="K3067" s="5" t="s">
        <v>8971</v>
      </c>
      <c r="M3067" s="18"/>
      <c r="N3067" s="1"/>
      <c r="O3067" s="1"/>
      <c r="P3067" s="21" t="str">
        <f>IF(ISNUMBER(MATCH($C3067,StackableKinds,0)), TRUE, "")</f>
        <v/>
      </c>
    </row>
    <row r="3068" spans="1:16" x14ac:dyDescent="0.2">
      <c r="A3068" s="19" t="str">
        <f>_xlfn.IFNA(VLOOKUP($B3068,Keys!$A:$B,2,FALSE),_xlfn.IFNA(VLOOKUP($B3068,Keys!$D:$E,2,FALSE),VLOOKUP($B3068,Keys!$G:$H,2,FALSE)))</f>
        <v>0x0000001F7A32BEFC</v>
      </c>
      <c r="B3068" s="5" t="s">
        <v>8276</v>
      </c>
      <c r="C3068" s="5" t="s">
        <v>9467</v>
      </c>
      <c r="D3068" s="5" t="s">
        <v>16862</v>
      </c>
      <c r="E3068" s="5"/>
      <c r="F3068" s="5" t="s">
        <v>8971</v>
      </c>
      <c r="G3068" s="1"/>
      <c r="H3068" s="1"/>
      <c r="I3068" s="1"/>
      <c r="J3068" s="2"/>
      <c r="K3068" s="5" t="s">
        <v>8971</v>
      </c>
      <c r="M3068" s="18"/>
      <c r="N3068" s="1"/>
      <c r="O3068" s="1"/>
      <c r="P3068" s="21" t="str">
        <f>IF(ISNUMBER(MATCH($C3068,StackableKinds,0)), TRUE, "")</f>
        <v/>
      </c>
    </row>
    <row r="3069" spans="1:16" x14ac:dyDescent="0.2">
      <c r="A3069" s="19" t="str">
        <f>_xlfn.IFNA(VLOOKUP($B3069,Keys!$A:$B,2,FALSE),_xlfn.IFNA(VLOOKUP($B3069,Keys!$D:$E,2,FALSE),VLOOKUP($B3069,Keys!$G:$H,2,FALSE)))</f>
        <v>0x0000001E36694929</v>
      </c>
      <c r="B3069" s="5" t="s">
        <v>8278</v>
      </c>
      <c r="C3069" s="5" t="s">
        <v>9467</v>
      </c>
      <c r="D3069" s="5" t="s">
        <v>16862</v>
      </c>
      <c r="E3069" s="5"/>
      <c r="F3069" s="5" t="s">
        <v>8971</v>
      </c>
      <c r="G3069" s="1"/>
      <c r="H3069" s="1"/>
      <c r="I3069" s="1"/>
      <c r="J3069" s="2"/>
      <c r="K3069" s="5" t="s">
        <v>8971</v>
      </c>
      <c r="M3069" s="18"/>
      <c r="N3069" s="1"/>
      <c r="O3069" s="1"/>
      <c r="P3069" s="21" t="str">
        <f>IF(ISNUMBER(MATCH($C3069,StackableKinds,0)), TRUE, "")</f>
        <v/>
      </c>
    </row>
    <row r="3070" spans="1:16" x14ac:dyDescent="0.2">
      <c r="A3070" s="19" t="str">
        <f>_xlfn.IFNA(VLOOKUP($B3070,Keys!$A:$B,2,FALSE),_xlfn.IFNA(VLOOKUP($B3070,Keys!$D:$E,2,FALSE),VLOOKUP($B3070,Keys!$G:$H,2,FALSE)))</f>
        <v>0x0000001ED8672805</v>
      </c>
      <c r="B3070" s="5" t="s">
        <v>8280</v>
      </c>
      <c r="C3070" s="5" t="s">
        <v>9467</v>
      </c>
      <c r="D3070" s="5" t="s">
        <v>16862</v>
      </c>
      <c r="E3070" s="5"/>
      <c r="F3070" s="5" t="s">
        <v>8971</v>
      </c>
      <c r="G3070" s="1"/>
      <c r="H3070" s="1"/>
      <c r="I3070" s="1"/>
      <c r="J3070" s="2"/>
      <c r="K3070" s="5" t="s">
        <v>8971</v>
      </c>
      <c r="M3070" s="18"/>
      <c r="N3070" s="1"/>
      <c r="O3070" s="1"/>
      <c r="P3070" s="21" t="str">
        <f>IF(ISNUMBER(MATCH($C3070,StackableKinds,0)), TRUE, "")</f>
        <v/>
      </c>
    </row>
    <row r="3071" spans="1:16" x14ac:dyDescent="0.2">
      <c r="A3071" s="19" t="str">
        <f>_xlfn.IFNA(VLOOKUP($B3071,Keys!$A:$B,2,FALSE),_xlfn.IFNA(VLOOKUP($B3071,Keys!$D:$E,2,FALSE),VLOOKUP($B3071,Keys!$G:$H,2,FALSE)))</f>
        <v>0x0000001ED50895F2</v>
      </c>
      <c r="B3071" s="5" t="s">
        <v>8282</v>
      </c>
      <c r="C3071" s="5" t="s">
        <v>9467</v>
      </c>
      <c r="D3071" s="5" t="s">
        <v>16862</v>
      </c>
      <c r="E3071" s="5"/>
      <c r="F3071" s="5" t="s">
        <v>8971</v>
      </c>
      <c r="G3071" s="1"/>
      <c r="H3071" s="1"/>
      <c r="I3071" s="1"/>
      <c r="J3071" s="2"/>
      <c r="K3071" s="5" t="s">
        <v>8971</v>
      </c>
      <c r="M3071" s="18"/>
      <c r="N3071" s="1"/>
      <c r="O3071" s="1"/>
      <c r="P3071" s="21" t="str">
        <f>IF(ISNUMBER(MATCH($C3071,StackableKinds,0)), TRUE, "")</f>
        <v/>
      </c>
    </row>
    <row r="3072" spans="1:16" x14ac:dyDescent="0.2">
      <c r="A3072" s="19" t="str">
        <f>_xlfn.IFNA(VLOOKUP($B3072,Keys!$A:$B,2,FALSE),_xlfn.IFNA(VLOOKUP($B3072,Keys!$D:$E,2,FALSE),VLOOKUP($B3072,Keys!$G:$H,2,FALSE)))</f>
        <v>0x0000001E4CEAF3F3</v>
      </c>
      <c r="B3072" s="5" t="s">
        <v>8284</v>
      </c>
      <c r="C3072" s="5" t="s">
        <v>9467</v>
      </c>
      <c r="D3072" s="5" t="s">
        <v>16862</v>
      </c>
      <c r="E3072" s="5"/>
      <c r="F3072" s="5" t="s">
        <v>8971</v>
      </c>
      <c r="G3072" s="1"/>
      <c r="H3072" s="1"/>
      <c r="I3072" s="1"/>
      <c r="J3072" s="2"/>
      <c r="K3072" s="5" t="s">
        <v>8971</v>
      </c>
      <c r="M3072" s="18"/>
      <c r="N3072" s="1"/>
      <c r="O3072" s="1"/>
      <c r="P3072" s="21" t="str">
        <f>IF(ISNUMBER(MATCH($C3072,StackableKinds,0)), TRUE, "")</f>
        <v/>
      </c>
    </row>
    <row r="3073" spans="1:16" x14ac:dyDescent="0.2">
      <c r="A3073" s="19" t="str">
        <f>_xlfn.IFNA(VLOOKUP($B3073,Keys!$A:$B,2,FALSE),_xlfn.IFNA(VLOOKUP($B3073,Keys!$D:$E,2,FALSE),VLOOKUP($B3073,Keys!$G:$H,2,FALSE)))</f>
        <v>0x0000001ED5E3A249</v>
      </c>
      <c r="B3073" s="5" t="s">
        <v>8286</v>
      </c>
      <c r="C3073" s="5" t="s">
        <v>9467</v>
      </c>
      <c r="D3073" s="5" t="s">
        <v>16862</v>
      </c>
      <c r="E3073" s="5"/>
      <c r="F3073" s="5" t="s">
        <v>8971</v>
      </c>
      <c r="G3073" s="1"/>
      <c r="H3073" s="1"/>
      <c r="I3073" s="1"/>
      <c r="J3073" s="2"/>
      <c r="K3073" s="5" t="s">
        <v>8971</v>
      </c>
      <c r="M3073" s="18"/>
      <c r="N3073" s="1"/>
      <c r="O3073" s="1"/>
      <c r="P3073" s="21" t="str">
        <f>IF(ISNUMBER(MATCH($C3073,StackableKinds,0)), TRUE, "")</f>
        <v/>
      </c>
    </row>
    <row r="3074" spans="1:16" x14ac:dyDescent="0.2">
      <c r="A3074" s="19" t="str">
        <f>_xlfn.IFNA(VLOOKUP($B3074,Keys!$A:$B,2,FALSE),_xlfn.IFNA(VLOOKUP($B3074,Keys!$D:$E,2,FALSE),VLOOKUP($B3074,Keys!$G:$H,2,FALSE)))</f>
        <v>0x0000001E8D642C33</v>
      </c>
      <c r="B3074" s="5" t="s">
        <v>8288</v>
      </c>
      <c r="C3074" s="5" t="s">
        <v>9467</v>
      </c>
      <c r="D3074" s="5" t="s">
        <v>16862</v>
      </c>
      <c r="E3074" s="5"/>
      <c r="F3074" s="5" t="s">
        <v>8971</v>
      </c>
      <c r="G3074" s="1"/>
      <c r="H3074" s="1"/>
      <c r="I3074" s="1"/>
      <c r="J3074" s="2"/>
      <c r="K3074" s="5" t="s">
        <v>8971</v>
      </c>
      <c r="M3074" s="18"/>
      <c r="N3074" s="1"/>
      <c r="O3074" s="1"/>
      <c r="P3074" s="21" t="str">
        <f>IF(ISNUMBER(MATCH($C3074,StackableKinds,0)), TRUE, "")</f>
        <v/>
      </c>
    </row>
    <row r="3075" spans="1:16" x14ac:dyDescent="0.2">
      <c r="A3075" s="19" t="str">
        <f>_xlfn.IFNA(VLOOKUP($B3075,Keys!$A:$B,2,FALSE),_xlfn.IFNA(VLOOKUP($B3075,Keys!$D:$E,2,FALSE),VLOOKUP($B3075,Keys!$G:$H,2,FALSE)))</f>
        <v>0x0000001E0D21B4E8</v>
      </c>
      <c r="B3075" s="5" t="s">
        <v>8290</v>
      </c>
      <c r="C3075" s="5" t="s">
        <v>9467</v>
      </c>
      <c r="D3075" s="5" t="s">
        <v>16862</v>
      </c>
      <c r="E3075" s="5"/>
      <c r="F3075" s="5" t="s">
        <v>8971</v>
      </c>
      <c r="G3075" s="1"/>
      <c r="H3075" s="1"/>
      <c r="I3075" s="1"/>
      <c r="J3075" s="2"/>
      <c r="K3075" s="5" t="s">
        <v>8971</v>
      </c>
      <c r="M3075" s="18"/>
      <c r="N3075" s="1"/>
      <c r="O3075" s="1"/>
      <c r="P3075" s="21" t="str">
        <f>IF(ISNUMBER(MATCH($C3075,StackableKinds,0)), TRUE, "")</f>
        <v/>
      </c>
    </row>
    <row r="3076" spans="1:16" x14ac:dyDescent="0.2">
      <c r="A3076" s="19" t="str">
        <f>_xlfn.IFNA(VLOOKUP($B3076,Keys!$A:$B,2,FALSE),_xlfn.IFNA(VLOOKUP($B3076,Keys!$D:$E,2,FALSE),VLOOKUP($B3076,Keys!$G:$H,2,FALSE)))</f>
        <v>0x0000001EA45F39B0</v>
      </c>
      <c r="B3076" s="5" t="s">
        <v>8292</v>
      </c>
      <c r="C3076" s="5" t="s">
        <v>9467</v>
      </c>
      <c r="D3076" s="5" t="s">
        <v>16862</v>
      </c>
      <c r="E3076" s="5"/>
      <c r="F3076" s="5" t="s">
        <v>8971</v>
      </c>
      <c r="G3076" s="1"/>
      <c r="H3076" s="1"/>
      <c r="I3076" s="1"/>
      <c r="J3076" s="2"/>
      <c r="K3076" s="5" t="s">
        <v>8971</v>
      </c>
      <c r="M3076" s="18"/>
      <c r="N3076" s="1"/>
      <c r="O3076" s="1"/>
      <c r="P3076" s="21" t="str">
        <f>IF(ISNUMBER(MATCH($C3076,StackableKinds,0)), TRUE, "")</f>
        <v/>
      </c>
    </row>
    <row r="3077" spans="1:16" x14ac:dyDescent="0.2">
      <c r="A3077" s="19" t="str">
        <f>_xlfn.IFNA(VLOOKUP($B3077,Keys!$A:$B,2,FALSE),_xlfn.IFNA(VLOOKUP($B3077,Keys!$D:$E,2,FALSE),VLOOKUP($B3077,Keys!$G:$H,2,FALSE)))</f>
        <v>0x0000001ECCAF6B28</v>
      </c>
      <c r="B3077" s="5" t="s">
        <v>8294</v>
      </c>
      <c r="C3077" s="5" t="s">
        <v>9467</v>
      </c>
      <c r="D3077" s="5" t="s">
        <v>16862</v>
      </c>
      <c r="E3077" s="5"/>
      <c r="F3077" s="5" t="s">
        <v>8971</v>
      </c>
      <c r="G3077" s="1"/>
      <c r="H3077" s="1"/>
      <c r="I3077" s="1"/>
      <c r="J3077" s="2"/>
      <c r="K3077" s="5" t="s">
        <v>8971</v>
      </c>
      <c r="M3077" s="18"/>
      <c r="N3077" s="1"/>
      <c r="O3077" s="1"/>
      <c r="P3077" s="21" t="str">
        <f>IF(ISNUMBER(MATCH($C3077,StackableKinds,0)), TRUE, "")</f>
        <v/>
      </c>
    </row>
    <row r="3078" spans="1:16" x14ac:dyDescent="0.2">
      <c r="A3078" s="19" t="str">
        <f>_xlfn.IFNA(VLOOKUP($B3078,Keys!$A:$B,2,FALSE),_xlfn.IFNA(VLOOKUP($B3078,Keys!$D:$E,2,FALSE),VLOOKUP($B3078,Keys!$G:$H,2,FALSE)))</f>
        <v>0x0000001E65D1E670</v>
      </c>
      <c r="B3078" s="5" t="s">
        <v>8296</v>
      </c>
      <c r="C3078" s="5" t="s">
        <v>9467</v>
      </c>
      <c r="D3078" s="5" t="s">
        <v>16862</v>
      </c>
      <c r="E3078" s="5"/>
      <c r="F3078" s="5" t="s">
        <v>8971</v>
      </c>
      <c r="G3078" s="1"/>
      <c r="H3078" s="1"/>
      <c r="I3078" s="1"/>
      <c r="J3078" s="2"/>
      <c r="K3078" s="5" t="s">
        <v>8971</v>
      </c>
      <c r="M3078" s="18"/>
      <c r="N3078" s="1"/>
      <c r="O3078" s="1"/>
      <c r="P3078" s="21" t="str">
        <f>IF(ISNUMBER(MATCH($C3078,StackableKinds,0)), TRUE, "")</f>
        <v/>
      </c>
    </row>
    <row r="3079" spans="1:16" x14ac:dyDescent="0.2">
      <c r="A3079" s="19" t="str">
        <f>_xlfn.IFNA(VLOOKUP($B3079,Keys!$A:$B,2,FALSE),_xlfn.IFNA(VLOOKUP($B3079,Keys!$D:$E,2,FALSE),VLOOKUP($B3079,Keys!$G:$H,2,FALSE)))</f>
        <v>0x0000001EFCD8B7CA</v>
      </c>
      <c r="B3079" s="5" t="s">
        <v>8298</v>
      </c>
      <c r="C3079" s="5" t="s">
        <v>9467</v>
      </c>
      <c r="D3079" s="5" t="s">
        <v>16862</v>
      </c>
      <c r="E3079" s="5"/>
      <c r="F3079" s="5" t="s">
        <v>8971</v>
      </c>
      <c r="G3079" s="1"/>
      <c r="H3079" s="1"/>
      <c r="I3079" s="1"/>
      <c r="J3079" s="2"/>
      <c r="K3079" s="5" t="s">
        <v>8971</v>
      </c>
      <c r="M3079" s="18"/>
      <c r="N3079" s="1"/>
      <c r="O3079" s="1"/>
      <c r="P3079" s="21" t="str">
        <f>IF(ISNUMBER(MATCH($C3079,StackableKinds,0)), TRUE, "")</f>
        <v/>
      </c>
    </row>
    <row r="3080" spans="1:16" x14ac:dyDescent="0.2">
      <c r="A3080" s="19" t="str">
        <f>_xlfn.IFNA(VLOOKUP($B3080,Keys!$A:$B,2,FALSE),_xlfn.IFNA(VLOOKUP($B3080,Keys!$D:$E,2,FALSE),VLOOKUP($B3080,Keys!$G:$H,2,FALSE)))</f>
        <v>0x0000001E5788D77B</v>
      </c>
      <c r="B3080" s="5" t="s">
        <v>8300</v>
      </c>
      <c r="C3080" s="5" t="s">
        <v>9467</v>
      </c>
      <c r="D3080" s="5" t="s">
        <v>16862</v>
      </c>
      <c r="E3080" s="5"/>
      <c r="F3080" s="5" t="s">
        <v>8971</v>
      </c>
      <c r="G3080" s="1"/>
      <c r="H3080" s="1"/>
      <c r="I3080" s="1"/>
      <c r="J3080" s="2"/>
      <c r="K3080" s="5" t="s">
        <v>8971</v>
      </c>
      <c r="M3080" s="18"/>
      <c r="N3080" s="1"/>
      <c r="O3080" s="1"/>
      <c r="P3080" s="21" t="str">
        <f>IF(ISNUMBER(MATCH($C3080,StackableKinds,0)), TRUE, "")</f>
        <v/>
      </c>
    </row>
    <row r="3081" spans="1:16" x14ac:dyDescent="0.2">
      <c r="A3081" s="19" t="str">
        <f>_xlfn.IFNA(VLOOKUP($B3081,Keys!$A:$B,2,FALSE),_xlfn.IFNA(VLOOKUP($B3081,Keys!$D:$E,2,FALSE),VLOOKUP($B3081,Keys!$G:$H,2,FALSE)))</f>
        <v>0x0000001EFC338071</v>
      </c>
      <c r="B3081" s="5" t="s">
        <v>8302</v>
      </c>
      <c r="C3081" s="5" t="s">
        <v>9467</v>
      </c>
      <c r="D3081" s="5" t="s">
        <v>16862</v>
      </c>
      <c r="E3081" s="5"/>
      <c r="F3081" s="5" t="s">
        <v>8971</v>
      </c>
      <c r="G3081" s="1"/>
      <c r="H3081" s="1"/>
      <c r="I3081" s="1"/>
      <c r="J3081" s="2"/>
      <c r="K3081" s="5" t="s">
        <v>8971</v>
      </c>
      <c r="M3081" s="18"/>
      <c r="N3081" s="1"/>
      <c r="O3081" s="1"/>
      <c r="P3081" s="21" t="str">
        <f>IF(ISNUMBER(MATCH($C3081,StackableKinds,0)), TRUE, "")</f>
        <v/>
      </c>
    </row>
    <row r="3082" spans="1:16" x14ac:dyDescent="0.2">
      <c r="A3082" s="19" t="str">
        <f>_xlfn.IFNA(VLOOKUP($B3082,Keys!$A:$B,2,FALSE),_xlfn.IFNA(VLOOKUP($B3082,Keys!$D:$E,2,FALSE),VLOOKUP($B3082,Keys!$G:$H,2,FALSE)))</f>
        <v>0x0000001E653AD1CB</v>
      </c>
      <c r="B3082" s="5" t="s">
        <v>8304</v>
      </c>
      <c r="C3082" s="5" t="s">
        <v>9467</v>
      </c>
      <c r="D3082" s="5" t="s">
        <v>16862</v>
      </c>
      <c r="E3082" s="5"/>
      <c r="F3082" s="5" t="s">
        <v>8971</v>
      </c>
      <c r="G3082" s="1"/>
      <c r="H3082" s="1"/>
      <c r="I3082" s="1"/>
      <c r="J3082" s="2"/>
      <c r="K3082" s="5" t="s">
        <v>8971</v>
      </c>
      <c r="M3082" s="18"/>
      <c r="N3082" s="1"/>
      <c r="O3082" s="1"/>
      <c r="P3082" s="21" t="str">
        <f>IF(ISNUMBER(MATCH($C3082,StackableKinds,0)), TRUE, "")</f>
        <v/>
      </c>
    </row>
    <row r="3083" spans="1:16" x14ac:dyDescent="0.2">
      <c r="A3083" s="19" t="str">
        <f>_xlfn.IFNA(VLOOKUP($B3083,Keys!$A:$B,2,FALSE),_xlfn.IFNA(VLOOKUP($B3083,Keys!$D:$E,2,FALSE),VLOOKUP($B3083,Keys!$G:$H,2,FALSE)))</f>
        <v>0x0000001E123DE15D</v>
      </c>
      <c r="B3083" s="5" t="s">
        <v>8306</v>
      </c>
      <c r="C3083" s="5" t="s">
        <v>9467</v>
      </c>
      <c r="D3083" s="5" t="s">
        <v>16862</v>
      </c>
      <c r="E3083" s="5"/>
      <c r="F3083" s="5" t="s">
        <v>8971</v>
      </c>
      <c r="G3083" s="1"/>
      <c r="H3083" s="1"/>
      <c r="I3083" s="1"/>
      <c r="J3083" s="2"/>
      <c r="K3083" s="5" t="s">
        <v>8971</v>
      </c>
      <c r="M3083" s="18"/>
      <c r="N3083" s="1"/>
      <c r="O3083" s="1"/>
      <c r="P3083" s="21" t="str">
        <f>IF(ISNUMBER(MATCH($C3083,StackableKinds,0)), TRUE, "")</f>
        <v/>
      </c>
    </row>
    <row r="3084" spans="1:16" x14ac:dyDescent="0.2">
      <c r="A3084" s="19" t="str">
        <f>_xlfn.IFNA(VLOOKUP($B3084,Keys!$A:$B,2,FALSE),_xlfn.IFNA(VLOOKUP($B3084,Keys!$D:$E,2,FALSE),VLOOKUP($B3084,Keys!$G:$H,2,FALSE)))</f>
        <v>0x0000001E94C3D2E9</v>
      </c>
      <c r="B3084" s="5" t="s">
        <v>8308</v>
      </c>
      <c r="C3084" s="5" t="s">
        <v>9467</v>
      </c>
      <c r="D3084" s="5" t="s">
        <v>16862</v>
      </c>
      <c r="E3084" s="5"/>
      <c r="F3084" s="5" t="s">
        <v>8971</v>
      </c>
      <c r="G3084" s="1"/>
      <c r="H3084" s="1"/>
      <c r="I3084" s="1"/>
      <c r="J3084" s="2"/>
      <c r="K3084" s="5" t="s">
        <v>8971</v>
      </c>
      <c r="M3084" s="18"/>
      <c r="N3084" s="1"/>
      <c r="O3084" s="1"/>
      <c r="P3084" s="21" t="str">
        <f>IF(ISNUMBER(MATCH($C3084,StackableKinds,0)), TRUE, "")</f>
        <v/>
      </c>
    </row>
    <row r="3085" spans="1:16" x14ac:dyDescent="0.2">
      <c r="A3085" s="19" t="str">
        <f>_xlfn.IFNA(VLOOKUP($B3085,Keys!$A:$B,2,FALSE),_xlfn.IFNA(VLOOKUP($B3085,Keys!$D:$E,2,FALSE),VLOOKUP($B3085,Keys!$G:$H,2,FALSE)))</f>
        <v>0x0000001E3DBD5FB1</v>
      </c>
      <c r="B3085" s="5" t="s">
        <v>8310</v>
      </c>
      <c r="C3085" s="5" t="s">
        <v>9467</v>
      </c>
      <c r="D3085" s="5" t="s">
        <v>16862</v>
      </c>
      <c r="E3085" s="5"/>
      <c r="F3085" s="5" t="s">
        <v>8971</v>
      </c>
      <c r="G3085" s="1"/>
      <c r="H3085" s="1"/>
      <c r="I3085" s="1"/>
      <c r="J3085" s="2"/>
      <c r="K3085" s="5" t="s">
        <v>8971</v>
      </c>
      <c r="M3085" s="18"/>
      <c r="N3085" s="1"/>
      <c r="O3085" s="1"/>
      <c r="P3085" s="21" t="str">
        <f>IF(ISNUMBER(MATCH($C3085,StackableKinds,0)), TRUE, "")</f>
        <v/>
      </c>
    </row>
    <row r="3086" spans="1:16" x14ac:dyDescent="0.2">
      <c r="A3086" s="19" t="str">
        <f>_xlfn.IFNA(VLOOKUP($B3086,Keys!$A:$B,2,FALSE),_xlfn.IFNA(VLOOKUP($B3086,Keys!$D:$E,2,FALSE),VLOOKUP($B3086,Keys!$G:$H,2,FALSE)))</f>
        <v>0x0000001EA4B40E0B</v>
      </c>
      <c r="B3086" s="5" t="s">
        <v>8312</v>
      </c>
      <c r="C3086" s="5" t="s">
        <v>9467</v>
      </c>
      <c r="D3086" s="5" t="s">
        <v>16862</v>
      </c>
      <c r="E3086" s="5"/>
      <c r="F3086" s="5" t="s">
        <v>8971</v>
      </c>
      <c r="G3086" s="1"/>
      <c r="H3086" s="1"/>
      <c r="I3086" s="1"/>
      <c r="J3086" s="2"/>
      <c r="K3086" s="5" t="s">
        <v>8971</v>
      </c>
      <c r="M3086" s="18"/>
      <c r="N3086" s="1"/>
      <c r="O3086" s="1"/>
      <c r="P3086" s="21" t="str">
        <f>IF(ISNUMBER(MATCH($C3086,StackableKinds,0)), TRUE, "")</f>
        <v/>
      </c>
    </row>
    <row r="3087" spans="1:16" x14ac:dyDescent="0.2">
      <c r="A3087" s="19" t="str">
        <f>_xlfn.IFNA(VLOOKUP($B3087,Keys!$A:$B,2,FALSE),_xlfn.IFNA(VLOOKUP($B3087,Keys!$D:$E,2,FALSE),VLOOKUP($B3087,Keys!$G:$H,2,FALSE)))</f>
        <v>0x00000023E1208991</v>
      </c>
      <c r="B3087" s="5" t="s">
        <v>8314</v>
      </c>
      <c r="C3087" s="5" t="s">
        <v>9467</v>
      </c>
      <c r="D3087" s="5" t="s">
        <v>16862</v>
      </c>
      <c r="E3087" s="5"/>
      <c r="F3087" s="5" t="s">
        <v>8971</v>
      </c>
      <c r="G3087" s="1"/>
      <c r="H3087" s="1"/>
      <c r="I3087" s="1"/>
      <c r="J3087" s="2"/>
      <c r="K3087" s="5" t="s">
        <v>8971</v>
      </c>
      <c r="M3087" s="18"/>
      <c r="N3087" s="1"/>
      <c r="O3087" s="1"/>
      <c r="P3087" s="21" t="str">
        <f>IF(ISNUMBER(MATCH($C3087,StackableKinds,0)), TRUE, "")</f>
        <v/>
      </c>
    </row>
    <row r="3088" spans="1:16" x14ac:dyDescent="0.2">
      <c r="A3088" s="19" t="str">
        <f>_xlfn.IFNA(VLOOKUP($B3088,Keys!$A:$B,2,FALSE),_xlfn.IFNA(VLOOKUP($B3088,Keys!$D:$E,2,FALSE),VLOOKUP($B3088,Keys!$G:$H,2,FALSE)))</f>
        <v>0x00000027F5482FD7</v>
      </c>
      <c r="B3088" s="5" t="s">
        <v>8316</v>
      </c>
      <c r="C3088" s="5" t="s">
        <v>9467</v>
      </c>
      <c r="D3088" s="5" t="s">
        <v>16862</v>
      </c>
      <c r="E3088" s="5"/>
      <c r="F3088" s="5" t="s">
        <v>8971</v>
      </c>
      <c r="G3088" s="1"/>
      <c r="H3088" s="1"/>
      <c r="I3088" s="1"/>
      <c r="J3088" s="2"/>
      <c r="K3088" s="5" t="s">
        <v>8971</v>
      </c>
      <c r="M3088" s="18"/>
      <c r="N3088" s="1"/>
      <c r="O3088" s="1"/>
      <c r="P3088" s="21" t="str">
        <f>IF(ISNUMBER(MATCH($C3088,StackableKinds,0)), TRUE, "")</f>
        <v/>
      </c>
    </row>
    <row r="3089" spans="1:17" x14ac:dyDescent="0.2">
      <c r="A3089" s="19" t="str">
        <f>_xlfn.IFNA(VLOOKUP($B3089,Keys!$A:$B,2,FALSE),_xlfn.IFNA(VLOOKUP($B3089,Keys!$D:$E,2,FALSE),VLOOKUP($B3089,Keys!$G:$H,2,FALSE)))</f>
        <v>0x0000001E18EAD80C</v>
      </c>
      <c r="B3089" s="5" t="s">
        <v>8318</v>
      </c>
      <c r="C3089" s="5" t="s">
        <v>9467</v>
      </c>
      <c r="D3089" s="5" t="s">
        <v>16862</v>
      </c>
      <c r="E3089" s="5"/>
      <c r="F3089" s="5" t="s">
        <v>8971</v>
      </c>
      <c r="G3089" s="1"/>
      <c r="H3089" s="1"/>
      <c r="I3089" s="1"/>
      <c r="J3089" s="2"/>
      <c r="K3089" s="5" t="s">
        <v>8971</v>
      </c>
      <c r="M3089" s="18"/>
      <c r="N3089" s="1"/>
      <c r="O3089" s="1"/>
      <c r="P3089" s="21" t="str">
        <f>IF(ISNUMBER(MATCH($C3089,StackableKinds,0)), TRUE, "")</f>
        <v/>
      </c>
    </row>
    <row r="3090" spans="1:17" x14ac:dyDescent="0.2">
      <c r="A3090" s="19" t="str">
        <f>_xlfn.IFNA(VLOOKUP($B3090,Keys!$A:$B,2,FALSE),_xlfn.IFNA(VLOOKUP($B3090,Keys!$D:$E,2,FALSE),VLOOKUP($B3090,Keys!$G:$H,2,FALSE)))</f>
        <v>0x0000001C6EA0E685</v>
      </c>
      <c r="B3090" s="5" t="s">
        <v>8320</v>
      </c>
      <c r="C3090" s="5" t="s">
        <v>9467</v>
      </c>
      <c r="D3090" s="5" t="s">
        <v>16862</v>
      </c>
      <c r="E3090" s="5"/>
      <c r="F3090" s="5" t="s">
        <v>8971</v>
      </c>
      <c r="G3090" s="1"/>
      <c r="H3090" s="1"/>
      <c r="I3090" s="1"/>
      <c r="J3090" s="2"/>
      <c r="K3090" s="5" t="s">
        <v>8971</v>
      </c>
      <c r="M3090" s="18"/>
      <c r="N3090" s="1"/>
      <c r="O3090" s="1"/>
      <c r="P3090" s="21" t="str">
        <f>IF(ISNUMBER(MATCH($C3090,StackableKinds,0)), TRUE, "")</f>
        <v/>
      </c>
    </row>
    <row r="3091" spans="1:17" x14ac:dyDescent="0.2">
      <c r="A3091" s="19" t="str">
        <f>_xlfn.IFNA(VLOOKUP($B3091,Keys!$A:$B,2,FALSE),_xlfn.IFNA(VLOOKUP($B3091,Keys!$D:$E,2,FALSE),VLOOKUP($B3091,Keys!$G:$H,2,FALSE)))</f>
        <v>0x0000001E31D1CD8F</v>
      </c>
      <c r="B3091" s="5" t="s">
        <v>8324</v>
      </c>
      <c r="C3091" s="5" t="s">
        <v>9467</v>
      </c>
      <c r="D3091" s="5" t="s">
        <v>16862</v>
      </c>
      <c r="E3091" s="5"/>
      <c r="F3091" s="5" t="s">
        <v>8971</v>
      </c>
      <c r="G3091" s="1"/>
      <c r="H3091" s="1"/>
      <c r="I3091" s="1"/>
      <c r="J3091" s="2"/>
      <c r="K3091" s="5" t="s">
        <v>8971</v>
      </c>
      <c r="M3091" s="18"/>
      <c r="N3091" s="1"/>
      <c r="O3091" s="1"/>
      <c r="P3091" s="21" t="str">
        <f>IF(ISNUMBER(MATCH($C3091,StackableKinds,0)), TRUE, "")</f>
        <v/>
      </c>
    </row>
    <row r="3092" spans="1:17" x14ac:dyDescent="0.2">
      <c r="A3092" s="19" t="str">
        <f>_xlfn.IFNA(VLOOKUP($B3092,Keys!$A:$B,2,FALSE),_xlfn.IFNA(VLOOKUP($B3092,Keys!$D:$E,2,FALSE),VLOOKUP($B3092,Keys!$G:$H,2,FALSE)))</f>
        <v>0x0000001EA8D89C35</v>
      </c>
      <c r="B3092" s="5" t="s">
        <v>8326</v>
      </c>
      <c r="C3092" s="5" t="s">
        <v>9467</v>
      </c>
      <c r="D3092" s="5" t="s">
        <v>16862</v>
      </c>
      <c r="E3092" s="5"/>
      <c r="F3092" s="5" t="s">
        <v>8971</v>
      </c>
      <c r="G3092" s="1"/>
      <c r="H3092" s="1"/>
      <c r="I3092" s="1"/>
      <c r="J3092" s="2"/>
      <c r="K3092" s="5" t="s">
        <v>8971</v>
      </c>
      <c r="M3092" s="18"/>
      <c r="N3092" s="1"/>
      <c r="O3092" s="1"/>
      <c r="P3092" s="21" t="str">
        <f>IF(ISNUMBER(MATCH($C3092,StackableKinds,0)), TRUE, "")</f>
        <v/>
      </c>
    </row>
    <row r="3093" spans="1:17" x14ac:dyDescent="0.2">
      <c r="A3093" s="19" t="str">
        <f>_xlfn.IFNA(VLOOKUP($B3093,Keys!$A:$B,2,FALSE),_xlfn.IFNA(VLOOKUP($B3093,Keys!$D:$E,2,FALSE),VLOOKUP($B3093,Keys!$G:$H,2,FALSE)))</f>
        <v>0x0000001BE83CE13C</v>
      </c>
      <c r="B3093" s="5" t="s">
        <v>8328</v>
      </c>
      <c r="C3093" s="5" t="s">
        <v>9467</v>
      </c>
      <c r="D3093" s="5" t="s">
        <v>16862</v>
      </c>
      <c r="E3093" s="5"/>
      <c r="F3093" s="5" t="s">
        <v>8971</v>
      </c>
      <c r="G3093" s="1"/>
      <c r="H3093" s="1"/>
      <c r="I3093" s="1"/>
      <c r="J3093" s="2"/>
      <c r="K3093" s="5" t="s">
        <v>8971</v>
      </c>
      <c r="M3093" s="18"/>
      <c r="N3093" s="1"/>
      <c r="O3093" s="1"/>
      <c r="P3093" s="21" t="str">
        <f>IF(ISNUMBER(MATCH($C3093,StackableKinds,0)), TRUE, "")</f>
        <v/>
      </c>
    </row>
    <row r="3094" spans="1:17" x14ac:dyDescent="0.2">
      <c r="A3094" s="19" t="str">
        <f>_xlfn.IFNA(VLOOKUP($B3094,Keys!$A:$B,2,FALSE),_xlfn.IFNA(VLOOKUP($B3094,Keys!$D:$E,2,FALSE),VLOOKUP($B3094,Keys!$G:$H,2,FALSE)))</f>
        <v>0x0000001AD00D913B</v>
      </c>
      <c r="B3094" s="5" t="s">
        <v>8330</v>
      </c>
      <c r="C3094" s="5" t="s">
        <v>9467</v>
      </c>
      <c r="D3094" s="5" t="s">
        <v>16862</v>
      </c>
      <c r="E3094" s="5"/>
      <c r="F3094" s="5" t="s">
        <v>8971</v>
      </c>
      <c r="G3094" s="1"/>
      <c r="H3094" s="1"/>
      <c r="I3094" s="1"/>
      <c r="J3094" s="2"/>
      <c r="K3094" s="5" t="s">
        <v>8971</v>
      </c>
      <c r="M3094" s="18"/>
      <c r="N3094" s="1"/>
      <c r="O3094" s="1"/>
      <c r="P3094" s="21" t="str">
        <f>IF(ISNUMBER(MATCH($C3094,StackableKinds,0)), TRUE, "")</f>
        <v/>
      </c>
    </row>
    <row r="3095" spans="1:17" x14ac:dyDescent="0.2">
      <c r="A3095" s="19" t="str">
        <f>_xlfn.IFNA(VLOOKUP($B3095,Keys!$A:$B,2,FALSE),_xlfn.IFNA(VLOOKUP($B3095,Keys!$D:$E,2,FALSE),VLOOKUP($B3095,Keys!$G:$H,2,FALSE)))</f>
        <v>0x0000001E4C34B1E2</v>
      </c>
      <c r="B3095" s="5" t="s">
        <v>8332</v>
      </c>
      <c r="C3095" s="5" t="s">
        <v>9467</v>
      </c>
      <c r="D3095" s="5" t="s">
        <v>16862</v>
      </c>
      <c r="E3095" s="5"/>
      <c r="F3095" s="5" t="s">
        <v>8971</v>
      </c>
      <c r="G3095" s="1"/>
      <c r="H3095" s="1"/>
      <c r="I3095" s="1"/>
      <c r="J3095" s="2"/>
      <c r="K3095" s="5" t="s">
        <v>8971</v>
      </c>
      <c r="M3095" s="18"/>
      <c r="N3095" s="1"/>
      <c r="O3095" s="1"/>
      <c r="P3095" s="21" t="str">
        <f>IF(ISNUMBER(MATCH($C3095,StackableKinds,0)), TRUE, "")</f>
        <v/>
      </c>
    </row>
    <row r="3096" spans="1:17" x14ac:dyDescent="0.2">
      <c r="A3096" s="19" t="str">
        <f>_xlfn.IFNA(VLOOKUP($B3096,Keys!$A:$B,2,FALSE),_xlfn.IFNA(VLOOKUP($B3096,Keys!$D:$E,2,FALSE),VLOOKUP($B3096,Keys!$G:$H,2,FALSE)))</f>
        <v>0x0000001ED5D6D7E3</v>
      </c>
      <c r="B3096" s="5" t="s">
        <v>8334</v>
      </c>
      <c r="C3096" s="5" t="s">
        <v>9467</v>
      </c>
      <c r="D3096" s="5" t="s">
        <v>16862</v>
      </c>
      <c r="E3096" s="5"/>
      <c r="F3096" s="5" t="s">
        <v>8971</v>
      </c>
      <c r="G3096" s="1"/>
      <c r="H3096" s="1"/>
      <c r="I3096" s="1"/>
      <c r="J3096" s="2"/>
      <c r="K3096" s="5" t="s">
        <v>8971</v>
      </c>
      <c r="M3096" s="18"/>
      <c r="N3096" s="1"/>
      <c r="O3096" s="1"/>
      <c r="P3096" s="21" t="str">
        <f>IF(ISNUMBER(MATCH($C3096,StackableKinds,0)), TRUE, "")</f>
        <v/>
      </c>
    </row>
    <row r="3097" spans="1:17" x14ac:dyDescent="0.2">
      <c r="A3097" s="19" t="str">
        <f>_xlfn.IFNA(VLOOKUP($B3097,Keys!$A:$B,2,FALSE),_xlfn.IFNA(VLOOKUP($B3097,Keys!$D:$E,2,FALSE),VLOOKUP($B3097,Keys!$G:$H,2,FALSE)))</f>
        <v>0x0000001E14580823</v>
      </c>
      <c r="B3097" s="5" t="s">
        <v>8336</v>
      </c>
      <c r="C3097" s="5" t="s">
        <v>9467</v>
      </c>
      <c r="D3097" s="5" t="s">
        <v>16862</v>
      </c>
      <c r="E3097" s="5"/>
      <c r="F3097" s="5" t="s">
        <v>8971</v>
      </c>
      <c r="G3097" s="1"/>
      <c r="H3097" s="1"/>
      <c r="I3097" s="1"/>
      <c r="J3097" s="2"/>
      <c r="K3097" s="5" t="s">
        <v>8971</v>
      </c>
      <c r="M3097" s="18"/>
      <c r="N3097" s="1"/>
      <c r="O3097" s="1"/>
      <c r="P3097" s="21" t="str">
        <f>IF(ISNUMBER(MATCH($C3097,StackableKinds,0)), TRUE, "")</f>
        <v/>
      </c>
    </row>
    <row r="3098" spans="1:17" x14ac:dyDescent="0.2">
      <c r="A3098" s="19" t="str">
        <f>_xlfn.IFNA(VLOOKUP($B3098,Keys!$A:$B,2,FALSE),_xlfn.IFNA(VLOOKUP($B3098,Keys!$D:$E,2,FALSE),VLOOKUP($B3098,Keys!$G:$H,2,FALSE)))</f>
        <v>0x0000001E8D515999</v>
      </c>
      <c r="B3098" s="5" t="s">
        <v>8338</v>
      </c>
      <c r="C3098" s="5" t="s">
        <v>9467</v>
      </c>
      <c r="D3098" s="5" t="s">
        <v>16862</v>
      </c>
      <c r="E3098" s="5"/>
      <c r="F3098" s="5" t="s">
        <v>8971</v>
      </c>
      <c r="G3098" s="1"/>
      <c r="H3098" s="1"/>
      <c r="I3098" s="1"/>
      <c r="J3098" s="2"/>
      <c r="K3098" s="5" t="s">
        <v>8971</v>
      </c>
      <c r="M3098" s="18"/>
      <c r="N3098" s="1"/>
      <c r="O3098" s="1"/>
      <c r="P3098" s="21" t="str">
        <f>IF(ISNUMBER(MATCH($C3098,StackableKinds,0)), TRUE, "")</f>
        <v/>
      </c>
    </row>
    <row r="3099" spans="1:17" x14ac:dyDescent="0.2">
      <c r="A3099" s="19" t="str">
        <f>_xlfn.IFNA(VLOOKUP($B3099,Keys!$A:$B,2,FALSE),_xlfn.IFNA(VLOOKUP($B3099,Keys!$D:$E,2,FALSE),VLOOKUP($B3099,Keys!$G:$H,2,FALSE)))</f>
        <v>0x0000001EFA56690F</v>
      </c>
      <c r="B3099" s="5" t="s">
        <v>8340</v>
      </c>
      <c r="C3099" s="5" t="s">
        <v>9467</v>
      </c>
      <c r="D3099" s="5" t="s">
        <v>16862</v>
      </c>
      <c r="E3099" s="5"/>
      <c r="F3099" s="5" t="s">
        <v>8971</v>
      </c>
      <c r="G3099" s="1"/>
      <c r="H3099" s="1"/>
      <c r="I3099" s="1"/>
      <c r="J3099" s="2"/>
      <c r="K3099" s="5" t="s">
        <v>8971</v>
      </c>
      <c r="M3099" s="18"/>
      <c r="N3099" s="1"/>
      <c r="O3099" s="1"/>
      <c r="P3099" s="21" t="str">
        <f>IF(ISNUMBER(MATCH($C3099,StackableKinds,0)), TRUE, "")</f>
        <v/>
      </c>
    </row>
    <row r="3100" spans="1:17" x14ac:dyDescent="0.2">
      <c r="A3100" s="19" t="str">
        <f>_xlfn.IFNA(VLOOKUP($B3100,Keys!$A:$B,2,FALSE),_xlfn.IFNA(VLOOKUP($B3100,Keys!$D:$E,2,FALSE),VLOOKUP($B3100,Keys!$G:$H,2,FALSE)))</f>
        <v>0x0000001E6432FCAC</v>
      </c>
      <c r="B3100" s="5" t="s">
        <v>8342</v>
      </c>
      <c r="C3100" s="5" t="s">
        <v>9467</v>
      </c>
      <c r="D3100" s="5" t="s">
        <v>16862</v>
      </c>
      <c r="E3100" s="5"/>
      <c r="F3100" s="5" t="s">
        <v>8971</v>
      </c>
      <c r="G3100" s="1"/>
      <c r="H3100" s="1"/>
      <c r="I3100" s="1"/>
      <c r="J3100" s="2"/>
      <c r="K3100" s="5" t="s">
        <v>8971</v>
      </c>
      <c r="M3100" s="18"/>
      <c r="N3100" s="1"/>
      <c r="O3100" s="1"/>
      <c r="P3100" s="21" t="str">
        <f>IF(ISNUMBER(MATCH($C3100,StackableKinds,0)), TRUE, "")</f>
        <v/>
      </c>
    </row>
    <row r="3101" spans="1:17" x14ac:dyDescent="0.2">
      <c r="A3101" s="19" t="str">
        <f>_xlfn.IFNA(VLOOKUP($B3101,Keys!$A:$B,2,FALSE),_xlfn.IFNA(VLOOKUP($B3101,Keys!$D:$E,2,FALSE),VLOOKUP($B3101,Keys!$G:$H,2,FALSE)))</f>
        <v>0x0000001A7AE734FE</v>
      </c>
      <c r="B3101" s="5" t="s">
        <v>8344</v>
      </c>
      <c r="C3101" s="5" t="s">
        <v>9467</v>
      </c>
      <c r="D3101" s="5" t="s">
        <v>16862</v>
      </c>
      <c r="E3101" s="5"/>
      <c r="F3101" s="5" t="s">
        <v>8971</v>
      </c>
      <c r="G3101" s="1"/>
      <c r="H3101" s="1"/>
      <c r="I3101" s="1"/>
      <c r="J3101" s="2"/>
      <c r="K3101" s="5" t="s">
        <v>8971</v>
      </c>
      <c r="M3101" s="18"/>
      <c r="N3101" s="1"/>
      <c r="O3101" s="1"/>
      <c r="P3101" s="21" t="str">
        <f>IF(ISNUMBER(MATCH($C3101,StackableKinds,0)), TRUE, "")</f>
        <v/>
      </c>
      <c r="Q3101" s="2"/>
    </row>
    <row r="3102" spans="1:17" x14ac:dyDescent="0.2">
      <c r="A3102" s="19" t="str">
        <f>_xlfn.IFNA(VLOOKUP($B3102,Keys!$A:$B,2,FALSE),_xlfn.IFNA(VLOOKUP($B3102,Keys!$D:$E,2,FALSE),VLOOKUP($B3102,Keys!$G:$H,2,FALSE)))</f>
        <v>0x0000001EFCEDC260</v>
      </c>
      <c r="B3102" s="5" t="s">
        <v>8346</v>
      </c>
      <c r="C3102" s="5" t="s">
        <v>9467</v>
      </c>
      <c r="D3102" s="5" t="s">
        <v>16862</v>
      </c>
      <c r="E3102" s="5"/>
      <c r="F3102" s="5" t="s">
        <v>8971</v>
      </c>
      <c r="G3102" s="1"/>
      <c r="H3102" s="1"/>
      <c r="I3102" s="1"/>
      <c r="J3102" s="2"/>
      <c r="K3102" s="5" t="s">
        <v>8971</v>
      </c>
      <c r="M3102" s="18"/>
      <c r="N3102" s="1"/>
      <c r="O3102" s="1"/>
      <c r="P3102" s="21" t="str">
        <f>IF(ISNUMBER(MATCH($C3102,StackableKinds,0)), TRUE, "")</f>
        <v/>
      </c>
      <c r="Q3102" s="2"/>
    </row>
    <row r="3103" spans="1:17" x14ac:dyDescent="0.2">
      <c r="A3103" s="19" t="str">
        <f>_xlfn.IFNA(VLOOKUP($B3103,Keys!$A:$B,2,FALSE),_xlfn.IFNA(VLOOKUP($B3103,Keys!$D:$E,2,FALSE),VLOOKUP($B3103,Keys!$G:$H,2,FALSE)))</f>
        <v>0x0000001E65E493DA</v>
      </c>
      <c r="B3103" s="5" t="s">
        <v>8348</v>
      </c>
      <c r="C3103" s="5" t="s">
        <v>9467</v>
      </c>
      <c r="D3103" s="5" t="s">
        <v>16862</v>
      </c>
      <c r="E3103" s="5"/>
      <c r="F3103" s="5" t="s">
        <v>8971</v>
      </c>
      <c r="G3103" s="1"/>
      <c r="H3103" s="1"/>
      <c r="I3103" s="1"/>
      <c r="J3103" s="2"/>
      <c r="K3103" s="5" t="s">
        <v>8971</v>
      </c>
      <c r="M3103" s="18"/>
      <c r="N3103" s="1"/>
      <c r="O3103" s="1"/>
      <c r="P3103" s="21" t="str">
        <f>IF(ISNUMBER(MATCH($C3103,StackableKinds,0)), TRUE, "")</f>
        <v/>
      </c>
      <c r="Q3103" s="2"/>
    </row>
    <row r="3104" spans="1:17" x14ac:dyDescent="0.2">
      <c r="A3104" s="19" t="str">
        <f>_xlfn.IFNA(VLOOKUP($B3104,Keys!$A:$B,2,FALSE),_xlfn.IFNA(VLOOKUP($B3104,Keys!$D:$E,2,FALSE),VLOOKUP($B3104,Keys!$G:$H,2,FALSE)))</f>
        <v>0x0000001E12E3A34C</v>
      </c>
      <c r="B3104" s="5" t="s">
        <v>8350</v>
      </c>
      <c r="C3104" s="5" t="s">
        <v>9467</v>
      </c>
      <c r="D3104" s="5" t="s">
        <v>16862</v>
      </c>
      <c r="E3104" s="5"/>
      <c r="F3104" s="5" t="s">
        <v>8971</v>
      </c>
      <c r="G3104" s="1"/>
      <c r="H3104" s="1"/>
      <c r="I3104" s="1"/>
      <c r="J3104" s="2"/>
      <c r="K3104" s="5" t="s">
        <v>8971</v>
      </c>
      <c r="M3104" s="18"/>
      <c r="N3104" s="1"/>
      <c r="O3104" s="1"/>
      <c r="P3104" s="21" t="str">
        <f>IF(ISNUMBER(MATCH($C3104,StackableKinds,0)), TRUE, "")</f>
        <v/>
      </c>
      <c r="Q3104" s="2"/>
    </row>
    <row r="3105" spans="1:19" x14ac:dyDescent="0.2">
      <c r="A3105" s="19" t="str">
        <f>_xlfn.IFNA(VLOOKUP($B3105,Keys!$A:$B,2,FALSE),_xlfn.IFNA(VLOOKUP($B3105,Keys!$D:$E,2,FALSE),VLOOKUP($B3105,Keys!$G:$H,2,FALSE)))</f>
        <v>0x000000246F8CDF7F</v>
      </c>
      <c r="B3105" s="5" t="s">
        <v>8352</v>
      </c>
      <c r="C3105" s="5" t="s">
        <v>9467</v>
      </c>
      <c r="D3105" s="5" t="s">
        <v>16862</v>
      </c>
      <c r="E3105" s="5"/>
      <c r="F3105" s="5" t="s">
        <v>8971</v>
      </c>
      <c r="G3105" s="1"/>
      <c r="H3105" s="1"/>
      <c r="I3105" s="1"/>
      <c r="J3105" s="2"/>
      <c r="K3105" s="5" t="s">
        <v>8971</v>
      </c>
      <c r="M3105" s="18"/>
      <c r="N3105" s="1"/>
      <c r="O3105" s="1"/>
      <c r="P3105" s="21" t="str">
        <f>IF(ISNUMBER(MATCH($C3105,StackableKinds,0)), TRUE, "")</f>
        <v/>
      </c>
      <c r="Q3105" s="2"/>
    </row>
    <row r="3106" spans="1:19" x14ac:dyDescent="0.2">
      <c r="A3106" s="19" t="str">
        <f>_xlfn.IFNA(VLOOKUP($B3106,Keys!$A:$B,2,FALSE),_xlfn.IFNA(VLOOKUP($B3106,Keys!$D:$E,2,FALSE),VLOOKUP($B3106,Keys!$G:$H,2,FALSE)))</f>
        <v>0x0000002230FE000B</v>
      </c>
      <c r="B3106" s="5" t="s">
        <v>8354</v>
      </c>
      <c r="C3106" s="5" t="s">
        <v>9467</v>
      </c>
      <c r="D3106" s="5" t="s">
        <v>16862</v>
      </c>
      <c r="E3106" s="5"/>
      <c r="F3106" s="5" t="s">
        <v>8971</v>
      </c>
      <c r="G3106" s="1"/>
      <c r="H3106" s="1"/>
      <c r="I3106" s="1"/>
      <c r="J3106" s="2"/>
      <c r="K3106" s="5" t="s">
        <v>8971</v>
      </c>
      <c r="M3106" s="18"/>
      <c r="N3106" s="1"/>
      <c r="O3106" s="1"/>
      <c r="P3106" s="21" t="str">
        <f>IF(ISNUMBER(MATCH($C3106,StackableKinds,0)), TRUE, "")</f>
        <v/>
      </c>
      <c r="Q3106" s="2"/>
    </row>
    <row r="3107" spans="1:19" x14ac:dyDescent="0.2">
      <c r="A3107" s="19" t="str">
        <f>_xlfn.IFNA(VLOOKUP($B3107,Keys!$A:$B,2,FALSE),_xlfn.IFNA(VLOOKUP($B3107,Keys!$D:$E,2,FALSE),VLOOKUP($B3107,Keys!$G:$H,2,FALSE)))</f>
        <v>0x0000001E4E739B8C</v>
      </c>
      <c r="B3107" s="5" t="s">
        <v>8356</v>
      </c>
      <c r="C3107" s="5" t="s">
        <v>9467</v>
      </c>
      <c r="D3107" s="5" t="s">
        <v>16862</v>
      </c>
      <c r="E3107" s="5"/>
      <c r="F3107" s="5" t="s">
        <v>8971</v>
      </c>
      <c r="G3107" s="1"/>
      <c r="H3107" s="1"/>
      <c r="I3107" s="1"/>
      <c r="J3107" s="2"/>
      <c r="K3107" s="5" t="s">
        <v>8971</v>
      </c>
      <c r="M3107" s="18"/>
      <c r="N3107" s="1"/>
      <c r="O3107" s="1"/>
      <c r="P3107" s="21" t="str">
        <f>IF(ISNUMBER(MATCH($C3107,StackableKinds,0)), TRUE, "")</f>
        <v/>
      </c>
      <c r="Q3107" s="2"/>
    </row>
    <row r="3108" spans="1:19" x14ac:dyDescent="0.2">
      <c r="A3108" s="19" t="str">
        <f>_xlfn.IFNA(VLOOKUP($B3108,Keys!$A:$B,2,FALSE),_xlfn.IFNA(VLOOKUP($B3108,Keys!$D:$E,2,FALSE),VLOOKUP($B3108,Keys!$G:$H,2,FALSE)))</f>
        <v>0x0000001ED77ACA36</v>
      </c>
      <c r="B3108" s="5" t="s">
        <v>8358</v>
      </c>
      <c r="C3108" s="5" t="s">
        <v>9467</v>
      </c>
      <c r="D3108" s="5" t="s">
        <v>16862</v>
      </c>
      <c r="E3108" s="5"/>
      <c r="F3108" s="5" t="s">
        <v>8971</v>
      </c>
      <c r="G3108" s="1"/>
      <c r="H3108" s="1"/>
      <c r="I3108" s="1"/>
      <c r="J3108" s="2"/>
      <c r="K3108" s="5" t="s">
        <v>8971</v>
      </c>
      <c r="M3108" s="18"/>
      <c r="N3108" s="1"/>
      <c r="O3108" s="1"/>
      <c r="P3108" s="21" t="str">
        <f>IF(ISNUMBER(MATCH($C3108,StackableKinds,0)), TRUE, "")</f>
        <v/>
      </c>
      <c r="Q3108" s="2"/>
    </row>
    <row r="3109" spans="1:19" x14ac:dyDescent="0.2">
      <c r="A3109" s="19" t="str">
        <f>_xlfn.IFNA(VLOOKUP($B3109,Keys!$A:$B,2,FALSE),_xlfn.IFNA(VLOOKUP($B3109,Keys!$D:$E,2,FALSE),VLOOKUP($B3109,Keys!$G:$H,2,FALSE)))</f>
        <v>0x0000001EA07DFAA0</v>
      </c>
      <c r="B3109" s="5" t="s">
        <v>8360</v>
      </c>
      <c r="C3109" s="5" t="s">
        <v>9467</v>
      </c>
      <c r="D3109" s="5" t="s">
        <v>16862</v>
      </c>
      <c r="E3109" s="5"/>
      <c r="F3109" s="5" t="s">
        <v>8971</v>
      </c>
      <c r="G3109" s="1"/>
      <c r="H3109" s="1"/>
      <c r="I3109" s="1"/>
      <c r="J3109" s="2"/>
      <c r="K3109" s="5" t="s">
        <v>8971</v>
      </c>
      <c r="M3109" s="18"/>
      <c r="N3109" s="1"/>
      <c r="O3109" s="1"/>
      <c r="P3109" s="21" t="str">
        <f>IF(ISNUMBER(MATCH($C3109,StackableKinds,0)), TRUE, "")</f>
        <v/>
      </c>
      <c r="Q3109" s="2"/>
    </row>
    <row r="3110" spans="1:19" x14ac:dyDescent="0.2">
      <c r="A3110" s="19" t="str">
        <f>_xlfn.IFNA(VLOOKUP($B3110,Keys!$A:$B,2,FALSE),_xlfn.IFNA(VLOOKUP($B3110,Keys!$D:$E,2,FALSE),VLOOKUP($B3110,Keys!$G:$H,2,FALSE)))</f>
        <v>0x00000022D7A1985D</v>
      </c>
      <c r="B3110" s="5" t="s">
        <v>8394</v>
      </c>
      <c r="C3110" s="5" t="s">
        <v>9467</v>
      </c>
      <c r="D3110" s="5" t="s">
        <v>16862</v>
      </c>
      <c r="E3110" s="5"/>
      <c r="F3110" s="5" t="s">
        <v>8971</v>
      </c>
      <c r="G3110" s="1"/>
      <c r="H3110" s="1"/>
      <c r="I3110" s="1"/>
      <c r="J3110" s="2"/>
      <c r="K3110" s="5" t="s">
        <v>8971</v>
      </c>
      <c r="L3110" s="1"/>
      <c r="M3110" s="18"/>
      <c r="N3110" s="1"/>
      <c r="O3110" s="1"/>
      <c r="P3110" s="21" t="str">
        <f>IF(ISNUMBER(MATCH($C3110,StackableKinds,0)), TRUE, "")</f>
        <v/>
      </c>
      <c r="Q3110" s="2"/>
    </row>
    <row r="3111" spans="1:19" x14ac:dyDescent="0.2">
      <c r="A3111" s="19" t="str">
        <f>_xlfn.IFNA(VLOOKUP($B3111,Keys!$A:$B,2,FALSE),_xlfn.IFNA(VLOOKUP($B3111,Keys!$D:$E,2,FALSE),VLOOKUP($B3111,Keys!$G:$H,2,FALSE)))</f>
        <v>0x0000000C18A3D31E</v>
      </c>
      <c r="B3111" s="5" t="s">
        <v>5021</v>
      </c>
      <c r="C3111" s="5" t="s">
        <v>9467</v>
      </c>
      <c r="D3111" s="5" t="s">
        <v>16862</v>
      </c>
      <c r="E3111" s="5"/>
      <c r="F3111" s="5" t="s">
        <v>8971</v>
      </c>
      <c r="G3111" s="1"/>
      <c r="H3111" s="1"/>
      <c r="I3111" s="1"/>
      <c r="J3111" s="2"/>
      <c r="K3111" s="5" t="s">
        <v>10340</v>
      </c>
      <c r="M3111" s="18"/>
      <c r="N3111" s="1"/>
      <c r="O3111" s="1"/>
      <c r="P3111" s="21" t="str">
        <f>IF(ISNUMBER(MATCH($C3111,StackableKinds,0)), TRUE, "")</f>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IF(ISNUMBER(MATCH($C3113,StackableKinds,0)), TRUE, "")</f>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IF(ISNUMBER(MATCH($C3114,StackableKinds,0)), TRUE, "")</f>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IF(ISNUMBER(MATCH($C3115,StackableKinds,0)), TRUE, "")</f>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IF(ISNUMBER(MATCH($C3116,StackableKinds,0)), TRUE, "")</f>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IF(ISNUMBER(MATCH($C3117,StackableKinds,0)), TRUE, "")</f>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IF(ISNUMBER(MATCH($C3118,StackableKinds,0)), TRUE, "")</f>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IF(ISNUMBER(MATCH($C3119,StackableKinds,0)), TRUE, "")</f>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IF(ISNUMBER(MATCH($C3120,StackableKinds,0)), TRUE, "")</f>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IF(ISNUMBER(MATCH($C3121,StackableKinds,0)), TRUE, "")</f>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IF(ISNUMBER(MATCH($C3122,StackableKinds,0)), TRUE, "")</f>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IF(ISNUMBER(MATCH($C3123,StackableKinds,0)), TRUE, "")</f>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IF(ISNUMBER(MATCH($C3124,StackableKinds,0)), TRUE, "")</f>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IF(ISNUMBER(MATCH($C3125,StackableKinds,0)), TRUE, "")</f>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IF(ISNUMBER(MATCH($C3126,StackableKinds,0)), TRUE, "")</f>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IF(ISNUMBER(MATCH($C3127,StackableKinds,0)), TRUE, "")</f>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IF(ISNUMBER(MATCH($C3128,StackableKinds,0)), TRUE, "")</f>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IF(ISNUMBER(MATCH($C3129,StackableKinds,0)), TRUE, "")</f>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IF(ISNUMBER(MATCH($C3130,StackableKinds,0)), TRUE, "")</f>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IF(ISNUMBER(MATCH($C3131,StackableKinds,0)), TRUE, "")</f>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IF(ISNUMBER(MATCH($C3132,StackableKinds,0)), TRUE, "")</f>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IF(ISNUMBER(MATCH($C3133,StackableKinds,0)), TRUE, "")</f>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IF(ISNUMBER(MATCH($C3134,StackableKinds,0)), TRUE, "")</f>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IF(ISNUMBER(MATCH($C3135,StackableKinds,0)), TRUE, "")</f>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IF(ISNUMBER(MATCH($C3136,StackableKinds,0)), TRUE, "")</f>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IF(ISNUMBER(MATCH($C3137,StackableKinds,0)), TRUE, "")</f>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IF(ISNUMBER(MATCH($C3138,StackableKinds,0)), TRUE, "")</f>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IF(ISNUMBER(MATCH($C3139,StackableKinds,0)), TRUE, "")</f>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IF(ISNUMBER(MATCH($C3140,StackableKinds,0)), TRUE, "")</f>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IF(ISNUMBER(MATCH($C3141,StackableKinds,0)), TRUE, "")</f>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IF(ISNUMBER(MATCH($C3142,StackableKinds,0)), TRUE, "")</f>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IF(ISNUMBER(MATCH($C3143,StackableKinds,0)), TRUE, "")</f>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IF(ISNUMBER(MATCH($C3144,StackableKinds,0)), TRUE, "")</f>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IF(ISNUMBER(MATCH($C3145,StackableKinds,0)), TRUE, "")</f>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IF(ISNUMBER(MATCH($C3146,StackableKinds,0)), TRUE, "")</f>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IF(ISNUMBER(MATCH($C3147,StackableKinds,0)), TRUE, "")</f>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IF(ISNUMBER(MATCH($C3148,StackableKinds,0)), TRUE, "")</f>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IF(ISNUMBER(MATCH($C3149,StackableKinds,0)), TRUE, "")</f>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IF(ISNUMBER(MATCH($C3150,StackableKinds,0)), TRUE, "")</f>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IF(ISNUMBER(MATCH($C3151,StackableKinds,0)), TRUE, "")</f>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IF(ISNUMBER(MATCH($C3152,StackableKinds,0)), TRUE, "")</f>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IF(ISNUMBER(MATCH($C3153,StackableKinds,0)), TRUE, "")</f>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IF(ISNUMBER(MATCH($C3154,StackableKinds,0)), TRUE, "")</f>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IF(ISNUMBER(MATCH($C3155,StackableKinds,0)), TRUE, "")</f>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IF(ISNUMBER(MATCH($C3156,StackableKinds,0)), TRUE, "")</f>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IF(ISNUMBER(MATCH($C3157,StackableKinds,0)), TRUE, "")</f>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IF(ISNUMBER(MATCH($C3158,StackableKinds,0)), TRUE, "")</f>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IF(ISNUMBER(MATCH($C3159,StackableKinds,0)), TRUE, "")</f>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IF(ISNUMBER(MATCH($C3160,StackableKinds,0)), TRUE, "")</f>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IF(ISNUMBER(MATCH($C3161,StackableKinds,0)), TRUE, "")</f>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IF(ISNUMBER(MATCH($C3162,StackableKinds,0)), TRUE, "")</f>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IF(ISNUMBER(MATCH($C3163,StackableKinds,0)), TRUE, "")</f>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IF(ISNUMBER(MATCH($C3164,StackableKinds,0)), TRUE, "")</f>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IF(ISNUMBER(MATCH($C3165,StackableKinds,0)), TRUE, "")</f>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IF(ISNUMBER(MATCH($C3166,StackableKinds,0)), TRUE, "")</f>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IF(ISNUMBER(MATCH($C3167,StackableKinds,0)), TRUE, "")</f>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IF(ISNUMBER(MATCH($C3168,StackableKinds,0)), TRUE, "")</f>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IF(ISNUMBER(MATCH($C3169,StackableKinds,0)), TRUE, "")</f>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IF(ISNUMBER(MATCH($C3170,StackableKinds,0)), TRUE, "")</f>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IF(ISNUMBER(MATCH($C3171,StackableKinds,0)), TRUE, "")</f>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IF(ISNUMBER(MATCH($C3172,StackableKinds,0)), TRUE, "")</f>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IF(ISNUMBER(MATCH($C3173,StackableKinds,0)), TRUE, "")</f>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IF(ISNUMBER(MATCH($C3174,StackableKinds,0)), TRUE, "")</f>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IF(ISNUMBER(MATCH($C3175,StackableKinds,0)), TRUE, "")</f>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IF(ISNUMBER(MATCH($C3177,StackableKinds,0)), TRUE, "")</f>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IF(ISNUMBER(MATCH($C3178,StackableKinds,0)), TRUE, "")</f>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IF(ISNUMBER(MATCH($C3179,StackableKinds,0)), TRUE, "")</f>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IF(ISNUMBER(MATCH($C3180,StackableKinds,0)), TRUE, "")</f>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IF(ISNUMBER(MATCH($C3181,StackableKinds,0)), TRUE, "")</f>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IF(ISNUMBER(MATCH($C3182,StackableKinds,0)), TRUE, "")</f>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IF(ISNUMBER(MATCH($C3183,StackableKinds,0)), TRUE, "")</f>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IF(ISNUMBER(MATCH($C3184,StackableKinds,0)), TRUE, "")</f>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IF(ISNUMBER(MATCH($C3185,StackableKinds,0)), TRUE, "")</f>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IF(ISNUMBER(MATCH($C3186,StackableKinds,0)), TRUE, "")</f>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IF(ISNUMBER(MATCH($C3187,StackableKinds,0)), TRUE, "")</f>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IF(ISNUMBER(MATCH($C3188,StackableKinds,0)), TRUE, "")</f>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IF(ISNUMBER(MATCH($C3189,StackableKinds,0)), TRUE, "")</f>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IF(ISNUMBER(MATCH($C3190,StackableKinds,0)), TRUE, "")</f>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IF(ISNUMBER(MATCH($C3191,StackableKinds,0)), TRUE, "")</f>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IF(ISNUMBER(MATCH($C3192,StackableKinds,0)), TRUE, "")</f>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IF(ISNUMBER(MATCH($C3193,StackableKinds,0)), TRUE, "")</f>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IF(ISNUMBER(MATCH($C3194,StackableKinds,0)), TRUE, "")</f>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IF(ISNUMBER(MATCH($C3195,StackableKinds,0)), TRUE, "")</f>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IF(ISNUMBER(MATCH($C3196,StackableKinds,0)), TRUE, "")</f>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IF(ISNUMBER(MATCH($C3197,StackableKinds,0)), TRUE, "")</f>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IF(ISNUMBER(MATCH($C3198,StackableKinds,0)), TRUE, "")</f>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IF(ISNUMBER(MATCH($C3199,StackableKinds,0)), TRUE, "")</f>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IF(ISNUMBER(MATCH($C3200,StackableKinds,0)), TRUE, "")</f>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IF(ISNUMBER(MATCH($C3201,StackableKinds,0)), TRUE, "")</f>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IF(ISNUMBER(MATCH($C3202,StackableKinds,0)), TRUE, "")</f>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IF(ISNUMBER(MATCH($C3203,StackableKinds,0)), TRUE, "")</f>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IF(ISNUMBER(MATCH($C3204,StackableKinds,0)), TRUE, "")</f>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IF(ISNUMBER(MATCH($C3205,StackableKinds,0)), TRUE, "")</f>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IF(ISNUMBER(MATCH($C3206,StackableKinds,0)), TRUE, "")</f>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IF(ISNUMBER(MATCH($C3207,StackableKinds,0)), TRUE, "")</f>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IF(ISNUMBER(MATCH($C3208,StackableKinds,0)), TRUE, "")</f>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IF(ISNUMBER(MATCH($C3209,StackableKinds,0)), TRUE, "")</f>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IF(ISNUMBER(MATCH($C3210,StackableKinds,0)), TRUE, "")</f>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IF(ISNUMBER(MATCH($C3211,StackableKinds,0)), TRUE, "")</f>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IF(ISNUMBER(MATCH($C3212,StackableKinds,0)), TRUE, "")</f>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IF(ISNUMBER(MATCH($C3213,StackableKinds,0)), TRUE, "")</f>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IF(ISNUMBER(MATCH($C3214,StackableKinds,0)), TRUE, "")</f>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IF(ISNUMBER(MATCH($C3215,StackableKinds,0)), TRUE, "")</f>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IF(ISNUMBER(MATCH($C3216,StackableKinds,0)), TRUE, "")</f>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IF(ISNUMBER(MATCH($C3217,StackableKinds,0)), TRUE, "")</f>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IF(ISNUMBER(MATCH($C3218,StackableKinds,0)), TRUE, "")</f>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IF(ISNUMBER(MATCH($C3219,StackableKinds,0)), TRUE, "")</f>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IF(ISNUMBER(MATCH($C3220,StackableKinds,0)), TRUE, "")</f>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IF(ISNUMBER(MATCH($C3221,StackableKinds,0)), TRUE, "")</f>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IF(ISNUMBER(MATCH($C3222,StackableKinds,0)), TRUE, "")</f>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IF(ISNUMBER(MATCH($C3223,StackableKinds,0)), TRUE, "")</f>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IF(ISNUMBER(MATCH($C3224,StackableKinds,0)), TRUE, "")</f>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IF(ISNUMBER(MATCH($C3225,StackableKinds,0)), TRUE, "")</f>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IF(ISNUMBER(MATCH($C3226,StackableKinds,0)), TRUE, "")</f>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IF(ISNUMBER(MATCH($C3227,StackableKinds,0)), TRUE, "")</f>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IF(ISNUMBER(MATCH($C3228,StackableKinds,0)), TRUE, "")</f>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IF(ISNUMBER(MATCH($C3229,StackableKinds,0)), TRUE, "")</f>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IF(ISNUMBER(MATCH($C3230,StackableKinds,0)), TRUE, "")</f>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IF(ISNUMBER(MATCH($C3231,StackableKinds,0)), TRUE, "")</f>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IF(ISNUMBER(MATCH($C3232,StackableKinds,0)), TRUE, "")</f>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IF(ISNUMBER(MATCH($C3233,StackableKinds,0)), TRUE, "")</f>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IF(ISNUMBER(MATCH($C3234,StackableKinds,0)), TRUE, "")</f>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IF(ISNUMBER(MATCH($C3235,StackableKinds,0)), TRUE, "")</f>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IF(ISNUMBER(MATCH($C3236,StackableKinds,0)), TRUE, "")</f>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IF(ISNUMBER(MATCH($C3237,StackableKinds,0)), TRUE, "")</f>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IF(ISNUMBER(MATCH($C3238,StackableKinds,0)), TRUE, "")</f>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IF(ISNUMBER(MATCH($C3239,StackableKinds,0)), TRUE, "")</f>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IF(ISNUMBER(MATCH($C3241,StackableKinds,0)), TRUE, "")</f>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IF(ISNUMBER(MATCH($C3242,StackableKinds,0)), TRUE, "")</f>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IF(ISNUMBER(MATCH($C3243,StackableKinds,0)), TRUE, "")</f>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IF(ISNUMBER(MATCH($C3244,StackableKinds,0)), TRUE, "")</f>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IF(ISNUMBER(MATCH($C3245,StackableKinds,0)), TRUE, "")</f>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IF(ISNUMBER(MATCH($C3246,StackableKinds,0)), TRUE, "")</f>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IF(ISNUMBER(MATCH($C3247,StackableKinds,0)), TRUE, "")</f>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IF(ISNUMBER(MATCH($C3248,StackableKinds,0)), TRUE, "")</f>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IF(ISNUMBER(MATCH($C3249,StackableKinds,0)), TRUE, "")</f>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IF(ISNUMBER(MATCH($C3250,StackableKinds,0)), TRUE, "")</f>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IF(ISNUMBER(MATCH($C3251,StackableKinds,0)), TRUE, "")</f>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IF(ISNUMBER(MATCH($C3252,StackableKinds,0)), TRUE, "")</f>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IF(ISNUMBER(MATCH($C3253,StackableKinds,0)), TRUE, "")</f>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IF(ISNUMBER(MATCH($C3254,StackableKinds,0)), TRUE, "")</f>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IF(ISNUMBER(MATCH($C3255,StackableKinds,0)), TRUE, "")</f>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IF(ISNUMBER(MATCH($C3256,StackableKinds,0)), TRUE, "")</f>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IF(ISNUMBER(MATCH($C3257,StackableKinds,0)), TRUE, "")</f>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IF(ISNUMBER(MATCH($C3258,StackableKinds,0)), TRUE, "")</f>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IF(ISNUMBER(MATCH($C3259,StackableKinds,0)), TRUE, "")</f>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IF(ISNUMBER(MATCH($C3260,StackableKinds,0)), TRUE, "")</f>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IF(ISNUMBER(MATCH($C3261,StackableKinds,0)), TRUE, "")</f>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IF(ISNUMBER(MATCH($C3262,StackableKinds,0)), TRUE, "")</f>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IF(ISNUMBER(MATCH($C3263,StackableKinds,0)), TRUE, "")</f>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IF(ISNUMBER(MATCH($C3264,StackableKinds,0)), TRUE, "")</f>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IF(ISNUMBER(MATCH($C3265,StackableKinds,0)), TRUE, "")</f>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IF(ISNUMBER(MATCH($C3266,StackableKinds,0)), TRUE, "")</f>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IF(ISNUMBER(MATCH($C3267,StackableKinds,0)), TRUE, "")</f>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IF(ISNUMBER(MATCH($C3268,StackableKinds,0)), TRUE, "")</f>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IF(ISNUMBER(MATCH($C3269,StackableKinds,0)), TRUE, "")</f>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IF(ISNUMBER(MATCH($C3270,StackableKinds,0)), TRUE, "")</f>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IF(ISNUMBER(MATCH($C3271,StackableKinds,0)), TRUE, "")</f>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IF(ISNUMBER(MATCH($C3272,StackableKinds,0)), TRUE, "")</f>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IF(ISNUMBER(MATCH($C3273,StackableKinds,0)), TRUE, "")</f>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IF(ISNUMBER(MATCH($C3274,StackableKinds,0)), TRUE, "")</f>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IF(ISNUMBER(MATCH($C3275,StackableKinds,0)), TRUE, "")</f>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IF(ISNUMBER(MATCH($C3276,StackableKinds,0)), TRUE, "")</f>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IF(ISNUMBER(MATCH($C3277,StackableKinds,0)), TRUE, "")</f>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IF(ISNUMBER(MATCH($C3278,StackableKinds,0)), TRUE, "")</f>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IF(ISNUMBER(MATCH($C3279,StackableKinds,0)), TRUE, "")</f>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IF(ISNUMBER(MATCH($C3280,StackableKinds,0)), TRUE, "")</f>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IF(ISNUMBER(MATCH($C3281,StackableKinds,0)), TRUE, "")</f>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IF(ISNUMBER(MATCH($C3282,StackableKinds,0)), TRUE, "")</f>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IF(ISNUMBER(MATCH($C3283,StackableKinds,0)), TRUE, "")</f>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IF(ISNUMBER(MATCH($C3284,StackableKinds,0)), TRUE, "")</f>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IF(ISNUMBER(MATCH($C3285,StackableKinds,0)), TRUE, "")</f>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IF(ISNUMBER(MATCH($C3286,StackableKinds,0)), TRUE, "")</f>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IF(ISNUMBER(MATCH($C3287,StackableKinds,0)), TRUE, "")</f>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IF(ISNUMBER(MATCH($C3288,StackableKinds,0)), TRUE, "")</f>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IF(ISNUMBER(MATCH($C3289,StackableKinds,0)), TRUE, "")</f>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IF(ISNUMBER(MATCH($C3290,StackableKinds,0)), TRUE, "")</f>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IF(ISNUMBER(MATCH($C3291,StackableKinds,0)), TRUE, "")</f>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IF(ISNUMBER(MATCH($C3292,StackableKinds,0)), TRUE, "")</f>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IF(ISNUMBER(MATCH($C3293,StackableKinds,0)), TRUE, "")</f>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IF(ISNUMBER(MATCH($C3294,StackableKinds,0)), TRUE, "")</f>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IF(ISNUMBER(MATCH($C3295,StackableKinds,0)), TRUE, "")</f>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IF(ISNUMBER(MATCH($C3296,StackableKinds,0)), TRUE, "")</f>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IF(ISNUMBER(MATCH($C3297,StackableKinds,0)), TRUE, "")</f>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IF(ISNUMBER(MATCH($C3298,StackableKinds,0)), TRUE, "")</f>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IF(ISNUMBER(MATCH($C3299,StackableKinds,0)), TRUE, "")</f>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IF(ISNUMBER(MATCH($C3300,StackableKinds,0)), TRUE, "")</f>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IF(ISNUMBER(MATCH($C3301,StackableKinds,0)), TRUE, "")</f>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IF(ISNUMBER(MATCH($C3302,StackableKinds,0)), TRUE, "")</f>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IF(ISNUMBER(MATCH($C3303,StackableKinds,0)), TRUE, "")</f>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IF(ISNUMBER(MATCH($C3305,StackableKinds,0)), TRUE, "")</f>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IF(ISNUMBER(MATCH($C3306,StackableKinds,0)), TRUE, "")</f>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IF(ISNUMBER(MATCH($C3307,StackableKinds,0)), TRUE, "")</f>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IF(ISNUMBER(MATCH($C3308,StackableKinds,0)), TRUE, "")</f>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IF(ISNUMBER(MATCH($C3309,StackableKinds,0)), TRUE, "")</f>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IF(ISNUMBER(MATCH($C3310,StackableKinds,0)), TRUE, "")</f>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IF(ISNUMBER(MATCH($C3311,StackableKinds,0)), TRUE, "")</f>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IF(ISNUMBER(MATCH($C3312,StackableKinds,0)), TRUE, "")</f>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IF(ISNUMBER(MATCH($C3313,StackableKinds,0)), TRUE, "")</f>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IF(ISNUMBER(MATCH($C3314,StackableKinds,0)), TRUE, "")</f>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IF(ISNUMBER(MATCH($C3315,StackableKinds,0)), TRUE, "")</f>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IF(ISNUMBER(MATCH($C3316,StackableKinds,0)), TRUE, "")</f>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IF(ISNUMBER(MATCH($C3317,StackableKinds,0)), TRUE, "")</f>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IF(ISNUMBER(MATCH($C3318,StackableKinds,0)), TRUE, "")</f>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IF(ISNUMBER(MATCH($C3319,StackableKinds,0)), TRUE, "")</f>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IF(ISNUMBER(MATCH($C3320,StackableKinds,0)), TRUE, "")</f>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IF(ISNUMBER(MATCH($C3321,StackableKinds,0)), TRUE, "")</f>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IF(ISNUMBER(MATCH($C3322,StackableKinds,0)), TRUE, "")</f>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IF(ISNUMBER(MATCH($C3323,StackableKinds,0)), TRUE, "")</f>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IF(ISNUMBER(MATCH($C3324,StackableKinds,0)), TRUE, "")</f>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IF(ISNUMBER(MATCH($C3325,StackableKinds,0)), TRUE, "")</f>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IF(ISNUMBER(MATCH($C3326,StackableKinds,0)), TRUE, "")</f>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IF(ISNUMBER(MATCH($C3327,StackableKinds,0)), TRUE, "")</f>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IF(ISNUMBER(MATCH($C3328,StackableKinds,0)), TRUE, "")</f>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IF(ISNUMBER(MATCH($C3329,StackableKinds,0)), TRUE, "")</f>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IF(ISNUMBER(MATCH($C3330,StackableKinds,0)), TRUE, "")</f>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IF(ISNUMBER(MATCH($C3331,StackableKinds,0)), TRUE, "")</f>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IF(ISNUMBER(MATCH($C3332,StackableKinds,0)), TRUE, "")</f>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IF(ISNUMBER(MATCH($C3333,StackableKinds,0)), TRUE, "")</f>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IF(ISNUMBER(MATCH($C3334,StackableKinds,0)), TRUE, "")</f>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IF(ISNUMBER(MATCH($C3335,StackableKinds,0)), TRUE, "")</f>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IF(ISNUMBER(MATCH($C3336,StackableKinds,0)), TRUE, "")</f>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IF(ISNUMBER(MATCH($C3337,StackableKinds,0)), TRUE, "")</f>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IF(ISNUMBER(MATCH($C3338,StackableKinds,0)), TRUE, "")</f>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IF(ISNUMBER(MATCH($C3339,StackableKinds,0)), TRUE, "")</f>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IF(ISNUMBER(MATCH($C3340,StackableKinds,0)), TRUE, "")</f>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IF(ISNUMBER(MATCH($C3341,StackableKinds,0)), TRUE, "")</f>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IF(ISNUMBER(MATCH($C3342,StackableKinds,0)), TRUE, "")</f>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IF(ISNUMBER(MATCH($C3343,StackableKinds,0)), TRUE, "")</f>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IF(ISNUMBER(MATCH($C3344,StackableKinds,0)), TRUE, "")</f>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IF(ISNUMBER(MATCH($C3345,StackableKinds,0)), TRUE, "")</f>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IF(ISNUMBER(MATCH($C3346,StackableKinds,0)), TRUE, "")</f>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IF(ISNUMBER(MATCH($C3347,StackableKinds,0)), TRUE, "")</f>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IF(ISNUMBER(MATCH($C3348,StackableKinds,0)), TRUE, "")</f>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IF(ISNUMBER(MATCH($C3349,StackableKinds,0)), TRUE, "")</f>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IF(ISNUMBER(MATCH($C3350,StackableKinds,0)), TRUE, "")</f>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IF(ISNUMBER(MATCH($C3351,StackableKinds,0)), TRUE, "")</f>
        <v/>
      </c>
      <c r="Q3351" s="7" t="b">
        <v>1</v>
      </c>
    </row>
    <row r="3352" spans="1:17" x14ac:dyDescent="0.2">
      <c r="A3352" s="19" t="str">
        <f>_xlfn.IFNA(VLOOKUP($B3352,Keys!$A:$B,2,FALSE),_xlfn.IFNA(VLOOKUP($B3352,Keys!$D:$E,2,FALSE),VLOOKUP($B3352,Keys!$G:$H,2,FALSE)))</f>
        <v>0x000000179CA4CE97</v>
      </c>
      <c r="B3352" s="5" t="s">
        <v>5167</v>
      </c>
      <c r="C3352" s="5" t="s">
        <v>8970</v>
      </c>
      <c r="D3352" s="5" t="s">
        <v>16859</v>
      </c>
      <c r="E3352" s="5"/>
      <c r="F3352" s="5" t="s">
        <v>8971</v>
      </c>
      <c r="G3352" s="1"/>
      <c r="H3352" s="1"/>
      <c r="I3352" s="1"/>
      <c r="J3352" s="2"/>
      <c r="K3352" s="5" t="s">
        <v>10401</v>
      </c>
      <c r="L3352" s="19" t="s">
        <v>11349</v>
      </c>
      <c r="M3352" s="20"/>
      <c r="N3352" s="1"/>
      <c r="O3352" s="1"/>
      <c r="P3352" s="21" t="str">
        <f>IF(ISNUMBER(MATCH($C3352,StackableKinds,0)), TRUE, "")</f>
        <v/>
      </c>
      <c r="Q3352" s="2"/>
    </row>
    <row r="3353" spans="1:17" x14ac:dyDescent="0.2">
      <c r="A3353" s="19" t="str">
        <f>_xlfn.IFNA(VLOOKUP($B3353,Keys!$A:$B,2,FALSE),_xlfn.IFNA(VLOOKUP($B3353,Keys!$D:$E,2,FALSE),VLOOKUP($B3353,Keys!$G:$H,2,FALSE)))</f>
        <v>0x00000017ECCE3A18</v>
      </c>
      <c r="B3353" s="5" t="s">
        <v>5177</v>
      </c>
      <c r="C3353" s="5" t="s">
        <v>8970</v>
      </c>
      <c r="D3353" s="5" t="s">
        <v>16858</v>
      </c>
      <c r="E3353" s="5"/>
      <c r="F3353" s="5" t="s">
        <v>8971</v>
      </c>
      <c r="G3353" s="1"/>
      <c r="H3353" s="1"/>
      <c r="I3353" s="1"/>
      <c r="J3353" s="2"/>
      <c r="K3353" s="5" t="s">
        <v>10406</v>
      </c>
      <c r="L3353" s="19" t="s">
        <v>11085</v>
      </c>
      <c r="M3353" s="20"/>
      <c r="N3353" s="1"/>
      <c r="O3353" s="1"/>
      <c r="P3353" s="21" t="str">
        <f>IF(ISNUMBER(MATCH($C3353,StackableKinds,0)), TRUE, "")</f>
        <v/>
      </c>
      <c r="Q3353" s="2"/>
    </row>
    <row r="3354" spans="1:17" x14ac:dyDescent="0.2">
      <c r="A3354" s="19" t="str">
        <f>_xlfn.IFNA(VLOOKUP($B3354,Keys!$A:$B,2,FALSE),_xlfn.IFNA(VLOOKUP($B3354,Keys!$D:$E,2,FALSE),VLOOKUP($B3354,Keys!$G:$H,2,FALSE)))</f>
        <v>0x000000178B6477E4</v>
      </c>
      <c r="B3354" s="5" t="s">
        <v>5163</v>
      </c>
      <c r="C3354" s="5" t="s">
        <v>8970</v>
      </c>
      <c r="D3354" s="5" t="s">
        <v>16859</v>
      </c>
      <c r="E3354" s="5"/>
      <c r="F3354" s="5" t="s">
        <v>8971</v>
      </c>
      <c r="G3354" s="1"/>
      <c r="H3354" s="1"/>
      <c r="I3354" s="1"/>
      <c r="J3354" s="2"/>
      <c r="K3354" s="5" t="s">
        <v>10399</v>
      </c>
      <c r="L3354" s="19" t="s">
        <v>11347</v>
      </c>
      <c r="M3354" s="20"/>
      <c r="N3354" s="1"/>
      <c r="O3354" s="1"/>
      <c r="P3354" s="21" t="str">
        <f>IF(ISNUMBER(MATCH($C3354,StackableKinds,0)), TRUE, "")</f>
        <v/>
      </c>
    </row>
    <row r="3355" spans="1:17" x14ac:dyDescent="0.2">
      <c r="A3355" s="19" t="str">
        <f>_xlfn.IFNA(VLOOKUP($B3355,Keys!$A:$B,2,FALSE),_xlfn.IFNA(VLOOKUP($B3355,Keys!$D:$E,2,FALSE),VLOOKUP($B3355,Keys!$G:$H,2,FALSE)))</f>
        <v>0x00000017FC634772</v>
      </c>
      <c r="B3355" s="5" t="s">
        <v>5165</v>
      </c>
      <c r="C3355" s="5" t="s">
        <v>8970</v>
      </c>
      <c r="D3355" s="5" t="s">
        <v>16859</v>
      </c>
      <c r="E3355" s="5"/>
      <c r="F3355" s="5" t="s">
        <v>8971</v>
      </c>
      <c r="G3355" s="1"/>
      <c r="H3355" s="1"/>
      <c r="I3355" s="1"/>
      <c r="J3355" s="2"/>
      <c r="K3355" s="5" t="s">
        <v>10400</v>
      </c>
      <c r="L3355" s="19" t="s">
        <v>11348</v>
      </c>
      <c r="M3355" s="20"/>
      <c r="N3355" s="1"/>
      <c r="O3355" s="1"/>
      <c r="P3355" s="21" t="str">
        <f>IF(ISNUMBER(MATCH($C3355,StackableKinds,0)), TRUE, "")</f>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16860</v>
      </c>
      <c r="E3357" s="5"/>
      <c r="F3357" s="5" t="s">
        <v>10126</v>
      </c>
      <c r="G3357" s="5" t="s">
        <v>9967</v>
      </c>
      <c r="H3357" s="1"/>
      <c r="I3357" s="5">
        <v>1</v>
      </c>
      <c r="J3357" s="2"/>
      <c r="K3357" s="5" t="s">
        <v>10205</v>
      </c>
      <c r="L3357" s="19" t="s">
        <v>11032</v>
      </c>
      <c r="M3357" s="20"/>
      <c r="N3357" s="5" t="s">
        <v>10</v>
      </c>
      <c r="O3357" s="5" t="s">
        <v>9969</v>
      </c>
      <c r="P3357" s="21" t="str">
        <f>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16859</v>
      </c>
      <c r="E3358" s="5"/>
      <c r="F3358" s="5" t="s">
        <v>10126</v>
      </c>
      <c r="G3358" s="5" t="s">
        <v>9967</v>
      </c>
      <c r="H3358" s="1"/>
      <c r="I3358" s="5">
        <v>2</v>
      </c>
      <c r="J3358" s="2"/>
      <c r="K3358" s="5" t="s">
        <v>10205</v>
      </c>
      <c r="L3358" s="19" t="s">
        <v>11032</v>
      </c>
      <c r="M3358" s="20"/>
      <c r="N3358" s="5" t="s">
        <v>10</v>
      </c>
      <c r="O3358" s="5" t="s">
        <v>9969</v>
      </c>
      <c r="P3358" s="21" t="str">
        <f>IF(ISNUMBER(MATCH($C3358,StackableKinds,0)), TRUE, "")</f>
        <v/>
      </c>
      <c r="Q3358" s="7" t="b">
        <v>1</v>
      </c>
    </row>
    <row r="3359" spans="1:17" x14ac:dyDescent="0.2">
      <c r="A3359" s="19" t="str">
        <f>_xlfn.IFNA(VLOOKUP($B3359,Keys!$A:$B,2,FALSE),_xlfn.IFNA(VLOOKUP($B3359,Keys!$D:$E,2,FALSE),VLOOKUP($B3359,Keys!$G:$H,2,FALSE)))</f>
        <v>0x000000204AB4CA70</v>
      </c>
      <c r="B3359" s="5" t="s">
        <v>3758</v>
      </c>
      <c r="C3359" s="5" t="s">
        <v>8970</v>
      </c>
      <c r="D3359" s="5" t="s">
        <v>16858</v>
      </c>
      <c r="E3359" s="5"/>
      <c r="F3359" s="5" t="s">
        <v>10126</v>
      </c>
      <c r="G3359" s="5" t="s">
        <v>9967</v>
      </c>
      <c r="H3359" s="1"/>
      <c r="I3359" s="5">
        <v>3</v>
      </c>
      <c r="J3359" s="2"/>
      <c r="K3359" s="5" t="s">
        <v>10205</v>
      </c>
      <c r="L3359" s="19" t="s">
        <v>11032</v>
      </c>
      <c r="M3359" s="20"/>
      <c r="N3359" s="5" t="s">
        <v>10</v>
      </c>
      <c r="O3359" s="5" t="s">
        <v>9969</v>
      </c>
      <c r="P3359" s="21" t="str">
        <f>IF(ISNUMBER(MATCH($C3359,StackableKinds,0)), TRUE, "")</f>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IF(ISNUMBER(MATCH($C3360,StackableKinds,0)), TRUE, "")</f>
        <v/>
      </c>
      <c r="Q3360" s="7" t="b">
        <v>1</v>
      </c>
    </row>
    <row r="3361" spans="1:17" x14ac:dyDescent="0.2">
      <c r="A3361" s="19" t="str">
        <f>_xlfn.IFNA(VLOOKUP($B3361,Keys!$A:$B,2,FALSE),_xlfn.IFNA(VLOOKUP($B3361,Keys!$D:$E,2,FALSE),VLOOKUP($B3361,Keys!$G:$H,2,FALSE)))</f>
        <v>0x00000011716DA700</v>
      </c>
      <c r="B3361" s="5" t="s">
        <v>7839</v>
      </c>
      <c r="C3361" s="5" t="s">
        <v>8970</v>
      </c>
      <c r="D3361" s="1" t="s">
        <v>16859</v>
      </c>
      <c r="E3361" s="1"/>
      <c r="F3361" s="1"/>
      <c r="G3361" s="1"/>
      <c r="H3361" s="1"/>
      <c r="I3361" s="1"/>
      <c r="J3361" s="2"/>
      <c r="K3361" s="5" t="s">
        <v>10174</v>
      </c>
      <c r="M3361" s="18"/>
      <c r="N3361" s="1"/>
      <c r="O3361" s="1"/>
      <c r="P3361" s="21" t="str">
        <f>IF(ISNUMBER(MATCH($C3361,StackableKinds,0)), TRUE, "")</f>
        <v/>
      </c>
      <c r="Q3361" s="2"/>
    </row>
    <row r="3362" spans="1:17" x14ac:dyDescent="0.2">
      <c r="A3362" s="19" t="str">
        <f>_xlfn.IFNA(VLOOKUP($B3362,Keys!$A:$B,2,FALSE),_xlfn.IFNA(VLOOKUP($B3362,Keys!$D:$E,2,FALSE),VLOOKUP($B3362,Keys!$G:$H,2,FALSE)))</f>
        <v>0x0000001D24D3D8F6</v>
      </c>
      <c r="B3362" s="5" t="s">
        <v>4060</v>
      </c>
      <c r="C3362" s="5" t="s">
        <v>8970</v>
      </c>
      <c r="D3362" s="1" t="s">
        <v>16862</v>
      </c>
      <c r="E3362" s="1"/>
      <c r="F3362" s="1" t="s">
        <v>9249</v>
      </c>
      <c r="G3362" s="1"/>
      <c r="H3362" s="1"/>
      <c r="I3362" s="1"/>
      <c r="J3362" s="2"/>
      <c r="K3362" s="5" t="s">
        <v>12056</v>
      </c>
      <c r="M3362" s="18" t="s">
        <v>12057</v>
      </c>
      <c r="N3362" s="1"/>
      <c r="O3362" s="1"/>
      <c r="P3362" s="21" t="str">
        <f>IF(ISNUMBER(MATCH($C3362,StackableKinds,0)), TRUE, "")</f>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IF(ISNUMBER(MATCH($C3363,StackableKinds,0)), TRUE, "")</f>
        <v/>
      </c>
      <c r="Q3363" s="7" t="b">
        <v>1</v>
      </c>
    </row>
    <row r="3364" spans="1:17" x14ac:dyDescent="0.2">
      <c r="A3364" s="19" t="str">
        <f>_xlfn.IFNA(VLOOKUP($B3364,Keys!$A:$B,2,FALSE),_xlfn.IFNA(VLOOKUP($B3364,Keys!$D:$E,2,FALSE),VLOOKUP($B3364,Keys!$G:$H,2,FALSE)))</f>
        <v>0x00000011C89C0A47</v>
      </c>
      <c r="B3364" s="5" t="s">
        <v>7841</v>
      </c>
      <c r="C3364" s="5" t="s">
        <v>8970</v>
      </c>
      <c r="D3364" s="1" t="s">
        <v>16859</v>
      </c>
      <c r="E3364" s="1"/>
      <c r="F3364" s="1"/>
      <c r="G3364" s="1"/>
      <c r="H3364" s="1"/>
      <c r="I3364" s="1"/>
      <c r="J3364" s="2"/>
      <c r="K3364" s="5" t="s">
        <v>12070</v>
      </c>
      <c r="M3364" s="18"/>
      <c r="N3364" s="1"/>
      <c r="O3364" s="1"/>
      <c r="P3364" s="21" t="str">
        <f>IF(ISNUMBER(MATCH($C3364,StackableKinds,0)), TRUE, "")</f>
        <v/>
      </c>
      <c r="Q3364" s="2"/>
    </row>
    <row r="3365" spans="1:17" x14ac:dyDescent="0.2">
      <c r="A3365" s="19" t="str">
        <f>_xlfn.IFNA(VLOOKUP($B3365,Keys!$A:$B,2,FALSE),_xlfn.IFNA(VLOOKUP($B3365,Keys!$D:$E,2,FALSE),VLOOKUP($B3365,Keys!$G:$H,2,FALSE)))</f>
        <v>0x000000125ACFA0F0</v>
      </c>
      <c r="B3365" s="5" t="s">
        <v>7847</v>
      </c>
      <c r="C3365" s="5" t="s">
        <v>8970</v>
      </c>
      <c r="D3365" s="1" t="s">
        <v>16859</v>
      </c>
      <c r="E3365" s="1"/>
      <c r="F3365" s="1"/>
      <c r="G3365" s="1"/>
      <c r="H3365" s="1"/>
      <c r="I3365" s="1"/>
      <c r="J3365" s="2"/>
      <c r="K3365" s="5" t="s">
        <v>12071</v>
      </c>
      <c r="M3365" s="18"/>
      <c r="N3365" s="1"/>
      <c r="O3365" s="1"/>
      <c r="P3365" s="21" t="str">
        <f>IF(ISNUMBER(MATCH($C3365,StackableKinds,0)), TRUE, "")</f>
        <v/>
      </c>
    </row>
    <row r="3366" spans="1:17" x14ac:dyDescent="0.2">
      <c r="A3366" s="19" t="str">
        <f>_xlfn.IFNA(VLOOKUP($B3366,Keys!$A:$B,2,FALSE),_xlfn.IFNA(VLOOKUP($B3366,Keys!$D:$E,2,FALSE),VLOOKUP($B3366,Keys!$G:$H,2,FALSE)))</f>
        <v>0x000000265C21AE6B</v>
      </c>
      <c r="B3366" s="5" t="s">
        <v>3539</v>
      </c>
      <c r="C3366" s="5" t="s">
        <v>8970</v>
      </c>
      <c r="D3366" s="5" t="s">
        <v>16861</v>
      </c>
      <c r="E3366" s="5"/>
      <c r="F3366" s="5" t="s">
        <v>8971</v>
      </c>
      <c r="G3366" s="1"/>
      <c r="H3366" s="1"/>
      <c r="I3366" s="1"/>
      <c r="J3366" s="2"/>
      <c r="K3366" s="5" t="s">
        <v>10165</v>
      </c>
      <c r="M3366" s="18"/>
      <c r="N3366" s="5" t="s">
        <v>9575</v>
      </c>
      <c r="O3366" s="1"/>
      <c r="P3366" s="21" t="str">
        <f>IF(ISNUMBER(MATCH($C3366,StackableKinds,0)), TRUE, "")</f>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IF(ISNUMBER(MATCH($C3367,StackableKinds,0)), TRUE, "")</f>
        <v/>
      </c>
      <c r="Q3367" s="7" t="b">
        <v>1</v>
      </c>
    </row>
    <row r="3368" spans="1:17" x14ac:dyDescent="0.2">
      <c r="A3368" s="19" t="str">
        <f>_xlfn.IFNA(VLOOKUP($B3368,Keys!$A:$B,2,FALSE),_xlfn.IFNA(VLOOKUP($B3368,Keys!$D:$E,2,FALSE),VLOOKUP($B3368,Keys!$G:$H,2,FALSE)))</f>
        <v>0x0000001514E28ADC</v>
      </c>
      <c r="B3368" s="5" t="s">
        <v>3042</v>
      </c>
      <c r="C3368" s="5" t="s">
        <v>8970</v>
      </c>
      <c r="D3368" s="5" t="s">
        <v>16860</v>
      </c>
      <c r="E3368" s="5"/>
      <c r="F3368" s="5" t="s">
        <v>8971</v>
      </c>
      <c r="G3368" s="1"/>
      <c r="H3368" s="1"/>
      <c r="I3368" s="1"/>
      <c r="J3368" s="2"/>
      <c r="K3368" s="5" t="s">
        <v>9985</v>
      </c>
      <c r="L3368" s="19" t="s">
        <v>10998</v>
      </c>
      <c r="M3368" s="20"/>
      <c r="N3368" s="1"/>
      <c r="O3368" s="1"/>
      <c r="P3368" s="21" t="str">
        <f>IF(ISNUMBER(MATCH($C3368,StackableKinds,0)), TRUE, "")</f>
        <v/>
      </c>
      <c r="Q3368" s="7" t="b">
        <v>1</v>
      </c>
    </row>
    <row r="3369" spans="1:17" x14ac:dyDescent="0.2">
      <c r="A3369" s="19" t="str">
        <f>_xlfn.IFNA(VLOOKUP($B3369,Keys!$A:$B,2,FALSE),_xlfn.IFNA(VLOOKUP($B3369,Keys!$D:$E,2,FALSE),VLOOKUP($B3369,Keys!$G:$H,2,FALSE)))</f>
        <v>0x00000015849D4212</v>
      </c>
      <c r="B3369" s="5" t="s">
        <v>3038</v>
      </c>
      <c r="C3369" s="5" t="s">
        <v>8970</v>
      </c>
      <c r="D3369" s="5" t="s">
        <v>16859</v>
      </c>
      <c r="E3369" s="5"/>
      <c r="F3369" s="5" t="s">
        <v>8971</v>
      </c>
      <c r="G3369" s="1"/>
      <c r="H3369" s="1"/>
      <c r="I3369" s="1"/>
      <c r="J3369" s="2"/>
      <c r="K3369" s="5" t="s">
        <v>9985</v>
      </c>
      <c r="L3369" s="19" t="s">
        <v>10996</v>
      </c>
      <c r="M3369" s="20"/>
      <c r="N3369" s="1"/>
      <c r="O3369" s="1"/>
      <c r="P3369" s="21" t="str">
        <f>IF(ISNUMBER(MATCH($C3369,StackableKinds,0)), TRUE, "")</f>
        <v/>
      </c>
      <c r="Q3369" s="7" t="b">
        <v>1</v>
      </c>
    </row>
    <row r="3370" spans="1:17" x14ac:dyDescent="0.2">
      <c r="A3370" s="19" t="str">
        <f>_xlfn.IFNA(VLOOKUP($B3370,Keys!$A:$B,2,FALSE),_xlfn.IFNA(VLOOKUP($B3370,Keys!$D:$E,2,FALSE),VLOOKUP($B3370,Keys!$G:$H,2,FALSE)))</f>
        <v>0x0000001AB6261E72</v>
      </c>
      <c r="B3370" s="5" t="s">
        <v>3040</v>
      </c>
      <c r="C3370" s="5" t="s">
        <v>8970</v>
      </c>
      <c r="D3370" s="5" t="s">
        <v>16858</v>
      </c>
      <c r="E3370" s="5"/>
      <c r="F3370" s="5" t="s">
        <v>8971</v>
      </c>
      <c r="G3370" s="1"/>
      <c r="H3370" s="1"/>
      <c r="I3370" s="1"/>
      <c r="J3370" s="2"/>
      <c r="K3370" s="5" t="s">
        <v>9985</v>
      </c>
      <c r="L3370" s="19" t="s">
        <v>10997</v>
      </c>
      <c r="M3370" s="20"/>
      <c r="N3370" s="1"/>
      <c r="O3370" s="1"/>
      <c r="P3370" s="21" t="str">
        <f>IF(ISNUMBER(MATCH($C3370,StackableKinds,0)), TRUE, "")</f>
        <v/>
      </c>
      <c r="Q3370" s="7" t="b">
        <v>1</v>
      </c>
    </row>
    <row r="3371" spans="1:17" x14ac:dyDescent="0.2">
      <c r="A3371" s="19" t="str">
        <f>_xlfn.IFNA(VLOOKUP($B3371,Keys!$A:$B,2,FALSE),_xlfn.IFNA(VLOOKUP($B3371,Keys!$D:$E,2,FALSE),VLOOKUP($B3371,Keys!$G:$H,2,FALSE)))</f>
        <v>0x0000001F872A7986</v>
      </c>
      <c r="B3371" s="5" t="s">
        <v>3792</v>
      </c>
      <c r="C3371" s="5" t="s">
        <v>8970</v>
      </c>
      <c r="D3371" s="5" t="s">
        <v>16861</v>
      </c>
      <c r="E3371" s="5"/>
      <c r="F3371" s="5" t="s">
        <v>10126</v>
      </c>
      <c r="G3371" s="5" t="s">
        <v>10142</v>
      </c>
      <c r="H3371" s="1"/>
      <c r="I3371" s="1"/>
      <c r="J3371" s="2"/>
      <c r="K3371" s="5" t="s">
        <v>10208</v>
      </c>
      <c r="M3371" s="20" t="s">
        <v>11363</v>
      </c>
      <c r="N3371" s="5" t="s">
        <v>10</v>
      </c>
      <c r="O3371" s="5" t="s">
        <v>9969</v>
      </c>
      <c r="P3371" s="21" t="str">
        <f>IF(ISNUMBER(MATCH($C3371,StackableKinds,0)), TRUE, "")</f>
        <v/>
      </c>
      <c r="Q3371" s="7" t="b">
        <v>1</v>
      </c>
    </row>
    <row r="3372" spans="1:17" x14ac:dyDescent="0.2">
      <c r="A3372" s="19" t="str">
        <f>_xlfn.IFNA(VLOOKUP($B3372,Keys!$A:$B,2,FALSE),_xlfn.IFNA(VLOOKUP($B3372,Keys!$D:$E,2,FALSE),VLOOKUP($B3372,Keys!$G:$H,2,FALSE)))</f>
        <v>0x0000001379C9B62C</v>
      </c>
      <c r="B3372" s="5" t="s">
        <v>7843</v>
      </c>
      <c r="C3372" s="5" t="s">
        <v>8970</v>
      </c>
      <c r="D3372" s="1" t="s">
        <v>16860</v>
      </c>
      <c r="E3372" s="1"/>
      <c r="F3372" s="1"/>
      <c r="G3372" s="1"/>
      <c r="H3372" s="1"/>
      <c r="I3372" s="1"/>
      <c r="J3372" s="2"/>
      <c r="K3372" s="5" t="s">
        <v>10208</v>
      </c>
      <c r="M3372" s="18"/>
      <c r="N3372" s="1"/>
      <c r="O3372" s="1"/>
      <c r="P3372" s="21" t="str">
        <f>IF(ISNUMBER(MATCH($C3372,StackableKinds,0)), TRUE, "")</f>
        <v/>
      </c>
      <c r="Q3372" s="2"/>
    </row>
    <row r="3373" spans="1:17" x14ac:dyDescent="0.2">
      <c r="A3373" s="19" t="str">
        <f>_xlfn.IFNA(VLOOKUP($B3373,Keys!$A:$B,2,FALSE),_xlfn.IFNA(VLOOKUP($B3373,Keys!$D:$E,2,FALSE),VLOOKUP($B3373,Keys!$G:$H,2,FALSE)))</f>
        <v>0x0000001F194EEC25</v>
      </c>
      <c r="B3373" s="5" t="s">
        <v>3790</v>
      </c>
      <c r="C3373" s="5" t="s">
        <v>8970</v>
      </c>
      <c r="D3373" s="5" t="s">
        <v>16860</v>
      </c>
      <c r="E3373" s="5"/>
      <c r="F3373" s="5" t="s">
        <v>10126</v>
      </c>
      <c r="G3373" s="5" t="s">
        <v>10142</v>
      </c>
      <c r="H3373" s="1"/>
      <c r="I3373" s="1"/>
      <c r="J3373" s="2"/>
      <c r="K3373" s="5" t="s">
        <v>10208</v>
      </c>
      <c r="M3373" s="20" t="s">
        <v>11363</v>
      </c>
      <c r="N3373" s="5" t="s">
        <v>10</v>
      </c>
      <c r="O3373" s="5" t="s">
        <v>9969</v>
      </c>
      <c r="P3373" s="21" t="str">
        <f>IF(ISNUMBER(MATCH($C3373,StackableKinds,0)), TRUE, "")</f>
        <v/>
      </c>
      <c r="Q3373" s="7" t="b">
        <v>1</v>
      </c>
    </row>
    <row r="3374" spans="1:17" x14ac:dyDescent="0.2">
      <c r="A3374" s="19" t="str">
        <f>_xlfn.IFNA(VLOOKUP($B3374,Keys!$A:$B,2,FALSE),_xlfn.IFNA(VLOOKUP($B3374,Keys!$D:$E,2,FALSE),VLOOKUP($B3374,Keys!$G:$H,2,FALSE)))</f>
        <v>0x0000001F9A9D69E2</v>
      </c>
      <c r="B3374" s="5" t="s">
        <v>3786</v>
      </c>
      <c r="C3374" s="5" t="s">
        <v>8970</v>
      </c>
      <c r="D3374" s="5" t="s">
        <v>16859</v>
      </c>
      <c r="E3374" s="5"/>
      <c r="F3374" s="5" t="s">
        <v>10126</v>
      </c>
      <c r="G3374" s="5" t="s">
        <v>10142</v>
      </c>
      <c r="H3374" s="1"/>
      <c r="I3374" s="1"/>
      <c r="J3374" s="2"/>
      <c r="K3374" s="5" t="s">
        <v>10208</v>
      </c>
      <c r="M3374" s="20" t="s">
        <v>11363</v>
      </c>
      <c r="N3374" s="5" t="s">
        <v>10</v>
      </c>
      <c r="O3374" s="5" t="s">
        <v>9969</v>
      </c>
      <c r="P3374" s="21" t="str">
        <f>IF(ISNUMBER(MATCH($C3374,StackableKinds,0)), TRUE, "")</f>
        <v/>
      </c>
      <c r="Q3374" s="7" t="b">
        <v>1</v>
      </c>
    </row>
    <row r="3375" spans="1:17" x14ac:dyDescent="0.2">
      <c r="A3375" s="19" t="str">
        <f>_xlfn.IFNA(VLOOKUP($B3375,Keys!$A:$B,2,FALSE),_xlfn.IFNA(VLOOKUP($B3375,Keys!$D:$E,2,FALSE),VLOOKUP($B3375,Keys!$G:$H,2,FALSE)))</f>
        <v>0x0000001FE341D146</v>
      </c>
      <c r="B3375" s="5" t="s">
        <v>3788</v>
      </c>
      <c r="C3375" s="5" t="s">
        <v>8970</v>
      </c>
      <c r="D3375" s="5" t="s">
        <v>16858</v>
      </c>
      <c r="E3375" s="5"/>
      <c r="F3375" s="5" t="s">
        <v>10126</v>
      </c>
      <c r="G3375" s="5" t="s">
        <v>10142</v>
      </c>
      <c r="H3375" s="1"/>
      <c r="I3375" s="1"/>
      <c r="J3375" s="2"/>
      <c r="K3375" s="5" t="s">
        <v>10208</v>
      </c>
      <c r="M3375" s="20" t="s">
        <v>11363</v>
      </c>
      <c r="N3375" s="5" t="s">
        <v>10</v>
      </c>
      <c r="O3375" s="5" t="s">
        <v>9969</v>
      </c>
      <c r="P3375" s="21" t="str">
        <f>IF(ISNUMBER(MATCH($C3375,StackableKinds,0)), TRUE, "")</f>
        <v/>
      </c>
      <c r="Q3375" s="7" t="b">
        <v>1</v>
      </c>
    </row>
    <row r="3376" spans="1:17" x14ac:dyDescent="0.2">
      <c r="A3376" s="19" t="str">
        <f>_xlfn.IFNA(VLOOKUP($B3376,Keys!$A:$B,2,FALSE),_xlfn.IFNA(VLOOKUP($B3376,Keys!$D:$E,2,FALSE),VLOOKUP($B3376,Keys!$G:$H,2,FALSE)))</f>
        <v>0x0000001FDB8F4BD7</v>
      </c>
      <c r="B3376" s="5" t="s">
        <v>3800</v>
      </c>
      <c r="C3376" s="5" t="s">
        <v>8970</v>
      </c>
      <c r="D3376" s="5" t="s">
        <v>16858</v>
      </c>
      <c r="E3376" s="5"/>
      <c r="F3376" s="5" t="s">
        <v>10126</v>
      </c>
      <c r="G3376" s="5" t="s">
        <v>10142</v>
      </c>
      <c r="H3376" s="1"/>
      <c r="I3376" s="1"/>
      <c r="J3376" s="2"/>
      <c r="K3376" s="5" t="s">
        <v>10208</v>
      </c>
      <c r="M3376" s="20" t="s">
        <v>11363</v>
      </c>
      <c r="N3376" s="5" t="s">
        <v>10</v>
      </c>
      <c r="O3376" s="5" t="s">
        <v>9969</v>
      </c>
      <c r="P3376" s="21" t="str">
        <f>IF(ISNUMBER(MATCH($C3376,StackableKinds,0)), TRUE, "")</f>
        <v/>
      </c>
      <c r="Q3376" s="7" t="b">
        <v>1</v>
      </c>
    </row>
    <row r="3377" spans="1:17" x14ac:dyDescent="0.2">
      <c r="A3377" s="19" t="str">
        <f>_xlfn.IFNA(VLOOKUP($B3377,Keys!$A:$B,2,FALSE),_xlfn.IFNA(VLOOKUP($B3377,Keys!$D:$E,2,FALSE),VLOOKUP($B3377,Keys!$G:$H,2,FALSE)))</f>
        <v>0x000000179BC90A8E</v>
      </c>
      <c r="B3377" s="5" t="s">
        <v>5175</v>
      </c>
      <c r="C3377" s="5" t="s">
        <v>8970</v>
      </c>
      <c r="D3377" s="5" t="s">
        <v>16858</v>
      </c>
      <c r="E3377" s="5"/>
      <c r="F3377" s="5" t="s">
        <v>8971</v>
      </c>
      <c r="G3377" s="1"/>
      <c r="H3377" s="1"/>
      <c r="I3377" s="1"/>
      <c r="J3377" s="2"/>
      <c r="K3377" s="5" t="s">
        <v>10405</v>
      </c>
      <c r="L3377" s="19" t="s">
        <v>11350</v>
      </c>
      <c r="M3377" s="20"/>
      <c r="N3377" s="1"/>
      <c r="O3377" s="1"/>
      <c r="P3377" s="21" t="str">
        <f>IF(ISNUMBER(MATCH($C3377,StackableKinds,0)), TRUE, "")</f>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IF(ISNUMBER(MATCH($C3378,StackableKinds,0)), TRUE, "")</f>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IF(ISNUMBER(MATCH($C3379,StackableKinds,0)), TRUE, "")</f>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IF(ISNUMBER(MATCH($C3380,StackableKinds,0)), TRUE, "")</f>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IF(ISNUMBER(MATCH($C3381,StackableKinds,0)), TRUE, "")</f>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IF(ISNUMBER(MATCH($C3382,StackableKinds,0)), TRUE, "")</f>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IF(ISNUMBER(MATCH($C3383,StackableKinds,0)), TRUE, "")</f>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IF(ISNUMBER(MATCH($C3384,StackableKinds,0)), TRUE, "")</f>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IF(ISNUMBER(MATCH($C3385,StackableKinds,0)), TRUE, "")</f>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IF(ISNUMBER(MATCH($C3386,StackableKinds,0)), TRUE, "")</f>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IF(ISNUMBER(MATCH($C3387,StackableKinds,0)), TRUE, "")</f>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IF(ISNUMBER(MATCH($C3388,StackableKinds,0)), TRUE, "")</f>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IF(ISNUMBER(MATCH($C3389,StackableKinds,0)), TRUE, "")</f>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IF(ISNUMBER(MATCH($C3390,StackableKinds,0)), TRUE, "")</f>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IF(ISNUMBER(MATCH($C3391,StackableKinds,0)), TRUE, "")</f>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IF(ISNUMBER(MATCH($C3392,StackableKinds,0)), TRUE, "")</f>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IF(ISNUMBER(MATCH($C3393,StackableKinds,0)), TRUE, "")</f>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IF(ISNUMBER(MATCH($C3394,StackableKinds,0)), TRUE, "")</f>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IF(ISNUMBER(MATCH($C3395,StackableKinds,0)), TRUE, "")</f>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IF(ISNUMBER(MATCH($C3396,StackableKinds,0)), TRUE, "")</f>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IF(ISNUMBER(MATCH($C3397,StackableKinds,0)), TRUE, "")</f>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IF(ISNUMBER(MATCH($C3398,StackableKinds,0)), TRUE, "")</f>
        <v/>
      </c>
    </row>
    <row r="3399" spans="1:16" x14ac:dyDescent="0.2">
      <c r="A3399" s="19" t="str">
        <f>_xlfn.IFNA(VLOOKUP($B3399,Keys!$A:$B,2,FALSE),_xlfn.IFNA(VLOOKUP($B3399,Keys!$D:$E,2,FALSE),VLOOKUP($B3399,Keys!$G:$H,2,FALSE)))</f>
        <v>0x0000002B9BC99DE3</v>
      </c>
      <c r="B3399" s="9" t="s">
        <v>16642</v>
      </c>
      <c r="C3399" s="5" t="s">
        <v>10808</v>
      </c>
      <c r="D3399" s="1"/>
      <c r="E3399" s="1"/>
      <c r="F3399" s="5" t="s">
        <v>10809</v>
      </c>
      <c r="G3399" s="1" t="s">
        <v>16847</v>
      </c>
      <c r="H3399" s="1" t="s">
        <v>16851</v>
      </c>
      <c r="I3399" s="1"/>
      <c r="J3399" s="2"/>
      <c r="K3399" s="9" t="s">
        <v>16848</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16847</v>
      </c>
      <c r="H3402" s="1" t="s">
        <v>16851</v>
      </c>
      <c r="I3402" s="1"/>
      <c r="J3402" s="2"/>
      <c r="K3402" s="19" t="s">
        <v>16850</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16847</v>
      </c>
      <c r="H3407" s="1" t="s">
        <v>16851</v>
      </c>
      <c r="I3407" s="1"/>
      <c r="J3407" s="2"/>
      <c r="K3407" s="9" t="s">
        <v>16849</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IF(ISNUMBER(MATCH($C3409,StackableKinds,0)), TRUE, "")</f>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IF(ISNUMBER(MATCH($C3410,StackableKinds,0)), TRUE, "")</f>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IF(ISNUMBER(MATCH($C3411,StackableKinds,0)), TRUE, "")</f>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IF(ISNUMBER(MATCH($C3412,StackableKinds,0)), TRUE, "")</f>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IF(ISNUMBER(MATCH($C3413,StackableKinds,0)), TRUE, "")</f>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IF(ISNUMBER(MATCH($C3414,StackableKinds,0)), TRUE, "")</f>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IF(ISNUMBER(MATCH($C3415,StackableKinds,0)), TRUE, "")</f>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IF(ISNUMBER(MATCH($C3416,StackableKinds,0)), TRUE, "")</f>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IF(ISNUMBER(MATCH($C3417,StackableKinds,0)), TRUE, "")</f>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IF(ISNUMBER(MATCH($C3418,StackableKinds,0)), TRUE, "")</f>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IF(ISNUMBER(MATCH($C3419,StackableKinds,0)), TRUE, "")</f>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IF(ISNUMBER(MATCH($C3420,StackableKinds,0)), TRUE, "")</f>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IF(ISNUMBER(MATCH($C3421,StackableKinds,0)), TRUE, "")</f>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IF(ISNUMBER(MATCH($C3422,StackableKinds,0)), TRUE, "")</f>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IF(ISNUMBER(MATCH($C3423,StackableKinds,0)), TRUE, "")</f>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IF(ISNUMBER(MATCH($C3424,StackableKinds,0)), TRUE, "")</f>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IF(ISNUMBER(MATCH($C3425,StackableKinds,0)), TRUE, "")</f>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IF(ISNUMBER(MATCH($C3426,StackableKinds,0)), TRUE, "")</f>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IF(ISNUMBER(MATCH($C3427,StackableKinds,0)), TRUE, "")</f>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IF(ISNUMBER(MATCH($C3428,StackableKinds,0)), TRUE, "")</f>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IF(ISNUMBER(MATCH($C3429,StackableKinds,0)), TRUE, "")</f>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IF(ISNUMBER(MATCH($C3430,StackableKinds,0)), TRUE, "")</f>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IF(ISNUMBER(MATCH($C3431,StackableKinds,0)), TRUE, "")</f>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IF(ISNUMBER(MATCH($C3432,StackableKinds,0)), TRUE, "")</f>
        <v/>
      </c>
      <c r="Q3432" s="7" t="b">
        <v>1</v>
      </c>
    </row>
    <row r="3433" spans="1:17" x14ac:dyDescent="0.2">
      <c r="A3433" s="19" t="str">
        <f>_xlfn.IFNA(VLOOKUP($B3433,Keys!$A:$B,2,FALSE),_xlfn.IFNA(VLOOKUP($B3433,Keys!$D:$E,2,FALSE),VLOOKUP($B3433,Keys!$G:$H,2,FALSE)))</f>
        <v>0x0000001D12D34859</v>
      </c>
      <c r="B3433" s="5" t="s">
        <v>3780</v>
      </c>
      <c r="C3433" s="5" t="s">
        <v>10</v>
      </c>
      <c r="D3433" s="5" t="s">
        <v>16859</v>
      </c>
      <c r="E3433" s="5"/>
      <c r="F3433" s="5" t="s">
        <v>10126</v>
      </c>
      <c r="G3433" s="5" t="s">
        <v>10142</v>
      </c>
      <c r="H3433" s="1"/>
      <c r="I3433" s="5">
        <v>1</v>
      </c>
      <c r="J3433" s="7" t="b">
        <v>1</v>
      </c>
      <c r="K3433" s="5" t="s">
        <v>11364</v>
      </c>
      <c r="L3433" s="19" t="s">
        <v>11034</v>
      </c>
      <c r="M3433" s="20" t="s">
        <v>12032</v>
      </c>
      <c r="N3433" s="5" t="s">
        <v>10</v>
      </c>
      <c r="O3433" s="5" t="s">
        <v>9969</v>
      </c>
      <c r="P3433" s="21" t="str">
        <f>IF(ISNUMBER(MATCH($C3433,StackableKinds,0)), TRUE, "")</f>
        <v/>
      </c>
      <c r="Q3433" s="7" t="b">
        <v>1</v>
      </c>
    </row>
    <row r="3434" spans="1:17" x14ac:dyDescent="0.2">
      <c r="A3434" s="19" t="str">
        <f>_xlfn.IFNA(VLOOKUP($B3434,Keys!$A:$B,2,FALSE),_xlfn.IFNA(VLOOKUP($B3434,Keys!$D:$E,2,FALSE),VLOOKUP($B3434,Keys!$G:$H,2,FALSE)))</f>
        <v>0x00000027AA0B2DFB</v>
      </c>
      <c r="B3434" s="5" t="s">
        <v>3782</v>
      </c>
      <c r="C3434" s="5" t="s">
        <v>10</v>
      </c>
      <c r="D3434" s="5" t="s">
        <v>16858</v>
      </c>
      <c r="E3434" s="5"/>
      <c r="F3434" s="5" t="s">
        <v>10126</v>
      </c>
      <c r="G3434" s="5" t="s">
        <v>10142</v>
      </c>
      <c r="H3434" s="1"/>
      <c r="I3434" s="5">
        <v>2</v>
      </c>
      <c r="J3434" s="7" t="b">
        <v>1</v>
      </c>
      <c r="K3434" s="5" t="s">
        <v>11364</v>
      </c>
      <c r="L3434" s="19" t="s">
        <v>11034</v>
      </c>
      <c r="M3434" s="20" t="s">
        <v>12032</v>
      </c>
      <c r="N3434" s="5" t="s">
        <v>10</v>
      </c>
      <c r="O3434" s="5" t="s">
        <v>9969</v>
      </c>
      <c r="P3434" s="21" t="str">
        <f>IF(ISNUMBER(MATCH($C3434,StackableKinds,0)), TRUE, "")</f>
        <v/>
      </c>
      <c r="Q3434" s="7" t="b">
        <v>1</v>
      </c>
    </row>
    <row r="3435" spans="1:17" x14ac:dyDescent="0.2">
      <c r="A3435" s="19" t="str">
        <f>_xlfn.IFNA(VLOOKUP($B3435,Keys!$A:$B,2,FALSE),_xlfn.IFNA(VLOOKUP($B3435,Keys!$D:$E,2,FALSE),VLOOKUP($B3435,Keys!$G:$H,2,FALSE)))</f>
        <v>0x0000001A9D374E0B</v>
      </c>
      <c r="B3435" s="5" t="s">
        <v>3613</v>
      </c>
      <c r="C3435" s="5" t="s">
        <v>10</v>
      </c>
      <c r="D3435" s="5" t="s">
        <v>16859</v>
      </c>
      <c r="E3435" s="5"/>
      <c r="F3435" s="5" t="s">
        <v>10122</v>
      </c>
      <c r="G3435" s="5" t="s">
        <v>9967</v>
      </c>
      <c r="H3435" s="1"/>
      <c r="I3435" s="5">
        <v>1</v>
      </c>
      <c r="J3435" s="2"/>
      <c r="K3435" s="5" t="s">
        <v>10181</v>
      </c>
      <c r="L3435" s="19" t="s">
        <v>11023</v>
      </c>
      <c r="M3435" s="20" t="s">
        <v>12020</v>
      </c>
      <c r="N3435" s="5" t="s">
        <v>10</v>
      </c>
      <c r="O3435" s="5" t="s">
        <v>9969</v>
      </c>
      <c r="P3435" s="21" t="str">
        <f>IF(ISNUMBER(MATCH($C3435,StackableKinds,0)), TRUE, "")</f>
        <v/>
      </c>
      <c r="Q3435" s="7" t="b">
        <v>1</v>
      </c>
    </row>
    <row r="3436" spans="1:17" x14ac:dyDescent="0.2">
      <c r="A3436" s="19" t="str">
        <f>_xlfn.IFNA(VLOOKUP($B3436,Keys!$A:$B,2,FALSE),_xlfn.IFNA(VLOOKUP($B3436,Keys!$D:$E,2,FALSE),VLOOKUP($B3436,Keys!$G:$H,2,FALSE)))</f>
        <v>0x000000241D34B384</v>
      </c>
      <c r="B3436" s="5" t="s">
        <v>3615</v>
      </c>
      <c r="C3436" s="5" t="s">
        <v>10</v>
      </c>
      <c r="D3436" s="5" t="s">
        <v>16858</v>
      </c>
      <c r="E3436" s="5"/>
      <c r="F3436" s="5" t="s">
        <v>10122</v>
      </c>
      <c r="G3436" s="5" t="s">
        <v>9967</v>
      </c>
      <c r="H3436" s="1"/>
      <c r="I3436" s="5">
        <v>2</v>
      </c>
      <c r="J3436" s="2"/>
      <c r="K3436" s="5" t="s">
        <v>10181</v>
      </c>
      <c r="L3436" s="19" t="s">
        <v>11023</v>
      </c>
      <c r="M3436" s="20" t="s">
        <v>12020</v>
      </c>
      <c r="N3436" s="5" t="s">
        <v>10</v>
      </c>
      <c r="O3436" s="5" t="s">
        <v>9969</v>
      </c>
      <c r="P3436" s="21" t="str">
        <f>IF(ISNUMBER(MATCH($C3436,StackableKinds,0)), TRUE, "")</f>
        <v/>
      </c>
      <c r="Q3436" s="7" t="b">
        <v>1</v>
      </c>
    </row>
    <row r="3437" spans="1:17" x14ac:dyDescent="0.2">
      <c r="A3437" s="19" t="str">
        <f>_xlfn.IFNA(VLOOKUP($B3437,Keys!$A:$B,2,FALSE),_xlfn.IFNA(VLOOKUP($B3437,Keys!$D:$E,2,FALSE),VLOOKUP($B3437,Keys!$G:$H,2,FALSE)))</f>
        <v>0x0000001B153E1596</v>
      </c>
      <c r="B3437" s="5" t="s">
        <v>3794</v>
      </c>
      <c r="C3437" s="5" t="s">
        <v>10</v>
      </c>
      <c r="D3437" s="5" t="s">
        <v>16860</v>
      </c>
      <c r="E3437" s="5"/>
      <c r="F3437" s="5" t="s">
        <v>10126</v>
      </c>
      <c r="G3437" s="5" t="s">
        <v>10142</v>
      </c>
      <c r="H3437" s="1"/>
      <c r="I3437" s="5">
        <v>1</v>
      </c>
      <c r="J3437" s="2"/>
      <c r="K3437" s="5" t="s">
        <v>10209</v>
      </c>
      <c r="L3437" s="19" t="s">
        <v>11353</v>
      </c>
      <c r="M3437" s="20" t="s">
        <v>12033</v>
      </c>
      <c r="N3437" s="5" t="s">
        <v>10</v>
      </c>
      <c r="O3437" s="5" t="s">
        <v>9969</v>
      </c>
      <c r="P3437" s="21" t="str">
        <f>IF(ISNUMBER(MATCH($C3437,StackableKinds,0)), TRUE, "")</f>
        <v/>
      </c>
      <c r="Q3437" s="7" t="b">
        <v>1</v>
      </c>
    </row>
    <row r="3438" spans="1:17" x14ac:dyDescent="0.2">
      <c r="A3438" s="19" t="str">
        <f>_xlfn.IFNA(VLOOKUP($B3438,Keys!$A:$B,2,FALSE),_xlfn.IFNA(VLOOKUP($B3438,Keys!$D:$E,2,FALSE),VLOOKUP($B3438,Keys!$G:$H,2,FALSE)))</f>
        <v>0x00000020C41FD4C7</v>
      </c>
      <c r="B3438" s="5" t="s">
        <v>3796</v>
      </c>
      <c r="C3438" s="5" t="s">
        <v>10</v>
      </c>
      <c r="D3438" s="5" t="s">
        <v>16859</v>
      </c>
      <c r="E3438" s="5"/>
      <c r="F3438" s="5" t="s">
        <v>10126</v>
      </c>
      <c r="G3438" s="5" t="s">
        <v>10142</v>
      </c>
      <c r="H3438" s="1"/>
      <c r="I3438" s="5">
        <v>2</v>
      </c>
      <c r="J3438" s="2"/>
      <c r="K3438" s="5" t="s">
        <v>10209</v>
      </c>
      <c r="L3438" s="19" t="s">
        <v>11353</v>
      </c>
      <c r="M3438" s="20" t="s">
        <v>12033</v>
      </c>
      <c r="N3438" s="5" t="s">
        <v>10</v>
      </c>
      <c r="O3438" s="5" t="s">
        <v>9969</v>
      </c>
      <c r="P3438" s="21" t="str">
        <f>IF(ISNUMBER(MATCH($C3438,StackableKinds,0)), TRUE, "")</f>
        <v/>
      </c>
      <c r="Q3438" s="7" t="b">
        <v>1</v>
      </c>
    </row>
    <row r="3439" spans="1:17" x14ac:dyDescent="0.2">
      <c r="A3439" s="19" t="str">
        <f>_xlfn.IFNA(VLOOKUP($B3439,Keys!$A:$B,2,FALSE),_xlfn.IFNA(VLOOKUP($B3439,Keys!$D:$E,2,FALSE),VLOOKUP($B3439,Keys!$G:$H,2,FALSE)))</f>
        <v>0x000000257DD0D0C8</v>
      </c>
      <c r="B3439" s="5" t="s">
        <v>3798</v>
      </c>
      <c r="C3439" s="5" t="s">
        <v>10</v>
      </c>
      <c r="D3439" s="5" t="s">
        <v>16858</v>
      </c>
      <c r="E3439" s="5"/>
      <c r="F3439" s="5" t="s">
        <v>10126</v>
      </c>
      <c r="G3439" s="5" t="s">
        <v>10142</v>
      </c>
      <c r="H3439" s="1"/>
      <c r="I3439" s="5">
        <v>3</v>
      </c>
      <c r="J3439" s="2"/>
      <c r="K3439" s="5" t="s">
        <v>10209</v>
      </c>
      <c r="L3439" s="19" t="s">
        <v>11353</v>
      </c>
      <c r="M3439" s="20" t="s">
        <v>12033</v>
      </c>
      <c r="N3439" s="5" t="s">
        <v>10</v>
      </c>
      <c r="O3439" s="5" t="s">
        <v>9969</v>
      </c>
      <c r="P3439" s="21" t="str">
        <f>IF(ISNUMBER(MATCH($C3439,StackableKinds,0)), TRUE, "")</f>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IF(ISNUMBER(MATCH($C3440,StackableKinds,0)), TRUE, "")</f>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IF(ISNUMBER(MATCH($C3441,StackableKinds,0)), TRUE, "")</f>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IF(ISNUMBER(MATCH($C3442,StackableKinds,0)), TRUE, "")</f>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IF(ISNUMBER(MATCH($C3443,StackableKinds,0)), TRUE, "")</f>
        <v/>
      </c>
      <c r="Q3443" s="7" t="b">
        <v>1</v>
      </c>
    </row>
    <row r="3444" spans="1:18" x14ac:dyDescent="0.2">
      <c r="A3444" s="19" t="str">
        <f>_xlfn.IFNA(VLOOKUP($B3444,Keys!$A:$B,2,FALSE),_xlfn.IFNA(VLOOKUP($B3444,Keys!$D:$E,2,FALSE),VLOOKUP($B3444,Keys!$G:$H,2,FALSE)))</f>
        <v>0x0000001CC5930650</v>
      </c>
      <c r="B3444" s="5" t="s">
        <v>3966</v>
      </c>
      <c r="C3444" s="5" t="s">
        <v>10</v>
      </c>
      <c r="D3444" s="5" t="s">
        <v>16858</v>
      </c>
      <c r="E3444" s="5"/>
      <c r="F3444" s="5" t="s">
        <v>9966</v>
      </c>
      <c r="G3444" s="5" t="s">
        <v>10148</v>
      </c>
      <c r="H3444" s="1"/>
      <c r="I3444" s="5">
        <v>1</v>
      </c>
      <c r="J3444" s="2"/>
      <c r="K3444" s="5" t="s">
        <v>10238</v>
      </c>
      <c r="L3444" s="19" t="s">
        <v>11355</v>
      </c>
      <c r="M3444" s="20" t="s">
        <v>12042</v>
      </c>
      <c r="N3444" s="5" t="s">
        <v>10</v>
      </c>
      <c r="O3444" s="5" t="s">
        <v>9969</v>
      </c>
      <c r="P3444" s="21" t="str">
        <f>IF(ISNUMBER(MATCH($C3444,StackableKinds,0)), TRUE, "")</f>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IF(ISNUMBER(MATCH($C3445,StackableKinds,0)), TRUE, "")</f>
        <v/>
      </c>
      <c r="Q3445" s="7" t="b">
        <v>1</v>
      </c>
    </row>
    <row r="3446" spans="1:18" x14ac:dyDescent="0.2">
      <c r="A3446" s="19" t="str">
        <f>_xlfn.IFNA(VLOOKUP($B3446,Keys!$A:$B,2,FALSE),_xlfn.IFNA(VLOOKUP($B3446,Keys!$D:$E,2,FALSE),VLOOKUP($B3446,Keys!$G:$H,2,FALSE)))</f>
        <v>0x00000017CB6833CE</v>
      </c>
      <c r="B3446" s="5" t="s">
        <v>3577</v>
      </c>
      <c r="C3446" s="5" t="s">
        <v>10</v>
      </c>
      <c r="D3446" s="5" t="s">
        <v>16860</v>
      </c>
      <c r="E3446" s="5"/>
      <c r="F3446" s="5" t="s">
        <v>9002</v>
      </c>
      <c r="G3446" s="5" t="s">
        <v>10145</v>
      </c>
      <c r="H3446" s="5" t="s">
        <v>9540</v>
      </c>
      <c r="I3446" s="1"/>
      <c r="J3446" s="2"/>
      <c r="K3446" s="5" t="s">
        <v>10176</v>
      </c>
      <c r="M3446" s="20" t="s">
        <v>11198</v>
      </c>
      <c r="N3446" s="5" t="s">
        <v>10</v>
      </c>
      <c r="O3446" s="5" t="s">
        <v>10137</v>
      </c>
      <c r="P3446" s="21" t="str">
        <f>IF(ISNUMBER(MATCH($C3446,StackableKinds,0)), TRUE, "")</f>
        <v/>
      </c>
      <c r="Q3446" s="7" t="b">
        <v>1</v>
      </c>
    </row>
    <row r="3447" spans="1:18" x14ac:dyDescent="0.2">
      <c r="A3447" s="19" t="str">
        <f>_xlfn.IFNA(VLOOKUP($B3447,Keys!$A:$B,2,FALSE),_xlfn.IFNA(VLOOKUP($B3447,Keys!$D:$E,2,FALSE),VLOOKUP($B3447,Keys!$G:$H,2,FALSE)))</f>
        <v>0x0000001C3EAF1ABC</v>
      </c>
      <c r="B3447" s="5" t="s">
        <v>3579</v>
      </c>
      <c r="C3447" s="5" t="s">
        <v>10</v>
      </c>
      <c r="D3447" s="5" t="s">
        <v>16859</v>
      </c>
      <c r="E3447" s="5"/>
      <c r="F3447" s="5" t="s">
        <v>9002</v>
      </c>
      <c r="G3447" s="5" t="s">
        <v>10145</v>
      </c>
      <c r="H3447" s="5" t="s">
        <v>9540</v>
      </c>
      <c r="I3447" s="1"/>
      <c r="J3447" s="2"/>
      <c r="K3447" s="5" t="s">
        <v>10176</v>
      </c>
      <c r="M3447" s="20" t="s">
        <v>11198</v>
      </c>
      <c r="N3447" s="5" t="s">
        <v>10</v>
      </c>
      <c r="O3447" s="5" t="s">
        <v>10137</v>
      </c>
      <c r="P3447" s="21" t="str">
        <f>IF(ISNUMBER(MATCH($C3447,StackableKinds,0)), TRUE, "")</f>
        <v/>
      </c>
      <c r="Q3447" s="7" t="b">
        <v>1</v>
      </c>
    </row>
    <row r="3448" spans="1:18" x14ac:dyDescent="0.2">
      <c r="A3448" s="19" t="str">
        <f>_xlfn.IFNA(VLOOKUP($B3448,Keys!$A:$B,2,FALSE),_xlfn.IFNA(VLOOKUP($B3448,Keys!$D:$E,2,FALSE),VLOOKUP($B3448,Keys!$G:$H,2,FALSE)))</f>
        <v>0x000000214E4D6F04</v>
      </c>
      <c r="B3448" s="5" t="s">
        <v>3581</v>
      </c>
      <c r="C3448" s="5" t="s">
        <v>10</v>
      </c>
      <c r="D3448" s="5" t="s">
        <v>16858</v>
      </c>
      <c r="E3448" s="5"/>
      <c r="F3448" s="5" t="s">
        <v>9002</v>
      </c>
      <c r="G3448" s="5" t="s">
        <v>10145</v>
      </c>
      <c r="H3448" s="5" t="s">
        <v>9540</v>
      </c>
      <c r="I3448" s="1"/>
      <c r="J3448" s="2"/>
      <c r="K3448" s="5" t="s">
        <v>10176</v>
      </c>
      <c r="M3448" s="20" t="s">
        <v>11198</v>
      </c>
      <c r="N3448" s="5" t="s">
        <v>10</v>
      </c>
      <c r="O3448" s="5" t="s">
        <v>10137</v>
      </c>
      <c r="P3448" s="21" t="str">
        <f>IF(ISNUMBER(MATCH($C3448,StackableKinds,0)), TRUE, "")</f>
        <v/>
      </c>
      <c r="Q3448" s="7" t="b">
        <v>1</v>
      </c>
    </row>
    <row r="3449" spans="1:18" x14ac:dyDescent="0.2">
      <c r="A3449" s="19" t="str">
        <f>_xlfn.IFNA(VLOOKUP($B3449,Keys!$A:$B,2,FALSE),_xlfn.IFNA(VLOOKUP($B3449,Keys!$D:$E,2,FALSE),VLOOKUP($B3449,Keys!$G:$H,2,FALSE)))</f>
        <v>0x000000228E23D0B0</v>
      </c>
      <c r="B3449" s="5" t="s">
        <v>3715</v>
      </c>
      <c r="C3449" s="5" t="s">
        <v>10</v>
      </c>
      <c r="D3449" s="5" t="s">
        <v>16859</v>
      </c>
      <c r="E3449" s="5"/>
      <c r="F3449" s="5" t="s">
        <v>10122</v>
      </c>
      <c r="G3449" s="5" t="s">
        <v>10130</v>
      </c>
      <c r="H3449" s="1"/>
      <c r="I3449" s="5">
        <v>1</v>
      </c>
      <c r="J3449" s="2"/>
      <c r="K3449" s="5" t="s">
        <v>10199</v>
      </c>
      <c r="L3449" s="19" t="s">
        <v>11148</v>
      </c>
      <c r="M3449" s="20" t="s">
        <v>12028</v>
      </c>
      <c r="N3449" s="5" t="s">
        <v>10</v>
      </c>
      <c r="O3449" s="5" t="s">
        <v>9969</v>
      </c>
      <c r="P3449" s="21" t="str">
        <f>IF(ISNUMBER(MATCH($C3449,StackableKinds,0)), TRUE, "")</f>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16858</v>
      </c>
      <c r="E3450" s="5"/>
      <c r="F3450" s="5" t="s">
        <v>10122</v>
      </c>
      <c r="G3450" s="5" t="s">
        <v>10130</v>
      </c>
      <c r="H3450" s="1"/>
      <c r="I3450" s="5">
        <v>2</v>
      </c>
      <c r="J3450" s="2"/>
      <c r="K3450" s="5" t="s">
        <v>10199</v>
      </c>
      <c r="L3450" s="19" t="s">
        <v>11148</v>
      </c>
      <c r="M3450" s="20" t="s">
        <v>12028</v>
      </c>
      <c r="N3450" s="5" t="s">
        <v>10</v>
      </c>
      <c r="O3450" s="5" t="s">
        <v>9969</v>
      </c>
      <c r="P3450" s="21" t="str">
        <f>IF(ISNUMBER(MATCH($C3450,StackableKinds,0)), TRUE, "")</f>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IF(ISNUMBER(MATCH($C3451,StackableKinds,0)), TRUE, "")</f>
        <v/>
      </c>
      <c r="Q3451" s="7" t="b">
        <v>1</v>
      </c>
    </row>
    <row r="3452" spans="1:18" x14ac:dyDescent="0.2">
      <c r="A3452" s="19" t="str">
        <f>_xlfn.IFNA(VLOOKUP($B3452,Keys!$A:$B,2,FALSE),_xlfn.IFNA(VLOOKUP($B3452,Keys!$D:$E,2,FALSE),VLOOKUP($B3452,Keys!$G:$H,2,FALSE)))</f>
        <v>0x0000001BBCE3B56E</v>
      </c>
      <c r="B3452" s="5" t="s">
        <v>3822</v>
      </c>
      <c r="C3452" s="5" t="s">
        <v>10</v>
      </c>
      <c r="D3452" s="5" t="s">
        <v>16860</v>
      </c>
      <c r="E3452" s="5"/>
      <c r="F3452" s="5" t="s">
        <v>10126</v>
      </c>
      <c r="G3452" s="5" t="s">
        <v>10158</v>
      </c>
      <c r="H3452" s="1"/>
      <c r="I3452" s="5">
        <v>1</v>
      </c>
      <c r="J3452" s="2"/>
      <c r="K3452" s="5" t="s">
        <v>10213</v>
      </c>
      <c r="L3452" s="19" t="s">
        <v>11036</v>
      </c>
      <c r="M3452" s="20" t="s">
        <v>12035</v>
      </c>
      <c r="N3452" s="5" t="s">
        <v>10</v>
      </c>
      <c r="O3452" s="5" t="s">
        <v>9969</v>
      </c>
      <c r="P3452" s="21" t="str">
        <f>IF(ISNUMBER(MATCH($C3452,StackableKinds,0)), TRUE, "")</f>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16859</v>
      </c>
      <c r="E3453" s="5"/>
      <c r="F3453" s="5" t="s">
        <v>10126</v>
      </c>
      <c r="G3453" s="5" t="s">
        <v>10158</v>
      </c>
      <c r="H3453" s="1"/>
      <c r="I3453" s="5">
        <v>2</v>
      </c>
      <c r="J3453" s="2"/>
      <c r="K3453" s="5" t="s">
        <v>10213</v>
      </c>
      <c r="L3453" s="19" t="s">
        <v>11036</v>
      </c>
      <c r="M3453" s="20" t="s">
        <v>12035</v>
      </c>
      <c r="N3453" s="5" t="s">
        <v>10</v>
      </c>
      <c r="O3453" s="5" t="s">
        <v>9969</v>
      </c>
      <c r="P3453" s="21" t="str">
        <f>IF(ISNUMBER(MATCH($C3453,StackableKinds,0)), TRUE, "")</f>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16858</v>
      </c>
      <c r="E3454" s="5"/>
      <c r="F3454" s="5" t="s">
        <v>10126</v>
      </c>
      <c r="G3454" s="5" t="s">
        <v>10158</v>
      </c>
      <c r="H3454" s="1"/>
      <c r="I3454" s="5">
        <v>3</v>
      </c>
      <c r="J3454" s="2"/>
      <c r="K3454" s="5" t="s">
        <v>10213</v>
      </c>
      <c r="L3454" s="19" t="s">
        <v>11036</v>
      </c>
      <c r="M3454" s="20" t="s">
        <v>12035</v>
      </c>
      <c r="N3454" s="5" t="s">
        <v>10</v>
      </c>
      <c r="O3454" s="5" t="s">
        <v>9969</v>
      </c>
      <c r="P3454" s="21" t="str">
        <f>IF(ISNUMBER(MATCH($C3454,StackableKinds,0)), TRUE, "")</f>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16858</v>
      </c>
      <c r="E3455" s="5"/>
      <c r="F3455" s="5" t="s">
        <v>9002</v>
      </c>
      <c r="G3455" s="5" t="s">
        <v>10135</v>
      </c>
      <c r="H3455" s="1"/>
      <c r="I3455" s="5">
        <v>1</v>
      </c>
      <c r="J3455" s="2"/>
      <c r="K3455" s="5" t="s">
        <v>10222</v>
      </c>
      <c r="L3455" s="19" t="s">
        <v>11039</v>
      </c>
      <c r="M3455" s="20" t="s">
        <v>12038</v>
      </c>
      <c r="N3455" s="5" t="s">
        <v>10</v>
      </c>
      <c r="O3455" s="5" t="s">
        <v>10137</v>
      </c>
      <c r="P3455" s="21" t="str">
        <f>IF(ISNUMBER(MATCH($C3455,StackableKinds,0)), TRUE, "")</f>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IF(ISNUMBER(MATCH($C3456,StackableKinds,0)), TRUE, "")</f>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IF(ISNUMBER(MATCH($C3457,StackableKinds,0)), TRUE, "")</f>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IF(ISNUMBER(MATCH($C3458,StackableKinds,0)), TRUE, "")</f>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IF(ISNUMBER(MATCH($C3459,StackableKinds,0)), TRUE, "")</f>
        <v/>
      </c>
      <c r="Q3459" s="7" t="b">
        <v>1</v>
      </c>
    </row>
    <row r="3460" spans="1:18" x14ac:dyDescent="0.2">
      <c r="A3460" s="19" t="str">
        <f>_xlfn.IFNA(VLOOKUP($B3460,Keys!$A:$B,2,FALSE),_xlfn.IFNA(VLOOKUP($B3460,Keys!$D:$E,2,FALSE),VLOOKUP($B3460,Keys!$G:$H,2,FALSE)))</f>
        <v>0x0000001AEA075189</v>
      </c>
      <c r="B3460" s="5" t="s">
        <v>3625</v>
      </c>
      <c r="C3460" s="5" t="s">
        <v>10</v>
      </c>
      <c r="D3460" s="5" t="s">
        <v>16860</v>
      </c>
      <c r="E3460" s="5"/>
      <c r="F3460" s="5" t="s">
        <v>10122</v>
      </c>
      <c r="G3460" s="5" t="s">
        <v>9967</v>
      </c>
      <c r="H3460" s="1"/>
      <c r="I3460" s="5">
        <v>1</v>
      </c>
      <c r="J3460" s="2"/>
      <c r="K3460" s="5" t="s">
        <v>10183</v>
      </c>
      <c r="L3460" s="19" t="s">
        <v>11024</v>
      </c>
      <c r="M3460" s="20" t="s">
        <v>12021</v>
      </c>
      <c r="N3460" s="5" t="s">
        <v>10</v>
      </c>
      <c r="O3460" s="5" t="s">
        <v>9969</v>
      </c>
      <c r="P3460" s="21" t="str">
        <f>IF(ISNUMBER(MATCH($C3460,StackableKinds,0)), TRUE, "")</f>
        <v/>
      </c>
      <c r="Q3460" s="7" t="b">
        <v>1</v>
      </c>
    </row>
    <row r="3461" spans="1:18" x14ac:dyDescent="0.2">
      <c r="A3461" s="19" t="str">
        <f>_xlfn.IFNA(VLOOKUP($B3461,Keys!$A:$B,2,FALSE),_xlfn.IFNA(VLOOKUP($B3461,Keys!$D:$E,2,FALSE),VLOOKUP($B3461,Keys!$G:$H,2,FALSE)))</f>
        <v>0x0000001F8A473893</v>
      </c>
      <c r="B3461" s="5" t="s">
        <v>3627</v>
      </c>
      <c r="C3461" s="5" t="s">
        <v>10</v>
      </c>
      <c r="D3461" s="5" t="s">
        <v>16859</v>
      </c>
      <c r="E3461" s="5"/>
      <c r="F3461" s="5" t="s">
        <v>10122</v>
      </c>
      <c r="G3461" s="5" t="s">
        <v>9967</v>
      </c>
      <c r="H3461" s="1"/>
      <c r="I3461" s="5">
        <v>2</v>
      </c>
      <c r="J3461" s="2"/>
      <c r="K3461" s="5" t="s">
        <v>10183</v>
      </c>
      <c r="L3461" s="19" t="s">
        <v>11024</v>
      </c>
      <c r="M3461" s="20" t="s">
        <v>12021</v>
      </c>
      <c r="N3461" s="5" t="s">
        <v>10</v>
      </c>
      <c r="O3461" s="5" t="s">
        <v>9969</v>
      </c>
      <c r="P3461" s="21" t="str">
        <f>IF(ISNUMBER(MATCH($C3461,StackableKinds,0)), TRUE, "")</f>
        <v/>
      </c>
      <c r="Q3461" s="7" t="b">
        <v>1</v>
      </c>
    </row>
    <row r="3462" spans="1:18" x14ac:dyDescent="0.2">
      <c r="A3462" s="19" t="str">
        <f>_xlfn.IFNA(VLOOKUP($B3462,Keys!$A:$B,2,FALSE),_xlfn.IFNA(VLOOKUP($B3462,Keys!$D:$E,2,FALSE),VLOOKUP($B3462,Keys!$G:$H,2,FALSE)))</f>
        <v>0x0000002420BF5AC0</v>
      </c>
      <c r="B3462" s="5" t="s">
        <v>3629</v>
      </c>
      <c r="C3462" s="5" t="s">
        <v>10</v>
      </c>
      <c r="D3462" s="5" t="s">
        <v>16858</v>
      </c>
      <c r="E3462" s="5"/>
      <c r="F3462" s="5" t="s">
        <v>10122</v>
      </c>
      <c r="G3462" s="5" t="s">
        <v>9967</v>
      </c>
      <c r="H3462" s="1"/>
      <c r="I3462" s="5">
        <v>3</v>
      </c>
      <c r="J3462" s="2"/>
      <c r="K3462" s="5" t="s">
        <v>10183</v>
      </c>
      <c r="L3462" s="19" t="s">
        <v>11024</v>
      </c>
      <c r="M3462" s="20" t="s">
        <v>12021</v>
      </c>
      <c r="N3462" s="5" t="s">
        <v>10</v>
      </c>
      <c r="O3462" s="5" t="s">
        <v>9969</v>
      </c>
      <c r="P3462" s="21" t="str">
        <f>IF(ISNUMBER(MATCH($C3462,StackableKinds,0)), TRUE, "")</f>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IF(ISNUMBER(MATCH($C3463,StackableKinds,0)), TRUE, "")</f>
        <v/>
      </c>
      <c r="Q3463" s="7" t="b">
        <v>1</v>
      </c>
    </row>
    <row r="3464" spans="1:18" x14ac:dyDescent="0.2">
      <c r="A3464" s="19" t="str">
        <f>_xlfn.IFNA(VLOOKUP($B3464,Keys!$A:$B,2,FALSE),_xlfn.IFNA(VLOOKUP($B3464,Keys!$D:$E,2,FALSE),VLOOKUP($B3464,Keys!$G:$H,2,FALSE)))</f>
        <v>0x0000001CB7B50632</v>
      </c>
      <c r="B3464" s="5" t="s">
        <v>3569</v>
      </c>
      <c r="C3464" s="5" t="s">
        <v>10</v>
      </c>
      <c r="D3464" s="5" t="s">
        <v>16860</v>
      </c>
      <c r="E3464" s="5"/>
      <c r="F3464" s="5" t="s">
        <v>9002</v>
      </c>
      <c r="G3464" s="5" t="s">
        <v>10145</v>
      </c>
      <c r="H3464" s="1"/>
      <c r="I3464" s="5">
        <v>1</v>
      </c>
      <c r="J3464" s="2"/>
      <c r="K3464" s="5" t="s">
        <v>10175</v>
      </c>
      <c r="L3464" s="19" t="s">
        <v>11147</v>
      </c>
      <c r="M3464" s="20" t="s">
        <v>12015</v>
      </c>
      <c r="N3464" s="5" t="s">
        <v>10</v>
      </c>
      <c r="O3464" s="5" t="s">
        <v>10137</v>
      </c>
      <c r="P3464" s="21" t="str">
        <f>IF(ISNUMBER(MATCH($C3464,StackableKinds,0)), TRUE, "")</f>
        <v/>
      </c>
      <c r="Q3464" s="7" t="b">
        <v>1</v>
      </c>
    </row>
    <row r="3465" spans="1:18" x14ac:dyDescent="0.2">
      <c r="A3465" s="19" t="str">
        <f>_xlfn.IFNA(VLOOKUP($B3465,Keys!$A:$B,2,FALSE),_xlfn.IFNA(VLOOKUP($B3465,Keys!$D:$E,2,FALSE),VLOOKUP($B3465,Keys!$G:$H,2,FALSE)))</f>
        <v>0x0000002172453FEA</v>
      </c>
      <c r="B3465" s="5" t="s">
        <v>3571</v>
      </c>
      <c r="C3465" s="5" t="s">
        <v>10</v>
      </c>
      <c r="D3465" s="5" t="s">
        <v>16859</v>
      </c>
      <c r="E3465" s="5"/>
      <c r="F3465" s="5" t="s">
        <v>9002</v>
      </c>
      <c r="G3465" s="5" t="s">
        <v>10145</v>
      </c>
      <c r="H3465" s="1"/>
      <c r="I3465" s="5">
        <v>2</v>
      </c>
      <c r="J3465" s="2"/>
      <c r="K3465" s="5" t="s">
        <v>10175</v>
      </c>
      <c r="L3465" s="19" t="s">
        <v>11147</v>
      </c>
      <c r="M3465" s="20" t="s">
        <v>12015</v>
      </c>
      <c r="N3465" s="5" t="s">
        <v>10</v>
      </c>
      <c r="O3465" s="5" t="s">
        <v>10137</v>
      </c>
      <c r="P3465" s="21" t="str">
        <f>IF(ISNUMBER(MATCH($C3465,StackableKinds,0)), TRUE, "")</f>
        <v/>
      </c>
      <c r="Q3465" s="7" t="b">
        <v>1</v>
      </c>
    </row>
    <row r="3466" spans="1:18" x14ac:dyDescent="0.2">
      <c r="A3466" s="19" t="str">
        <f>_xlfn.IFNA(VLOOKUP($B3466,Keys!$A:$B,2,FALSE),_xlfn.IFNA(VLOOKUP($B3466,Keys!$D:$E,2,FALSE),VLOOKUP($B3466,Keys!$G:$H,2,FALSE)))</f>
        <v>0x00000026964B5F1C</v>
      </c>
      <c r="B3466" s="5" t="s">
        <v>3573</v>
      </c>
      <c r="C3466" s="5" t="s">
        <v>10</v>
      </c>
      <c r="D3466" s="5" t="s">
        <v>16858</v>
      </c>
      <c r="E3466" s="5"/>
      <c r="F3466" s="5" t="s">
        <v>9002</v>
      </c>
      <c r="G3466" s="5" t="s">
        <v>10145</v>
      </c>
      <c r="H3466" s="1"/>
      <c r="I3466" s="5">
        <v>3</v>
      </c>
      <c r="J3466" s="2"/>
      <c r="K3466" s="5" t="s">
        <v>10175</v>
      </c>
      <c r="L3466" s="19" t="s">
        <v>11147</v>
      </c>
      <c r="M3466" s="20" t="s">
        <v>12015</v>
      </c>
      <c r="N3466" s="5" t="s">
        <v>10</v>
      </c>
      <c r="O3466" s="5" t="s">
        <v>10137</v>
      </c>
      <c r="P3466" s="21" t="str">
        <f>IF(ISNUMBER(MATCH($C3466,StackableKinds,0)), TRUE, "")</f>
        <v/>
      </c>
      <c r="Q3466" s="7" t="b">
        <v>1</v>
      </c>
    </row>
    <row r="3467" spans="1:18" x14ac:dyDescent="0.2">
      <c r="A3467" s="19" t="str">
        <f>_xlfn.IFNA(VLOOKUP($B3467,Keys!$A:$B,2,FALSE),_xlfn.IFNA(VLOOKUP($B3467,Keys!$D:$E,2,FALSE),VLOOKUP($B3467,Keys!$G:$H,2,FALSE)))</f>
        <v>0x0000001A4B230712</v>
      </c>
      <c r="B3467" s="5" t="s">
        <v>3426</v>
      </c>
      <c r="C3467" s="5" t="s">
        <v>10</v>
      </c>
      <c r="D3467" s="5" t="s">
        <v>16859</v>
      </c>
      <c r="E3467" s="5"/>
      <c r="F3467" s="5" t="s">
        <v>10122</v>
      </c>
      <c r="G3467" s="5" t="s">
        <v>10142</v>
      </c>
      <c r="H3467" s="1"/>
      <c r="I3467" s="5">
        <v>1</v>
      </c>
      <c r="J3467" s="2"/>
      <c r="K3467" s="5" t="s">
        <v>10143</v>
      </c>
      <c r="L3467" s="19" t="s">
        <v>11010</v>
      </c>
      <c r="M3467" s="20" t="s">
        <v>12006</v>
      </c>
      <c r="N3467" s="5" t="s">
        <v>10</v>
      </c>
      <c r="O3467" s="5" t="s">
        <v>9969</v>
      </c>
      <c r="P3467" s="21" t="str">
        <f>IF(ISNUMBER(MATCH($C3467,StackableKinds,0)), TRUE, "")</f>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16858</v>
      </c>
      <c r="E3468" s="5"/>
      <c r="F3468" s="5" t="s">
        <v>10122</v>
      </c>
      <c r="G3468" s="5" t="s">
        <v>10142</v>
      </c>
      <c r="H3468" s="1"/>
      <c r="I3468" s="5">
        <v>2</v>
      </c>
      <c r="J3468" s="2"/>
      <c r="K3468" s="5" t="s">
        <v>10143</v>
      </c>
      <c r="L3468" s="19" t="s">
        <v>11010</v>
      </c>
      <c r="M3468" s="20" t="s">
        <v>12006</v>
      </c>
      <c r="N3468" s="5" t="s">
        <v>10</v>
      </c>
      <c r="O3468" s="5" t="s">
        <v>9969</v>
      </c>
      <c r="P3468" s="21" t="str">
        <f>IF(ISNUMBER(MATCH($C3468,StackableKinds,0)), TRUE, "")</f>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16860</v>
      </c>
      <c r="E3469" s="5"/>
      <c r="F3469" s="5" t="s">
        <v>9002</v>
      </c>
      <c r="G3469" s="5" t="s">
        <v>10135</v>
      </c>
      <c r="H3469" s="1"/>
      <c r="I3469" s="5">
        <v>1</v>
      </c>
      <c r="J3469" s="2"/>
      <c r="K3469" s="5" t="s">
        <v>10147</v>
      </c>
      <c r="L3469" s="19" t="s">
        <v>11011</v>
      </c>
      <c r="M3469" s="20" t="s">
        <v>12007</v>
      </c>
      <c r="N3469" s="5" t="s">
        <v>10</v>
      </c>
      <c r="O3469" s="5" t="s">
        <v>10137</v>
      </c>
      <c r="P3469" s="21" t="str">
        <f>IF(ISNUMBER(MATCH($C3469,StackableKinds,0)), TRUE, "")</f>
        <v/>
      </c>
      <c r="Q3469" s="7" t="b">
        <v>1</v>
      </c>
    </row>
    <row r="3470" spans="1:18" x14ac:dyDescent="0.2">
      <c r="A3470" s="19" t="str">
        <f>_xlfn.IFNA(VLOOKUP($B3470,Keys!$A:$B,2,FALSE),_xlfn.IFNA(VLOOKUP($B3470,Keys!$D:$E,2,FALSE),VLOOKUP($B3470,Keys!$G:$H,2,FALSE)))</f>
        <v>0x0000001E46989773</v>
      </c>
      <c r="B3470" s="5" t="s">
        <v>3442</v>
      </c>
      <c r="C3470" s="5" t="s">
        <v>10</v>
      </c>
      <c r="D3470" s="5" t="s">
        <v>16859</v>
      </c>
      <c r="E3470" s="5"/>
      <c r="F3470" s="5" t="s">
        <v>9002</v>
      </c>
      <c r="G3470" s="5" t="s">
        <v>10135</v>
      </c>
      <c r="H3470" s="1"/>
      <c r="I3470" s="5">
        <v>2</v>
      </c>
      <c r="J3470" s="2"/>
      <c r="K3470" s="5" t="s">
        <v>10147</v>
      </c>
      <c r="L3470" s="19" t="s">
        <v>11011</v>
      </c>
      <c r="M3470" s="20" t="s">
        <v>12007</v>
      </c>
      <c r="N3470" s="5" t="s">
        <v>10</v>
      </c>
      <c r="O3470" s="5" t="s">
        <v>10137</v>
      </c>
      <c r="P3470" s="21" t="str">
        <f>IF(ISNUMBER(MATCH($C3470,StackableKinds,0)), TRUE, "")</f>
        <v/>
      </c>
      <c r="Q3470" s="7" t="b">
        <v>1</v>
      </c>
    </row>
    <row r="3471" spans="1:18" x14ac:dyDescent="0.2">
      <c r="A3471" s="19" t="str">
        <f>_xlfn.IFNA(VLOOKUP($B3471,Keys!$A:$B,2,FALSE),_xlfn.IFNA(VLOOKUP($B3471,Keys!$D:$E,2,FALSE),VLOOKUP($B3471,Keys!$G:$H,2,FALSE)))</f>
        <v>0x00000023FCF97E03</v>
      </c>
      <c r="B3471" s="5" t="s">
        <v>3444</v>
      </c>
      <c r="C3471" s="5" t="s">
        <v>10</v>
      </c>
      <c r="D3471" s="5" t="s">
        <v>16858</v>
      </c>
      <c r="E3471" s="5"/>
      <c r="F3471" s="5" t="s">
        <v>9002</v>
      </c>
      <c r="G3471" s="5" t="s">
        <v>10135</v>
      </c>
      <c r="H3471" s="1"/>
      <c r="I3471" s="5">
        <v>3</v>
      </c>
      <c r="J3471" s="2"/>
      <c r="K3471" s="5" t="s">
        <v>10147</v>
      </c>
      <c r="L3471" s="19" t="s">
        <v>11011</v>
      </c>
      <c r="M3471" s="20" t="s">
        <v>12007</v>
      </c>
      <c r="N3471" s="5" t="s">
        <v>10</v>
      </c>
      <c r="O3471" s="5" t="s">
        <v>10137</v>
      </c>
      <c r="P3471" s="21" t="str">
        <f>IF(ISNUMBER(MATCH($C3471,StackableKinds,0)), TRUE, "")</f>
        <v/>
      </c>
      <c r="Q3471" s="7" t="b">
        <v>1</v>
      </c>
    </row>
    <row r="3472" spans="1:18" x14ac:dyDescent="0.2">
      <c r="A3472" s="19" t="str">
        <f>_xlfn.IFNA(VLOOKUP($B3472,Keys!$A:$B,2,FALSE),_xlfn.IFNA(VLOOKUP($B3472,Keys!$D:$E,2,FALSE),VLOOKUP($B3472,Keys!$G:$H,2,FALSE)))</f>
        <v>0x0000001BA740AA1F</v>
      </c>
      <c r="B3472" s="5" t="s">
        <v>3808</v>
      </c>
      <c r="C3472" s="5" t="s">
        <v>10</v>
      </c>
      <c r="D3472" s="5" t="s">
        <v>16859</v>
      </c>
      <c r="E3472" s="5"/>
      <c r="F3472" s="5" t="s">
        <v>10126</v>
      </c>
      <c r="G3472" s="5" t="s">
        <v>10142</v>
      </c>
      <c r="H3472" s="1"/>
      <c r="I3472" s="5">
        <v>1</v>
      </c>
      <c r="J3472" s="7" t="b">
        <v>1</v>
      </c>
      <c r="K3472" s="5" t="s">
        <v>10210</v>
      </c>
      <c r="L3472" s="19" t="s">
        <v>11035</v>
      </c>
      <c r="M3472" s="20" t="s">
        <v>12034</v>
      </c>
      <c r="N3472" s="5" t="s">
        <v>10</v>
      </c>
      <c r="O3472" s="5" t="s">
        <v>9969</v>
      </c>
      <c r="P3472" s="21" t="str">
        <f>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16858</v>
      </c>
      <c r="E3473" s="5"/>
      <c r="F3473" s="5" t="s">
        <v>10126</v>
      </c>
      <c r="G3473" s="5" t="s">
        <v>10142</v>
      </c>
      <c r="H3473" s="1"/>
      <c r="I3473" s="5">
        <v>2</v>
      </c>
      <c r="J3473" s="7" t="b">
        <v>1</v>
      </c>
      <c r="K3473" s="5" t="s">
        <v>10210</v>
      </c>
      <c r="L3473" s="19" t="s">
        <v>11035</v>
      </c>
      <c r="M3473" s="20" t="s">
        <v>12034</v>
      </c>
      <c r="N3473" s="5" t="s">
        <v>10</v>
      </c>
      <c r="O3473" s="5" t="s">
        <v>9969</v>
      </c>
      <c r="P3473" s="21" t="str">
        <f>IF(ISNUMBER(MATCH($C3473,StackableKinds,0)), TRUE, "")</f>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IF(ISNUMBER(MATCH($C3474,StackableKinds,0)), TRUE, "")</f>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IF(ISNUMBER(MATCH($C3475,StackableKinds,0)), TRUE, "")</f>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IF(ISNUMBER(MATCH($C3476,StackableKinds,0)), TRUE, "")</f>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IF(ISNUMBER(MATCH($C3477,StackableKinds,0)), TRUE, "")</f>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IF(ISNUMBER(MATCH($C3478,StackableKinds,0)), TRUE, "")</f>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IF(ISNUMBER(MATCH($C3479,StackableKinds,0)), TRUE, "")</f>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IF(ISNUMBER(MATCH($C3480,StackableKinds,0)), TRUE, "")</f>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IF(ISNUMBER(MATCH($C3481,StackableKinds,0)), TRUE, "")</f>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IF(ISNUMBER(MATCH($C3482,StackableKinds,0)), TRUE, "")</f>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IF(ISNUMBER(MATCH($C3483,StackableKinds,0)), TRUE, "")</f>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IF(ISNUMBER(MATCH($C3484,StackableKinds,0)), TRUE, "")</f>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16823</v>
      </c>
      <c r="M3485" s="18"/>
      <c r="N3485" s="5" t="s">
        <v>10</v>
      </c>
      <c r="O3485" s="5" t="s">
        <v>9969</v>
      </c>
      <c r="P3485" s="21" t="str">
        <f>IF(ISNUMBER(MATCH($C3485,StackableKinds,0)), TRUE, "")</f>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16824</v>
      </c>
      <c r="M3486" s="18"/>
      <c r="N3486" s="5" t="s">
        <v>10</v>
      </c>
      <c r="O3486" s="5" t="s">
        <v>9969</v>
      </c>
      <c r="P3486" s="21" t="str">
        <f>IF(ISNUMBER(MATCH($C3486,StackableKinds,0)), TRUE, "")</f>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16825</v>
      </c>
      <c r="M3487" s="18"/>
      <c r="N3487" s="5" t="s">
        <v>10</v>
      </c>
      <c r="O3487" s="5" t="s">
        <v>9969</v>
      </c>
      <c r="P3487" s="21" t="str">
        <f>IF(ISNUMBER(MATCH($C3487,StackableKinds,0)), TRUE, "")</f>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IF(ISNUMBER(MATCH($C3488,StackableKinds,0)), TRUE, "")</f>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16817</v>
      </c>
      <c r="M3489" s="18"/>
      <c r="N3489" s="5" t="s">
        <v>10</v>
      </c>
      <c r="O3489" s="5" t="s">
        <v>9969</v>
      </c>
      <c r="P3489" s="21" t="str">
        <f>IF(ISNUMBER(MATCH($C3489,StackableKinds,0)), TRUE, "")</f>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16818</v>
      </c>
      <c r="M3490" s="18"/>
      <c r="N3490" s="5" t="s">
        <v>10</v>
      </c>
      <c r="O3490" s="5" t="s">
        <v>9969</v>
      </c>
      <c r="P3490" s="21" t="str">
        <f>IF(ISNUMBER(MATCH($C3490,StackableKinds,0)), TRUE, "")</f>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16819</v>
      </c>
      <c r="M3491" s="18"/>
      <c r="N3491" s="5" t="s">
        <v>10</v>
      </c>
      <c r="O3491" s="5" t="s">
        <v>9969</v>
      </c>
      <c r="P3491" s="21" t="str">
        <f>IF(ISNUMBER(MATCH($C3491,StackableKinds,0)), TRUE, "")</f>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IF(ISNUMBER(MATCH($C3492,StackableKinds,0)), TRUE, "")</f>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16832</v>
      </c>
      <c r="M3493" s="18"/>
      <c r="N3493" s="5" t="s">
        <v>10</v>
      </c>
      <c r="O3493" s="5" t="s">
        <v>9969</v>
      </c>
      <c r="P3493" s="21" t="str">
        <f>IF(ISNUMBER(MATCH($C3493,StackableKinds,0)), TRUE, "")</f>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16833</v>
      </c>
      <c r="M3494" s="18"/>
      <c r="N3494" s="5" t="s">
        <v>10</v>
      </c>
      <c r="O3494" s="5" t="s">
        <v>9969</v>
      </c>
      <c r="P3494" s="21" t="str">
        <f>IF(ISNUMBER(MATCH($C3494,StackableKinds,0)), TRUE, "")</f>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IF(ISNUMBER(MATCH($C3495,StackableKinds,0)), TRUE, "")</f>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IF(ISNUMBER(MATCH($C3496,StackableKinds,0)), TRUE, "")</f>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IF(ISNUMBER(MATCH($C3497,StackableKinds,0)), TRUE, "")</f>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IF(ISNUMBER(MATCH($C3498,StackableKinds,0)), TRUE, "")</f>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IF(ISNUMBER(MATCH($C3499,StackableKinds,0)), TRUE, "")</f>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16805</v>
      </c>
      <c r="M3500" s="18"/>
      <c r="N3500" s="5" t="s">
        <v>10</v>
      </c>
      <c r="O3500" s="5" t="s">
        <v>9969</v>
      </c>
      <c r="P3500" s="21" t="str">
        <f>IF(ISNUMBER(MATCH($C3500,StackableKinds,0)), TRUE, "")</f>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16806</v>
      </c>
      <c r="M3501" s="18"/>
      <c r="N3501" s="5" t="s">
        <v>10</v>
      </c>
      <c r="O3501" s="5" t="s">
        <v>9969</v>
      </c>
      <c r="P3501" s="21" t="str">
        <f>IF(ISNUMBER(MATCH($C3501,StackableKinds,0)), TRUE, "")</f>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16807</v>
      </c>
      <c r="M3502" s="18"/>
      <c r="N3502" s="5" t="s">
        <v>10</v>
      </c>
      <c r="O3502" s="5" t="s">
        <v>9969</v>
      </c>
      <c r="P3502" s="21" t="str">
        <f>IF(ISNUMBER(MATCH($C3502,StackableKinds,0)), TRUE, "")</f>
        <v/>
      </c>
      <c r="Q3502" s="7" t="b">
        <v>1</v>
      </c>
    </row>
    <row r="3503" spans="1:17" x14ac:dyDescent="0.2">
      <c r="A3503" s="19" t="str">
        <f>_xlfn.IFNA(VLOOKUP($B3503,Keys!$A:$B,2,FALSE),_xlfn.IFNA(VLOOKUP($B3503,Keys!$D:$E,2,FALSE),VLOOKUP($B3503,Keys!$G:$H,2,FALSE)))</f>
        <v>0x0000001F15410BAA</v>
      </c>
      <c r="B3503" s="5" t="s">
        <v>3890</v>
      </c>
      <c r="C3503" s="5" t="s">
        <v>10</v>
      </c>
      <c r="D3503" s="5" t="s">
        <v>16860</v>
      </c>
      <c r="E3503" s="5"/>
      <c r="F3503" s="5" t="s">
        <v>9966</v>
      </c>
      <c r="G3503" s="5" t="s">
        <v>10127</v>
      </c>
      <c r="H3503" s="1"/>
      <c r="I3503" s="5">
        <v>1</v>
      </c>
      <c r="J3503" s="2"/>
      <c r="K3503" s="5" t="s">
        <v>10224</v>
      </c>
      <c r="L3503" s="19" t="s">
        <v>11040</v>
      </c>
      <c r="M3503" s="20" t="s">
        <v>12039</v>
      </c>
      <c r="N3503" s="5" t="s">
        <v>10</v>
      </c>
      <c r="O3503" s="5" t="s">
        <v>9969</v>
      </c>
      <c r="P3503" s="21" t="str">
        <f>IF(ISNUMBER(MATCH($C3503,StackableKinds,0)), TRUE, "")</f>
        <v/>
      </c>
      <c r="Q3503" s="7" t="b">
        <v>1</v>
      </c>
    </row>
    <row r="3504" spans="1:17" x14ac:dyDescent="0.2">
      <c r="A3504" s="19" t="str">
        <f>_xlfn.IFNA(VLOOKUP($B3504,Keys!$A:$B,2,FALSE),_xlfn.IFNA(VLOOKUP($B3504,Keys!$D:$E,2,FALSE),VLOOKUP($B3504,Keys!$G:$H,2,FALSE)))</f>
        <v>0x000000244FA58E81</v>
      </c>
      <c r="B3504" s="5" t="s">
        <v>3892</v>
      </c>
      <c r="C3504" s="5" t="s">
        <v>10</v>
      </c>
      <c r="D3504" s="5" t="s">
        <v>16859</v>
      </c>
      <c r="E3504" s="5"/>
      <c r="F3504" s="5" t="s">
        <v>9966</v>
      </c>
      <c r="G3504" s="5" t="s">
        <v>10127</v>
      </c>
      <c r="H3504" s="1"/>
      <c r="I3504" s="5">
        <v>2</v>
      </c>
      <c r="J3504" s="2"/>
      <c r="K3504" s="5" t="s">
        <v>10224</v>
      </c>
      <c r="L3504" s="19" t="s">
        <v>11040</v>
      </c>
      <c r="M3504" s="20" t="s">
        <v>12039</v>
      </c>
      <c r="N3504" s="5" t="s">
        <v>10</v>
      </c>
      <c r="O3504" s="5" t="s">
        <v>9969</v>
      </c>
      <c r="P3504" s="21" t="str">
        <f>IF(ISNUMBER(MATCH($C3504,StackableKinds,0)), TRUE, "")</f>
        <v/>
      </c>
      <c r="Q3504" s="7" t="b">
        <v>1</v>
      </c>
    </row>
    <row r="3505" spans="1:19" x14ac:dyDescent="0.2">
      <c r="A3505" s="19" t="str">
        <f>_xlfn.IFNA(VLOOKUP($B3505,Keys!$A:$B,2,FALSE),_xlfn.IFNA(VLOOKUP($B3505,Keys!$D:$E,2,FALSE),VLOOKUP($B3505,Keys!$G:$H,2,FALSE)))</f>
        <v>0x000000291E6DA8A1</v>
      </c>
      <c r="B3505" s="5" t="s">
        <v>3894</v>
      </c>
      <c r="C3505" s="5" t="s">
        <v>10</v>
      </c>
      <c r="D3505" s="5" t="s">
        <v>16858</v>
      </c>
      <c r="E3505" s="5"/>
      <c r="F3505" s="5" t="s">
        <v>9966</v>
      </c>
      <c r="G3505" s="5" t="s">
        <v>10127</v>
      </c>
      <c r="H3505" s="1"/>
      <c r="I3505" s="5">
        <v>3</v>
      </c>
      <c r="J3505" s="2"/>
      <c r="K3505" s="5" t="s">
        <v>10224</v>
      </c>
      <c r="L3505" s="19" t="s">
        <v>11040</v>
      </c>
      <c r="M3505" s="20" t="s">
        <v>12039</v>
      </c>
      <c r="N3505" s="5" t="s">
        <v>10</v>
      </c>
      <c r="O3505" s="5" t="s">
        <v>9969</v>
      </c>
      <c r="P3505" s="21" t="str">
        <f>IF(ISNUMBER(MATCH($C3505,StackableKinds,0)), TRUE, "")</f>
        <v/>
      </c>
      <c r="Q3505" s="7" t="b">
        <v>1</v>
      </c>
    </row>
    <row r="3506" spans="1:19" x14ac:dyDescent="0.2">
      <c r="A3506" s="19" t="str">
        <f>_xlfn.IFNA(VLOOKUP($B3506,Keys!$A:$B,2,FALSE),_xlfn.IFNA(VLOOKUP($B3506,Keys!$D:$E,2,FALSE),VLOOKUP($B3506,Keys!$G:$H,2,FALSE)))</f>
        <v>0x0000001B0F1C45EB</v>
      </c>
      <c r="B3506" s="5" t="s">
        <v>3729</v>
      </c>
      <c r="C3506" s="5" t="s">
        <v>10</v>
      </c>
      <c r="D3506" s="5" t="s">
        <v>16860</v>
      </c>
      <c r="E3506" s="5"/>
      <c r="F3506" s="5" t="s">
        <v>10126</v>
      </c>
      <c r="G3506" s="5" t="s">
        <v>10142</v>
      </c>
      <c r="H3506" s="1"/>
      <c r="I3506" s="5">
        <v>1</v>
      </c>
      <c r="J3506" s="2"/>
      <c r="K3506" s="5" t="s">
        <v>10201</v>
      </c>
      <c r="L3506" s="19" t="s">
        <v>11030</v>
      </c>
      <c r="M3506" s="20" t="s">
        <v>12029</v>
      </c>
      <c r="N3506" s="5" t="s">
        <v>10</v>
      </c>
      <c r="O3506" s="5" t="s">
        <v>9969</v>
      </c>
      <c r="P3506" s="21" t="str">
        <f>IF(ISNUMBER(MATCH($C3506,StackableKinds,0)), TRUE, "")</f>
        <v/>
      </c>
      <c r="Q3506" s="7" t="b">
        <v>1</v>
      </c>
    </row>
    <row r="3507" spans="1:19" x14ac:dyDescent="0.2">
      <c r="A3507" s="19" t="str">
        <f>_xlfn.IFNA(VLOOKUP($B3507,Keys!$A:$B,2,FALSE),_xlfn.IFNA(VLOOKUP($B3507,Keys!$D:$E,2,FALSE),VLOOKUP($B3507,Keys!$G:$H,2,FALSE)))</f>
        <v>0x0000002085B4974E</v>
      </c>
      <c r="B3507" s="5" t="s">
        <v>3731</v>
      </c>
      <c r="C3507" s="5" t="s">
        <v>10</v>
      </c>
      <c r="D3507" s="5" t="s">
        <v>16859</v>
      </c>
      <c r="E3507" s="5"/>
      <c r="F3507" s="5" t="s">
        <v>10126</v>
      </c>
      <c r="G3507" s="5" t="s">
        <v>10142</v>
      </c>
      <c r="H3507" s="1"/>
      <c r="I3507" s="5">
        <v>2</v>
      </c>
      <c r="J3507" s="2"/>
      <c r="K3507" s="5" t="s">
        <v>10201</v>
      </c>
      <c r="L3507" s="19" t="s">
        <v>11030</v>
      </c>
      <c r="M3507" s="20" t="s">
        <v>12029</v>
      </c>
      <c r="N3507" s="5" t="s">
        <v>10</v>
      </c>
      <c r="O3507" s="5" t="s">
        <v>9969</v>
      </c>
      <c r="P3507" s="21" t="str">
        <f>IF(ISNUMBER(MATCH($C3507,StackableKinds,0)), TRUE, "")</f>
        <v/>
      </c>
      <c r="Q3507" s="7" t="b">
        <v>1</v>
      </c>
    </row>
    <row r="3508" spans="1:19" x14ac:dyDescent="0.2">
      <c r="A3508" s="19" t="str">
        <f>_xlfn.IFNA(VLOOKUP($B3508,Keys!$A:$B,2,FALSE),_xlfn.IFNA(VLOOKUP($B3508,Keys!$D:$E,2,FALSE),VLOOKUP($B3508,Keys!$G:$H,2,FALSE)))</f>
        <v>0x0000002574C8393D</v>
      </c>
      <c r="B3508" s="5" t="s">
        <v>3733</v>
      </c>
      <c r="C3508" s="5" t="s">
        <v>10</v>
      </c>
      <c r="D3508" s="5" t="s">
        <v>16858</v>
      </c>
      <c r="E3508" s="5"/>
      <c r="F3508" s="5" t="s">
        <v>10126</v>
      </c>
      <c r="G3508" s="5" t="s">
        <v>10142</v>
      </c>
      <c r="H3508" s="1"/>
      <c r="I3508" s="5">
        <v>3</v>
      </c>
      <c r="J3508" s="2"/>
      <c r="K3508" s="5" t="s">
        <v>10201</v>
      </c>
      <c r="L3508" s="19" t="s">
        <v>11030</v>
      </c>
      <c r="M3508" s="20" t="s">
        <v>12029</v>
      </c>
      <c r="N3508" s="5" t="s">
        <v>10</v>
      </c>
      <c r="O3508" s="5" t="s">
        <v>9969</v>
      </c>
      <c r="P3508" s="21" t="str">
        <f>IF(ISNUMBER(MATCH($C3508,StackableKinds,0)), TRUE, "")</f>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IF(ISNUMBER(MATCH($C3509,StackableKinds,0)), TRUE, "")</f>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16811</v>
      </c>
      <c r="M3510" s="18"/>
      <c r="N3510" s="5" t="s">
        <v>10</v>
      </c>
      <c r="O3510" s="5" t="s">
        <v>9969</v>
      </c>
      <c r="P3510" s="21" t="str">
        <f>IF(ISNUMBER(MATCH($C3510,StackableKinds,0)), TRUE, "")</f>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16812</v>
      </c>
      <c r="M3511" s="18"/>
      <c r="N3511" s="5" t="s">
        <v>10</v>
      </c>
      <c r="O3511" s="5" t="s">
        <v>9969</v>
      </c>
      <c r="P3511" s="21" t="str">
        <f>IF(ISNUMBER(MATCH($C3511,StackableKinds,0)), TRUE, "")</f>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16813</v>
      </c>
      <c r="M3512" s="18"/>
      <c r="N3512" s="5" t="s">
        <v>10</v>
      </c>
      <c r="O3512" s="5" t="s">
        <v>9969</v>
      </c>
      <c r="P3512" s="21" t="str">
        <f>IF(ISNUMBER(MATCH($C3512,StackableKinds,0)), TRUE, "")</f>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IF(ISNUMBER(MATCH($C3513,StackableKinds,0)), TRUE, "")</f>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IF(ISNUMBER(MATCH($C3514,StackableKinds,0)), TRUE, "")</f>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IF(ISNUMBER(MATCH($C3515,StackableKinds,0)), TRUE, "")</f>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IF(ISNUMBER(MATCH($C3516,StackableKinds,0)), TRUE, "")</f>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IF(ISNUMBER(MATCH($C3517,StackableKinds,0)), TRUE, "")</f>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IF(ISNUMBER(MATCH($C3518,StackableKinds,0)), TRUE, "")</f>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IF(ISNUMBER(MATCH($C3519,StackableKinds,0)), TRUE, "")</f>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16808</v>
      </c>
      <c r="M3520" s="18"/>
      <c r="N3520" s="5" t="s">
        <v>10</v>
      </c>
      <c r="O3520" s="5" t="s">
        <v>9969</v>
      </c>
      <c r="P3520" s="21" t="str">
        <f>IF(ISNUMBER(MATCH($C3520,StackableKinds,0)), TRUE, "")</f>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16809</v>
      </c>
      <c r="M3521" s="18"/>
      <c r="N3521" s="5" t="s">
        <v>10</v>
      </c>
      <c r="O3521" s="5" t="s">
        <v>9969</v>
      </c>
      <c r="P3521" s="21" t="str">
        <f>IF(ISNUMBER(MATCH($C3521,StackableKinds,0)), TRUE, "")</f>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16810</v>
      </c>
      <c r="M3522" s="18"/>
      <c r="N3522" s="5" t="s">
        <v>10</v>
      </c>
      <c r="O3522" s="5" t="s">
        <v>9969</v>
      </c>
      <c r="P3522" s="21" t="str">
        <f>IF(ISNUMBER(MATCH($C3522,StackableKinds,0)), TRUE, "")</f>
        <v/>
      </c>
      <c r="Q3522" s="7" t="b">
        <v>1</v>
      </c>
    </row>
    <row r="3523" spans="1:19" x14ac:dyDescent="0.2">
      <c r="A3523" s="19" t="str">
        <f>_xlfn.IFNA(VLOOKUP($B3523,Keys!$A:$B,2,FALSE),_xlfn.IFNA(VLOOKUP($B3523,Keys!$D:$E,2,FALSE),VLOOKUP($B3523,Keys!$G:$H,2,FALSE)))</f>
        <v>0x0000001D0C812D34</v>
      </c>
      <c r="B3523" s="5" t="s">
        <v>3666</v>
      </c>
      <c r="C3523" s="5" t="s">
        <v>10</v>
      </c>
      <c r="D3523" s="5" t="s">
        <v>16861</v>
      </c>
      <c r="E3523" s="5"/>
      <c r="F3523" s="5" t="s">
        <v>10126</v>
      </c>
      <c r="G3523" s="5" t="s">
        <v>9967</v>
      </c>
      <c r="H3523" s="1"/>
      <c r="I3523" s="5">
        <v>0</v>
      </c>
      <c r="J3523" s="2"/>
      <c r="K3523" s="5" t="s">
        <v>10188</v>
      </c>
      <c r="L3523" s="19" t="s">
        <v>11025</v>
      </c>
      <c r="M3523" s="20" t="s">
        <v>12023</v>
      </c>
      <c r="N3523" s="5" t="s">
        <v>10</v>
      </c>
      <c r="O3523" s="5" t="s">
        <v>9969</v>
      </c>
      <c r="P3523" s="21" t="str">
        <f>IF(ISNUMBER(MATCH($C3523,StackableKinds,0)), TRUE, "")</f>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16861</v>
      </c>
      <c r="E3524" s="5"/>
      <c r="F3524" s="5" t="s">
        <v>10126</v>
      </c>
      <c r="G3524" s="5" t="s">
        <v>9967</v>
      </c>
      <c r="H3524" s="1"/>
      <c r="I3524" s="5">
        <v>1</v>
      </c>
      <c r="J3524" s="2"/>
      <c r="K3524" s="5" t="s">
        <v>10188</v>
      </c>
      <c r="L3524" s="19" t="s">
        <v>11025</v>
      </c>
      <c r="M3524" s="20" t="s">
        <v>12023</v>
      </c>
      <c r="N3524" s="5" t="s">
        <v>10</v>
      </c>
      <c r="O3524" s="5" t="s">
        <v>9969</v>
      </c>
      <c r="P3524" s="21" t="str">
        <f>IF(ISNUMBER(MATCH($C3524,StackableKinds,0)), TRUE, "")</f>
        <v/>
      </c>
      <c r="Q3524" s="7" t="b">
        <v>1</v>
      </c>
    </row>
    <row r="3525" spans="1:19" x14ac:dyDescent="0.2">
      <c r="A3525" s="19" t="str">
        <f>_xlfn.IFNA(VLOOKUP($B3525,Keys!$A:$B,2,FALSE),_xlfn.IFNA(VLOOKUP($B3525,Keys!$D:$E,2,FALSE),VLOOKUP($B3525,Keys!$G:$H,2,FALSE)))</f>
        <v>0x000000223E1A1084</v>
      </c>
      <c r="B3525" s="5" t="s">
        <v>3672</v>
      </c>
      <c r="C3525" s="5" t="s">
        <v>10</v>
      </c>
      <c r="D3525" s="5" t="s">
        <v>16860</v>
      </c>
      <c r="E3525" s="5"/>
      <c r="F3525" s="5" t="s">
        <v>10126</v>
      </c>
      <c r="G3525" s="5" t="s">
        <v>9967</v>
      </c>
      <c r="H3525" s="1"/>
      <c r="I3525" s="5">
        <v>2</v>
      </c>
      <c r="J3525" s="2"/>
      <c r="K3525" s="5" t="s">
        <v>10188</v>
      </c>
      <c r="L3525" s="19" t="s">
        <v>11025</v>
      </c>
      <c r="M3525" s="20" t="s">
        <v>12023</v>
      </c>
      <c r="N3525" s="5" t="s">
        <v>10</v>
      </c>
      <c r="O3525" s="5" t="s">
        <v>9969</v>
      </c>
      <c r="P3525" s="21" t="str">
        <f>IF(ISNUMBER(MATCH($C3525,StackableKinds,0)), TRUE, "")</f>
        <v/>
      </c>
      <c r="Q3525" s="2"/>
    </row>
    <row r="3526" spans="1:19" x14ac:dyDescent="0.2">
      <c r="A3526" s="19" t="str">
        <f>_xlfn.IFNA(VLOOKUP($B3526,Keys!$A:$B,2,FALSE),_xlfn.IFNA(VLOOKUP($B3526,Keys!$D:$E,2,FALSE),VLOOKUP($B3526,Keys!$G:$H,2,FALSE)))</f>
        <v>0x00000022AE65D84A</v>
      </c>
      <c r="B3526" s="5" t="s">
        <v>3668</v>
      </c>
      <c r="C3526" s="5" t="s">
        <v>10</v>
      </c>
      <c r="D3526" s="5" t="s">
        <v>16859</v>
      </c>
      <c r="E3526" s="5"/>
      <c r="F3526" s="5" t="s">
        <v>10126</v>
      </c>
      <c r="G3526" s="5" t="s">
        <v>9967</v>
      </c>
      <c r="H3526" s="1"/>
      <c r="I3526" s="5">
        <v>3</v>
      </c>
      <c r="J3526" s="2"/>
      <c r="K3526" s="5" t="s">
        <v>10188</v>
      </c>
      <c r="L3526" s="19" t="s">
        <v>11025</v>
      </c>
      <c r="M3526" s="20" t="s">
        <v>12023</v>
      </c>
      <c r="N3526" s="5" t="s">
        <v>10</v>
      </c>
      <c r="O3526" s="5" t="s">
        <v>9969</v>
      </c>
      <c r="P3526" s="21" t="str">
        <f>IF(ISNUMBER(MATCH($C3526,StackableKinds,0)), TRUE, "")</f>
        <v/>
      </c>
      <c r="Q3526" s="7" t="b">
        <v>1</v>
      </c>
    </row>
    <row r="3527" spans="1:19" x14ac:dyDescent="0.2">
      <c r="A3527" s="19" t="str">
        <f>_xlfn.IFNA(VLOOKUP($B3527,Keys!$A:$B,2,FALSE),_xlfn.IFNA(VLOOKUP($B3527,Keys!$D:$E,2,FALSE),VLOOKUP($B3527,Keys!$G:$H,2,FALSE)))</f>
        <v>0x00000027B80475F8</v>
      </c>
      <c r="B3527" s="5" t="s">
        <v>3670</v>
      </c>
      <c r="C3527" s="5" t="s">
        <v>10</v>
      </c>
      <c r="D3527" s="5" t="s">
        <v>16858</v>
      </c>
      <c r="E3527" s="5"/>
      <c r="F3527" s="5" t="s">
        <v>10126</v>
      </c>
      <c r="G3527" s="5" t="s">
        <v>9967</v>
      </c>
      <c r="H3527" s="1"/>
      <c r="I3527" s="5">
        <v>4</v>
      </c>
      <c r="J3527" s="2"/>
      <c r="K3527" s="5" t="s">
        <v>10188</v>
      </c>
      <c r="L3527" s="19" t="s">
        <v>11025</v>
      </c>
      <c r="M3527" s="20" t="s">
        <v>12023</v>
      </c>
      <c r="N3527" s="5" t="s">
        <v>10</v>
      </c>
      <c r="O3527" s="5" t="s">
        <v>9969</v>
      </c>
      <c r="P3527" s="21" t="str">
        <f>IF(ISNUMBER(MATCH($C3527,StackableKinds,0)), TRUE, "")</f>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IF(ISNUMBER(MATCH($C3528,StackableKinds,0)), TRUE, "")</f>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IF(ISNUMBER(MATCH($C3529,StackableKinds,0)), TRUE, "")</f>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IF(ISNUMBER(MATCH($C3530,StackableKinds,0)), TRUE, "")</f>
        <v/>
      </c>
      <c r="Q3530" s="7" t="b">
        <v>1</v>
      </c>
    </row>
    <row r="3531" spans="1:19" x14ac:dyDescent="0.2">
      <c r="A3531" s="19" t="str">
        <f>_xlfn.IFNA(VLOOKUP($B3531,Keys!$A:$B,2,FALSE),_xlfn.IFNA(VLOOKUP($B3531,Keys!$D:$E,2,FALSE),VLOOKUP($B3531,Keys!$G:$H,2,FALSE)))</f>
        <v>0x0000001F2AF36A00</v>
      </c>
      <c r="B3531" s="5" t="s">
        <v>3850</v>
      </c>
      <c r="C3531" s="5" t="s">
        <v>10</v>
      </c>
      <c r="D3531" s="5" t="s">
        <v>16860</v>
      </c>
      <c r="E3531" s="5"/>
      <c r="F3531" s="5" t="s">
        <v>10126</v>
      </c>
      <c r="G3531" s="5" t="s">
        <v>10158</v>
      </c>
      <c r="H3531" s="1"/>
      <c r="I3531" s="5">
        <v>1</v>
      </c>
      <c r="J3531" s="2"/>
      <c r="K3531" s="5" t="s">
        <v>10217</v>
      </c>
      <c r="L3531" s="19" t="s">
        <v>11354</v>
      </c>
      <c r="M3531" s="20" t="s">
        <v>12036</v>
      </c>
      <c r="N3531" s="5" t="s">
        <v>10</v>
      </c>
      <c r="O3531" s="5" t="s">
        <v>9969</v>
      </c>
      <c r="P3531" s="21" t="str">
        <f>IF(ISNUMBER(MATCH($C3531,StackableKinds,0)), TRUE, "")</f>
        <v/>
      </c>
      <c r="Q3531" s="7" t="b">
        <v>1</v>
      </c>
    </row>
    <row r="3532" spans="1:19" x14ac:dyDescent="0.2">
      <c r="A3532" s="19" t="str">
        <f>_xlfn.IFNA(VLOOKUP($B3532,Keys!$A:$B,2,FALSE),_xlfn.IFNA(VLOOKUP($B3532,Keys!$D:$E,2,FALSE),VLOOKUP($B3532,Keys!$G:$H,2,FALSE)))</f>
        <v>0x0000002468AC9992</v>
      </c>
      <c r="B3532" s="5" t="s">
        <v>3852</v>
      </c>
      <c r="C3532" s="5" t="s">
        <v>10</v>
      </c>
      <c r="D3532" s="5" t="s">
        <v>16859</v>
      </c>
      <c r="E3532" s="5"/>
      <c r="F3532" s="5" t="s">
        <v>10126</v>
      </c>
      <c r="G3532" s="5" t="s">
        <v>10158</v>
      </c>
      <c r="H3532" s="1"/>
      <c r="I3532" s="5">
        <v>2</v>
      </c>
      <c r="J3532" s="2"/>
      <c r="K3532" s="5" t="s">
        <v>10217</v>
      </c>
      <c r="L3532" s="19" t="s">
        <v>11354</v>
      </c>
      <c r="M3532" s="20" t="s">
        <v>12036</v>
      </c>
      <c r="N3532" s="5" t="s">
        <v>10</v>
      </c>
      <c r="O3532" s="5" t="s">
        <v>9969</v>
      </c>
      <c r="P3532" s="21" t="str">
        <f>IF(ISNUMBER(MATCH($C3532,StackableKinds,0)), TRUE, "")</f>
        <v/>
      </c>
      <c r="Q3532" s="7" t="b">
        <v>1</v>
      </c>
    </row>
    <row r="3533" spans="1:19" x14ac:dyDescent="0.2">
      <c r="A3533" s="19" t="str">
        <f>_xlfn.IFNA(VLOOKUP($B3533,Keys!$A:$B,2,FALSE),_xlfn.IFNA(VLOOKUP($B3533,Keys!$D:$E,2,FALSE),VLOOKUP($B3533,Keys!$G:$H,2,FALSE)))</f>
        <v>0x0000002921F7A33F</v>
      </c>
      <c r="B3533" s="5" t="s">
        <v>3854</v>
      </c>
      <c r="C3533" s="5" t="s">
        <v>10</v>
      </c>
      <c r="D3533" s="5" t="s">
        <v>16858</v>
      </c>
      <c r="E3533" s="5"/>
      <c r="F3533" s="5" t="s">
        <v>10126</v>
      </c>
      <c r="G3533" s="5" t="s">
        <v>10158</v>
      </c>
      <c r="H3533" s="1"/>
      <c r="I3533" s="5">
        <v>3</v>
      </c>
      <c r="J3533" s="2"/>
      <c r="K3533" s="5" t="s">
        <v>10217</v>
      </c>
      <c r="L3533" s="19" t="s">
        <v>11354</v>
      </c>
      <c r="M3533" s="20" t="s">
        <v>12036</v>
      </c>
      <c r="N3533" s="5" t="s">
        <v>10</v>
      </c>
      <c r="O3533" s="5" t="s">
        <v>9969</v>
      </c>
      <c r="P3533" s="21" t="str">
        <f>IF(ISNUMBER(MATCH($C3533,StackableKinds,0)), TRUE, "")</f>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IF(ISNUMBER(MATCH($C3534,StackableKinds,0)), TRUE, "")</f>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IF(ISNUMBER(MATCH($C3535,StackableKinds,0)), TRUE, "")</f>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IF(ISNUMBER(MATCH($C3537,StackableKinds,0)), TRUE, "")</f>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IF(ISNUMBER(MATCH($C3538,StackableKinds,0)), TRUE, "")</f>
        <v/>
      </c>
      <c r="Q3538" s="7" t="b">
        <v>1</v>
      </c>
    </row>
    <row r="3539" spans="1:19" x14ac:dyDescent="0.2">
      <c r="A3539" s="19" t="str">
        <f>_xlfn.IFNA(VLOOKUP($B3539,Keys!$A:$B,2,FALSE),_xlfn.IFNA(VLOOKUP($B3539,Keys!$D:$E,2,FALSE),VLOOKUP($B3539,Keys!$G:$H,2,FALSE)))</f>
        <v>0x0000001A9F804B01</v>
      </c>
      <c r="B3539" s="5" t="s">
        <v>3950</v>
      </c>
      <c r="C3539" s="5" t="s">
        <v>10</v>
      </c>
      <c r="D3539" s="5" t="s">
        <v>16859</v>
      </c>
      <c r="E3539" s="5"/>
      <c r="F3539" s="5" t="s">
        <v>9966</v>
      </c>
      <c r="G3539" s="5" t="s">
        <v>9967</v>
      </c>
      <c r="H3539" s="1"/>
      <c r="I3539" s="5">
        <v>1</v>
      </c>
      <c r="J3539" s="2"/>
      <c r="K3539" s="5" t="s">
        <v>10236</v>
      </c>
      <c r="L3539" s="19" t="s">
        <v>11042</v>
      </c>
      <c r="M3539" s="20" t="s">
        <v>12041</v>
      </c>
      <c r="N3539" s="5" t="s">
        <v>10</v>
      </c>
      <c r="O3539" s="5" t="s">
        <v>9969</v>
      </c>
      <c r="P3539" s="21" t="str">
        <f>IF(ISNUMBER(MATCH($C3539,StackableKinds,0)), TRUE, "")</f>
        <v/>
      </c>
      <c r="Q3539" s="7" t="b">
        <v>1</v>
      </c>
    </row>
    <row r="3540" spans="1:19" x14ac:dyDescent="0.2">
      <c r="A3540" s="19" t="str">
        <f>_xlfn.IFNA(VLOOKUP($B3540,Keys!$A:$B,2,FALSE),_xlfn.IFNA(VLOOKUP($B3540,Keys!$D:$E,2,FALSE),VLOOKUP($B3540,Keys!$G:$H,2,FALSE)))</f>
        <v>0x000000240B2DA895</v>
      </c>
      <c r="B3540" s="5" t="s">
        <v>3952</v>
      </c>
      <c r="C3540" s="5" t="s">
        <v>10</v>
      </c>
      <c r="D3540" s="5" t="s">
        <v>16858</v>
      </c>
      <c r="E3540" s="5"/>
      <c r="F3540" s="5" t="s">
        <v>9966</v>
      </c>
      <c r="G3540" s="5" t="s">
        <v>9967</v>
      </c>
      <c r="H3540" s="1"/>
      <c r="I3540" s="5">
        <v>2</v>
      </c>
      <c r="J3540" s="2"/>
      <c r="K3540" s="5" t="s">
        <v>10236</v>
      </c>
      <c r="L3540" s="19" t="s">
        <v>11042</v>
      </c>
      <c r="M3540" s="20" t="s">
        <v>12041</v>
      </c>
      <c r="N3540" s="5" t="s">
        <v>10</v>
      </c>
      <c r="O3540" s="5" t="s">
        <v>9969</v>
      </c>
      <c r="P3540" s="21" t="str">
        <f>IF(ISNUMBER(MATCH($C3540,StackableKinds,0)), TRUE, "")</f>
        <v/>
      </c>
      <c r="Q3540" s="7" t="b">
        <v>1</v>
      </c>
    </row>
    <row r="3541" spans="1:19" x14ac:dyDescent="0.2">
      <c r="A3541" s="19" t="str">
        <f>_xlfn.IFNA(VLOOKUP($B3541,Keys!$A:$B,2,FALSE),_xlfn.IFNA(VLOOKUP($B3541,Keys!$D:$E,2,FALSE),VLOOKUP($B3541,Keys!$G:$H,2,FALSE)))</f>
        <v>0x0000001F60212084</v>
      </c>
      <c r="B3541" s="5" t="s">
        <v>3408</v>
      </c>
      <c r="C3541" s="5" t="s">
        <v>10</v>
      </c>
      <c r="D3541" s="5" t="s">
        <v>16860</v>
      </c>
      <c r="E3541" s="5"/>
      <c r="F3541" s="5" t="s">
        <v>9002</v>
      </c>
      <c r="G3541" s="5" t="s">
        <v>10135</v>
      </c>
      <c r="H3541" s="1"/>
      <c r="I3541" s="5">
        <v>1</v>
      </c>
      <c r="J3541" s="2"/>
      <c r="K3541" s="5" t="s">
        <v>11991</v>
      </c>
      <c r="L3541" s="19" t="s">
        <v>11008</v>
      </c>
      <c r="M3541" s="20" t="s">
        <v>12004</v>
      </c>
      <c r="N3541" s="5" t="s">
        <v>10</v>
      </c>
      <c r="O3541" s="5" t="s">
        <v>10137</v>
      </c>
      <c r="P3541" s="21" t="str">
        <f>IF(ISNUMBER(MATCH($C3541,StackableKinds,0)), TRUE, "")</f>
        <v/>
      </c>
      <c r="Q3541" s="7" t="b">
        <v>1</v>
      </c>
    </row>
    <row r="3542" spans="1:19" x14ac:dyDescent="0.2">
      <c r="A3542" s="19" t="str">
        <f>_xlfn.IFNA(VLOOKUP($B3542,Keys!$A:$B,2,FALSE),_xlfn.IFNA(VLOOKUP($B3542,Keys!$D:$E,2,FALSE),VLOOKUP($B3542,Keys!$G:$H,2,FALSE)))</f>
        <v>0x000000245CF87148</v>
      </c>
      <c r="B3542" s="5" t="s">
        <v>3410</v>
      </c>
      <c r="C3542" s="5" t="s">
        <v>10</v>
      </c>
      <c r="D3542" s="5" t="s">
        <v>16859</v>
      </c>
      <c r="E3542" s="5"/>
      <c r="F3542" s="5" t="s">
        <v>9002</v>
      </c>
      <c r="G3542" s="5" t="s">
        <v>10135</v>
      </c>
      <c r="H3542" s="1"/>
      <c r="I3542" s="5">
        <v>2</v>
      </c>
      <c r="J3542" s="2"/>
      <c r="K3542" s="5" t="s">
        <v>11991</v>
      </c>
      <c r="L3542" s="19" t="s">
        <v>11008</v>
      </c>
      <c r="M3542" s="20" t="s">
        <v>12004</v>
      </c>
      <c r="N3542" s="5" t="s">
        <v>10</v>
      </c>
      <c r="O3542" s="5" t="s">
        <v>10137</v>
      </c>
      <c r="P3542" s="21" t="str">
        <f>IF(ISNUMBER(MATCH($C3542,StackableKinds,0)), TRUE, "")</f>
        <v/>
      </c>
      <c r="Q3542" s="7" t="b">
        <v>1</v>
      </c>
    </row>
    <row r="3543" spans="1:19" x14ac:dyDescent="0.2">
      <c r="A3543" s="19" t="str">
        <f>_xlfn.IFNA(VLOOKUP($B3543,Keys!$A:$B,2,FALSE),_xlfn.IFNA(VLOOKUP($B3543,Keys!$D:$E,2,FALSE),VLOOKUP($B3543,Keys!$G:$H,2,FALSE)))</f>
        <v>0x0000002921E6D88B</v>
      </c>
      <c r="B3543" s="5" t="s">
        <v>3412</v>
      </c>
      <c r="C3543" s="5" t="s">
        <v>10</v>
      </c>
      <c r="D3543" s="5" t="s">
        <v>16858</v>
      </c>
      <c r="E3543" s="5"/>
      <c r="F3543" s="5" t="s">
        <v>9002</v>
      </c>
      <c r="G3543" s="5" t="s">
        <v>10135</v>
      </c>
      <c r="H3543" s="1"/>
      <c r="I3543" s="5">
        <v>3</v>
      </c>
      <c r="J3543" s="2"/>
      <c r="K3543" s="5" t="s">
        <v>11991</v>
      </c>
      <c r="L3543" s="19" t="s">
        <v>11008</v>
      </c>
      <c r="M3543" s="20" t="s">
        <v>12004</v>
      </c>
      <c r="N3543" s="5" t="s">
        <v>10</v>
      </c>
      <c r="O3543" s="5" t="s">
        <v>10137</v>
      </c>
      <c r="P3543" s="21" t="str">
        <f>IF(ISNUMBER(MATCH($C3543,StackableKinds,0)), TRUE, "")</f>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IF(ISNUMBER(MATCH($C3544,StackableKinds,0)), TRUE, "")</f>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IF(ISNUMBER(MATCH($C3545,StackableKinds,0)), TRUE, "")</f>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16837</v>
      </c>
      <c r="M3546" s="18"/>
      <c r="N3546" s="5" t="s">
        <v>10</v>
      </c>
      <c r="O3546" s="5" t="s">
        <v>9969</v>
      </c>
      <c r="P3546" s="21" t="str">
        <f>IF(ISNUMBER(MATCH($C3546,StackableKinds,0)), TRUE, "")</f>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16838</v>
      </c>
      <c r="M3547" s="18"/>
      <c r="N3547" s="5" t="s">
        <v>10</v>
      </c>
      <c r="O3547" s="5" t="s">
        <v>9969</v>
      </c>
      <c r="P3547" s="21" t="str">
        <f>IF(ISNUMBER(MATCH($C3547,StackableKinds,0)), TRUE, "")</f>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16839</v>
      </c>
      <c r="M3548" s="18"/>
      <c r="N3548" s="5" t="s">
        <v>10</v>
      </c>
      <c r="O3548" s="5" t="s">
        <v>9969</v>
      </c>
      <c r="P3548" s="21" t="str">
        <f>IF(ISNUMBER(MATCH($C3548,StackableKinds,0)), TRUE, "")</f>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IF(ISNUMBER(MATCH($C3549,StackableKinds,0)), TRUE, "")</f>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IF(ISNUMBER(MATCH($C3550,StackableKinds,0)), TRUE, "")</f>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16845</v>
      </c>
      <c r="M3551" s="18"/>
      <c r="N3551" s="5" t="s">
        <v>10</v>
      </c>
      <c r="O3551" s="5" t="s">
        <v>9969</v>
      </c>
      <c r="P3551" s="21" t="str">
        <f>IF(ISNUMBER(MATCH($C3551,StackableKinds,0)), TRUE, "")</f>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IF(ISNUMBER(MATCH($C3552,StackableKinds,0)), TRUE, "")</f>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IF(ISNUMBER(MATCH($C3553,StackableKinds,0)), TRUE, "")</f>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IF(ISNUMBER(MATCH($C3554,StackableKinds,0)), TRUE, "")</f>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IF(ISNUMBER(MATCH($C3555,StackableKinds,0)), TRUE, "")</f>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IF(ISNUMBER(MATCH($C3556,StackableKinds,0)), TRUE, "")</f>
        <v/>
      </c>
      <c r="Q3556" s="7" t="b">
        <v>1</v>
      </c>
    </row>
    <row r="3557" spans="1:19" x14ac:dyDescent="0.2">
      <c r="A3557" s="19" t="str">
        <f>_xlfn.IFNA(VLOOKUP($B3557,Keys!$A:$B,2,FALSE),_xlfn.IFNA(VLOOKUP($B3557,Keys!$D:$E,2,FALSE),VLOOKUP($B3557,Keys!$G:$H,2,FALSE)))</f>
        <v>0x0000001C232EDDCF</v>
      </c>
      <c r="B3557" s="5" t="s">
        <v>3605</v>
      </c>
      <c r="C3557" s="5" t="s">
        <v>10</v>
      </c>
      <c r="D3557" s="5" t="s">
        <v>16859</v>
      </c>
      <c r="E3557" s="5"/>
      <c r="F3557" s="5" t="s">
        <v>9002</v>
      </c>
      <c r="G3557" s="5" t="s">
        <v>10145</v>
      </c>
      <c r="H3557" s="1"/>
      <c r="I3557" s="5">
        <v>1</v>
      </c>
      <c r="J3557" s="2"/>
      <c r="K3557" s="5" t="s">
        <v>10180</v>
      </c>
      <c r="L3557" s="19" t="s">
        <v>11022</v>
      </c>
      <c r="M3557" s="20" t="s">
        <v>12019</v>
      </c>
      <c r="N3557" s="5" t="s">
        <v>10</v>
      </c>
      <c r="O3557" s="5" t="s">
        <v>10137</v>
      </c>
      <c r="P3557" s="21" t="str">
        <f>IF(ISNUMBER(MATCH($C3557,StackableKinds,0)), TRUE, "")</f>
        <v/>
      </c>
      <c r="Q3557" s="7" t="b">
        <v>1</v>
      </c>
    </row>
    <row r="3558" spans="1:19" x14ac:dyDescent="0.2">
      <c r="A3558" s="19" t="str">
        <f>_xlfn.IFNA(VLOOKUP($B3558,Keys!$A:$B,2,FALSE),_xlfn.IFNA(VLOOKUP($B3558,Keys!$D:$E,2,FALSE),VLOOKUP($B3558,Keys!$G:$H,2,FALSE)))</f>
        <v>0x000000268CC67D59</v>
      </c>
      <c r="B3558" s="5" t="s">
        <v>3607</v>
      </c>
      <c r="C3558" s="5" t="s">
        <v>10</v>
      </c>
      <c r="D3558" s="5" t="s">
        <v>16858</v>
      </c>
      <c r="E3558" s="5"/>
      <c r="F3558" s="5" t="s">
        <v>9002</v>
      </c>
      <c r="G3558" s="5" t="s">
        <v>10145</v>
      </c>
      <c r="H3558" s="1"/>
      <c r="I3558" s="5">
        <v>2</v>
      </c>
      <c r="J3558" s="2"/>
      <c r="K3558" s="5" t="s">
        <v>10180</v>
      </c>
      <c r="L3558" s="19" t="s">
        <v>11022</v>
      </c>
      <c r="M3558" s="20" t="s">
        <v>12019</v>
      </c>
      <c r="N3558" s="5" t="s">
        <v>10</v>
      </c>
      <c r="O3558" s="5" t="s">
        <v>10137</v>
      </c>
      <c r="P3558" s="21" t="str">
        <f>IF(ISNUMBER(MATCH($C3558,StackableKinds,0)), TRUE, "")</f>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IF(ISNUMBER(MATCH($C3559,StackableKinds,0)), TRUE, "")</f>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IF(ISNUMBER(MATCH($C3560,StackableKinds,0)), TRUE, "")</f>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IF(ISNUMBER(MATCH($C3561,StackableKinds,0)), TRUE, "")</f>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IF(ISNUMBER(MATCH($C3562,StackableKinds,0)), TRUE, "")</f>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IF(ISNUMBER(MATCH($C3563,StackableKinds,0)), TRUE, "")</f>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IF(ISNUMBER(MATCH($C3564,StackableKinds,0)), TRUE, "")</f>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IF(ISNUMBER(MATCH($C3565,StackableKinds,0)), TRUE, "")</f>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IF(ISNUMBER(MATCH($C3566,StackableKinds,0)), TRUE, "")</f>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16844</v>
      </c>
      <c r="M3567" s="18"/>
      <c r="N3567" s="5" t="s">
        <v>10</v>
      </c>
      <c r="O3567" s="5" t="s">
        <v>10137</v>
      </c>
      <c r="P3567" s="21" t="str">
        <f>IF(ISNUMBER(MATCH($C3567,StackableKinds,0)), TRUE, "")</f>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IF(ISNUMBER(MATCH($C3568,StackableKinds,0)), TRUE, "")</f>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IF(ISNUMBER(MATCH($C3569,StackableKinds,0)), TRUE, "")</f>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IF(ISNUMBER(MATCH($C3570,StackableKinds,0)), TRUE, "")</f>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IF(ISNUMBER(MATCH($C3571,StackableKinds,0)), TRUE, "")</f>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IF(ISNUMBER(MATCH($C3572,StackableKinds,0)), TRUE, "")</f>
        <v/>
      </c>
      <c r="Q3572" s="7" t="b">
        <v>1</v>
      </c>
    </row>
    <row r="3573" spans="1:17" x14ac:dyDescent="0.2">
      <c r="A3573" s="19" t="str">
        <f>_xlfn.IFNA(VLOOKUP($B3573,Keys!$A:$B,2,FALSE),_xlfn.IFNA(VLOOKUP($B3573,Keys!$D:$E,2,FALSE),VLOOKUP($B3573,Keys!$G:$H,2,FALSE)))</f>
        <v>0x0000001D7276DC84</v>
      </c>
      <c r="B3573" s="5" t="s">
        <v>3684</v>
      </c>
      <c r="C3573" s="5" t="s">
        <v>10</v>
      </c>
      <c r="D3573" s="5" t="s">
        <v>16860</v>
      </c>
      <c r="E3573" s="5"/>
      <c r="F3573" s="5" t="s">
        <v>10126</v>
      </c>
      <c r="G3573" s="5" t="s">
        <v>9967</v>
      </c>
      <c r="H3573" s="1"/>
      <c r="I3573" s="5">
        <v>1</v>
      </c>
      <c r="J3573" s="2"/>
      <c r="K3573" s="5" t="s">
        <v>10195</v>
      </c>
      <c r="L3573" s="19" t="s">
        <v>11028</v>
      </c>
      <c r="M3573" s="20" t="s">
        <v>12026</v>
      </c>
      <c r="N3573" s="5" t="s">
        <v>10</v>
      </c>
      <c r="O3573" s="5" t="s">
        <v>9969</v>
      </c>
      <c r="P3573" s="21" t="str">
        <f>IF(ISNUMBER(MATCH($C3573,StackableKinds,0)), TRUE, "")</f>
        <v/>
      </c>
      <c r="Q3573" s="7" t="b">
        <v>1</v>
      </c>
    </row>
    <row r="3574" spans="1:17" x14ac:dyDescent="0.2">
      <c r="A3574" s="19" t="str">
        <f>_xlfn.IFNA(VLOOKUP($B3574,Keys!$A:$B,2,FALSE),_xlfn.IFNA(VLOOKUP($B3574,Keys!$D:$E,2,FALSE),VLOOKUP($B3574,Keys!$G:$H,2,FALSE)))</f>
        <v>0x00000022814F90B1</v>
      </c>
      <c r="B3574" s="5" t="s">
        <v>3686</v>
      </c>
      <c r="C3574" s="5" t="s">
        <v>10</v>
      </c>
      <c r="D3574" s="5" t="s">
        <v>16859</v>
      </c>
      <c r="E3574" s="5"/>
      <c r="F3574" s="5" t="s">
        <v>10126</v>
      </c>
      <c r="G3574" s="5" t="s">
        <v>9967</v>
      </c>
      <c r="H3574" s="1"/>
      <c r="I3574" s="5">
        <v>2</v>
      </c>
      <c r="J3574" s="2"/>
      <c r="K3574" s="5" t="s">
        <v>10195</v>
      </c>
      <c r="L3574" s="19" t="s">
        <v>11028</v>
      </c>
      <c r="M3574" s="20" t="s">
        <v>12026</v>
      </c>
      <c r="N3574" s="5" t="s">
        <v>10</v>
      </c>
      <c r="O3574" s="5" t="s">
        <v>9969</v>
      </c>
      <c r="P3574" s="21" t="str">
        <f>IF(ISNUMBER(MATCH($C3574,StackableKinds,0)), TRUE, "")</f>
        <v/>
      </c>
      <c r="Q3574" s="7" t="b">
        <v>1</v>
      </c>
    </row>
    <row r="3575" spans="1:17" x14ac:dyDescent="0.2">
      <c r="A3575" s="19" t="str">
        <f>_xlfn.IFNA(VLOOKUP($B3575,Keys!$A:$B,2,FALSE),_xlfn.IFNA(VLOOKUP($B3575,Keys!$D:$E,2,FALSE),VLOOKUP($B3575,Keys!$G:$H,2,FALSE)))</f>
        <v>0x00000027FE869F3D</v>
      </c>
      <c r="B3575" s="5" t="s">
        <v>3688</v>
      </c>
      <c r="C3575" s="5" t="s">
        <v>10</v>
      </c>
      <c r="D3575" s="5" t="s">
        <v>16858</v>
      </c>
      <c r="E3575" s="5"/>
      <c r="F3575" s="5" t="s">
        <v>10126</v>
      </c>
      <c r="G3575" s="5" t="s">
        <v>9967</v>
      </c>
      <c r="H3575" s="1"/>
      <c r="I3575" s="5">
        <v>3</v>
      </c>
      <c r="J3575" s="2"/>
      <c r="K3575" s="5" t="s">
        <v>10195</v>
      </c>
      <c r="L3575" s="19" t="s">
        <v>11028</v>
      </c>
      <c r="M3575" s="20" t="s">
        <v>12026</v>
      </c>
      <c r="N3575" s="5" t="s">
        <v>10</v>
      </c>
      <c r="O3575" s="5" t="s">
        <v>9969</v>
      </c>
      <c r="P3575" s="21" t="str">
        <f>IF(ISNUMBER(MATCH($C3575,StackableKinds,0)), TRUE, "")</f>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IF(ISNUMBER(MATCH($C3576,StackableKinds,0)), TRUE, "")</f>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IF(ISNUMBER(MATCH($C3577,StackableKinds,0)), TRUE, "")</f>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IF(ISNUMBER(MATCH($C3578,StackableKinds,0)), TRUE, "")</f>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16840</v>
      </c>
      <c r="M3579" s="18"/>
      <c r="N3579" s="5" t="s">
        <v>10</v>
      </c>
      <c r="O3579" s="5" t="s">
        <v>9969</v>
      </c>
      <c r="P3579" s="21" t="str">
        <f>IF(ISNUMBER(MATCH($C3579,StackableKinds,0)), TRUE, "")</f>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16841</v>
      </c>
      <c r="M3580" s="18"/>
      <c r="N3580" s="5" t="s">
        <v>10</v>
      </c>
      <c r="O3580" s="5" t="s">
        <v>9969</v>
      </c>
      <c r="P3580" s="21" t="str">
        <f>IF(ISNUMBER(MATCH($C3580,StackableKinds,0)), TRUE, "")</f>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16842</v>
      </c>
      <c r="M3581" s="18"/>
      <c r="N3581" s="5" t="s">
        <v>10</v>
      </c>
      <c r="O3581" s="5" t="s">
        <v>9969</v>
      </c>
      <c r="P3581" s="21" t="str">
        <f>IF(ISNUMBER(MATCH($C3581,StackableKinds,0)), TRUE, "")</f>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16843</v>
      </c>
      <c r="M3582" s="18"/>
      <c r="N3582" s="5" t="s">
        <v>10</v>
      </c>
      <c r="O3582" s="5" t="s">
        <v>9969</v>
      </c>
      <c r="P3582" s="21" t="str">
        <f>IF(ISNUMBER(MATCH($C3582,StackableKinds,0)), TRUE, "")</f>
        <v/>
      </c>
      <c r="Q3582" s="7" t="b">
        <v>1</v>
      </c>
    </row>
    <row r="3583" spans="1:17" x14ac:dyDescent="0.2">
      <c r="A3583" s="19" t="str">
        <f>_xlfn.IFNA(VLOOKUP($B3583,Keys!$A:$B,2,FALSE),_xlfn.IFNA(VLOOKUP($B3583,Keys!$D:$E,2,FALSE),VLOOKUP($B3583,Keys!$G:$H,2,FALSE)))</f>
        <v>0x00000017008D5D92</v>
      </c>
      <c r="B3583" s="5" t="s">
        <v>3748</v>
      </c>
      <c r="C3583" s="5" t="s">
        <v>10</v>
      </c>
      <c r="D3583" s="5" t="s">
        <v>16860</v>
      </c>
      <c r="E3583" s="5"/>
      <c r="F3583" s="5" t="s">
        <v>10126</v>
      </c>
      <c r="G3583" s="5" t="s">
        <v>9967</v>
      </c>
      <c r="H3583" s="1"/>
      <c r="I3583" s="5">
        <v>1</v>
      </c>
      <c r="J3583" s="2"/>
      <c r="K3583" s="5" t="s">
        <v>10204</v>
      </c>
      <c r="L3583" s="19" t="s">
        <v>11031</v>
      </c>
      <c r="M3583" s="20" t="s">
        <v>12030</v>
      </c>
      <c r="N3583" s="5" t="s">
        <v>10</v>
      </c>
      <c r="O3583" s="5" t="s">
        <v>9969</v>
      </c>
      <c r="P3583" s="21" t="str">
        <f>IF(ISNUMBER(MATCH($C3583,StackableKinds,0)), TRUE, "")</f>
        <v/>
      </c>
      <c r="Q3583" s="7" t="b">
        <v>1</v>
      </c>
    </row>
    <row r="3584" spans="1:17" x14ac:dyDescent="0.2">
      <c r="A3584" s="19" t="str">
        <f>_xlfn.IFNA(VLOOKUP($B3584,Keys!$A:$B,2,FALSE),_xlfn.IFNA(VLOOKUP($B3584,Keys!$D:$E,2,FALSE),VLOOKUP($B3584,Keys!$G:$H,2,FALSE)))</f>
        <v>0x0000001C9F92A488</v>
      </c>
      <c r="B3584" s="5" t="s">
        <v>3750</v>
      </c>
      <c r="C3584" s="5" t="s">
        <v>10</v>
      </c>
      <c r="D3584" s="5" t="s">
        <v>16859</v>
      </c>
      <c r="E3584" s="5"/>
      <c r="F3584" s="5" t="s">
        <v>10126</v>
      </c>
      <c r="G3584" s="5" t="s">
        <v>9967</v>
      </c>
      <c r="H3584" s="1"/>
      <c r="I3584" s="5">
        <v>2</v>
      </c>
      <c r="J3584" s="2"/>
      <c r="K3584" s="5" t="s">
        <v>10204</v>
      </c>
      <c r="L3584" s="19" t="s">
        <v>11031</v>
      </c>
      <c r="M3584" s="20" t="s">
        <v>12030</v>
      </c>
      <c r="N3584" s="5" t="s">
        <v>10</v>
      </c>
      <c r="O3584" s="5" t="s">
        <v>9969</v>
      </c>
      <c r="P3584" s="21" t="str">
        <f>IF(ISNUMBER(MATCH($C3584,StackableKinds,0)), TRUE, "")</f>
        <v/>
      </c>
      <c r="Q3584" s="7" t="b">
        <v>1</v>
      </c>
    </row>
    <row r="3585" spans="1:19" x14ac:dyDescent="0.2">
      <c r="A3585" s="19" t="str">
        <f>_xlfn.IFNA(VLOOKUP($B3585,Keys!$A:$B,2,FALSE),_xlfn.IFNA(VLOOKUP($B3585,Keys!$D:$E,2,FALSE),VLOOKUP($B3585,Keys!$G:$H,2,FALSE)))</f>
        <v>0x000000217CEEB380</v>
      </c>
      <c r="B3585" s="5" t="s">
        <v>3752</v>
      </c>
      <c r="C3585" s="5" t="s">
        <v>10</v>
      </c>
      <c r="D3585" s="5" t="s">
        <v>16858</v>
      </c>
      <c r="E3585" s="5"/>
      <c r="F3585" s="5" t="s">
        <v>10126</v>
      </c>
      <c r="G3585" s="5" t="s">
        <v>9967</v>
      </c>
      <c r="H3585" s="1"/>
      <c r="I3585" s="5">
        <v>3</v>
      </c>
      <c r="J3585" s="2"/>
      <c r="K3585" s="5" t="s">
        <v>10204</v>
      </c>
      <c r="L3585" s="19" t="s">
        <v>11031</v>
      </c>
      <c r="M3585" s="20" t="s">
        <v>12030</v>
      </c>
      <c r="N3585" s="5" t="s">
        <v>10</v>
      </c>
      <c r="O3585" s="5" t="s">
        <v>9969</v>
      </c>
      <c r="P3585" s="21" t="str">
        <f>IF(ISNUMBER(MATCH($C3585,StackableKinds,0)), TRUE, "")</f>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IF(ISNUMBER(MATCH($C3586,StackableKinds,0)), TRUE, "")</f>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IF(ISNUMBER(MATCH($C3587,StackableKinds,0)), TRUE, "")</f>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IF(ISNUMBER(MATCH($C3588,StackableKinds,0)), TRUE, "")</f>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IF(ISNUMBER(MATCH($C3589,StackableKinds,0)), TRUE, "")</f>
        <v/>
      </c>
      <c r="Q3589" s="7" t="b">
        <v>1</v>
      </c>
    </row>
    <row r="3590" spans="1:19" x14ac:dyDescent="0.2">
      <c r="A3590" s="19" t="str">
        <f>_xlfn.IFNA(VLOOKUP($B3590,Keys!$A:$B,2,FALSE),_xlfn.IFNA(VLOOKUP($B3590,Keys!$D:$E,2,FALSE),VLOOKUP($B3590,Keys!$G:$H,2,FALSE)))</f>
        <v>0x000000188630D16F</v>
      </c>
      <c r="B3590" s="5" t="s">
        <v>3774</v>
      </c>
      <c r="C3590" s="5" t="s">
        <v>10</v>
      </c>
      <c r="D3590" s="5" t="s">
        <v>16860</v>
      </c>
      <c r="E3590" s="5"/>
      <c r="F3590" s="5" t="s">
        <v>10122</v>
      </c>
      <c r="G3590" s="5" t="s">
        <v>9967</v>
      </c>
      <c r="H3590" s="1"/>
      <c r="I3590" s="5">
        <v>1</v>
      </c>
      <c r="J3590" s="2"/>
      <c r="K3590" s="5" t="s">
        <v>10207</v>
      </c>
      <c r="L3590" s="19" t="s">
        <v>11033</v>
      </c>
      <c r="M3590" s="20" t="s">
        <v>12031</v>
      </c>
      <c r="N3590" s="5" t="s">
        <v>10</v>
      </c>
      <c r="O3590" s="5" t="s">
        <v>9969</v>
      </c>
      <c r="P3590" s="21" t="str">
        <f>IF(ISNUMBER(MATCH($C3590,StackableKinds,0)), TRUE, "")</f>
        <v/>
      </c>
      <c r="Q3590" s="7" t="b">
        <v>1</v>
      </c>
    </row>
    <row r="3591" spans="1:19" x14ac:dyDescent="0.2">
      <c r="A3591" s="19" t="str">
        <f>_xlfn.IFNA(VLOOKUP($B3591,Keys!$A:$B,2,FALSE),_xlfn.IFNA(VLOOKUP($B3591,Keys!$D:$E,2,FALSE),VLOOKUP($B3591,Keys!$G:$H,2,FALSE)))</f>
        <v>0x0000001D28E66B69</v>
      </c>
      <c r="B3591" s="5" t="s">
        <v>3776</v>
      </c>
      <c r="C3591" s="5" t="s">
        <v>10</v>
      </c>
      <c r="D3591" s="5" t="s">
        <v>16859</v>
      </c>
      <c r="E3591" s="5"/>
      <c r="F3591" s="5" t="s">
        <v>10122</v>
      </c>
      <c r="G3591" s="5" t="s">
        <v>9967</v>
      </c>
      <c r="H3591" s="1"/>
      <c r="I3591" s="5">
        <v>2</v>
      </c>
      <c r="J3591" s="2"/>
      <c r="K3591" s="5" t="s">
        <v>10207</v>
      </c>
      <c r="L3591" s="19" t="s">
        <v>11033</v>
      </c>
      <c r="M3591" s="20" t="s">
        <v>12031</v>
      </c>
      <c r="N3591" s="5" t="s">
        <v>10</v>
      </c>
      <c r="O3591" s="5" t="s">
        <v>9969</v>
      </c>
      <c r="P3591" s="21" t="str">
        <f>IF(ISNUMBER(MATCH($C3591,StackableKinds,0)), TRUE, "")</f>
        <v/>
      </c>
      <c r="Q3591" s="7" t="b">
        <v>1</v>
      </c>
    </row>
    <row r="3592" spans="1:19" x14ac:dyDescent="0.2">
      <c r="A3592" s="19" t="str">
        <f>_xlfn.IFNA(VLOOKUP($B3592,Keys!$A:$B,2,FALSE),_xlfn.IFNA(VLOOKUP($B3592,Keys!$D:$E,2,FALSE),VLOOKUP($B3592,Keys!$G:$H,2,FALSE)))</f>
        <v>0x00000022BF085B4C</v>
      </c>
      <c r="B3592" s="5" t="s">
        <v>3778</v>
      </c>
      <c r="C3592" s="5" t="s">
        <v>10</v>
      </c>
      <c r="D3592" s="5" t="s">
        <v>16858</v>
      </c>
      <c r="E3592" s="5"/>
      <c r="F3592" s="5" t="s">
        <v>10122</v>
      </c>
      <c r="G3592" s="5" t="s">
        <v>9967</v>
      </c>
      <c r="H3592" s="1"/>
      <c r="I3592" s="5">
        <v>3</v>
      </c>
      <c r="J3592" s="2"/>
      <c r="K3592" s="5" t="s">
        <v>10207</v>
      </c>
      <c r="L3592" s="19" t="s">
        <v>11033</v>
      </c>
      <c r="M3592" s="20" t="s">
        <v>12031</v>
      </c>
      <c r="N3592" s="5" t="s">
        <v>10</v>
      </c>
      <c r="O3592" s="5" t="s">
        <v>9969</v>
      </c>
      <c r="P3592" s="21" t="str">
        <f>IF(ISNUMBER(MATCH($C3592,StackableKinds,0)), TRUE, "")</f>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IF(ISNUMBER(MATCH($C3593,StackableKinds,0)), TRUE, "")</f>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IF(ISNUMBER(MATCH($C3594,StackableKinds,0)), TRUE, "")</f>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IF(ISNUMBER(MATCH($C3595,StackableKinds,0)), TRUE, "")</f>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IF(ISNUMBER(MATCH($C3596,StackableKinds,0)), TRUE, "")</f>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IF(ISNUMBER(MATCH($C3597,StackableKinds,0)), TRUE, "")</f>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IF(ISNUMBER(MATCH($C3598,StackableKinds,0)), TRUE, "")</f>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IF(ISNUMBER(MATCH($C3599,StackableKinds,0)), TRUE, "")</f>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16863</v>
      </c>
      <c r="M3600" s="18" t="s">
        <v>16726</v>
      </c>
      <c r="N3600" s="5" t="s">
        <v>10</v>
      </c>
      <c r="O3600" s="5" t="s">
        <v>9969</v>
      </c>
      <c r="P3600" s="21" t="str">
        <f>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IF(ISNUMBER(MATCH($C3601,StackableKinds,0)), TRUE, "")</f>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IF(ISNUMBER(MATCH($C3602,StackableKinds,0)), TRUE, "")</f>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IF(ISNUMBER(MATCH($C3603,StackableKinds,0)), TRUE, "")</f>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IF(ISNUMBER(MATCH($C3604,StackableKinds,0)), TRUE, "")</f>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16829</v>
      </c>
      <c r="M3605" s="18"/>
      <c r="N3605" s="5" t="s">
        <v>10</v>
      </c>
      <c r="O3605" s="5" t="s">
        <v>9969</v>
      </c>
      <c r="P3605" s="21" t="str">
        <f>IF(ISNUMBER(MATCH($C3605,StackableKinds,0)), TRUE, "")</f>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16830</v>
      </c>
      <c r="M3606" s="18"/>
      <c r="N3606" s="5" t="s">
        <v>10</v>
      </c>
      <c r="O3606" s="5" t="s">
        <v>9969</v>
      </c>
      <c r="P3606" s="21" t="str">
        <f>IF(ISNUMBER(MATCH($C3606,StackableKinds,0)), TRUE, "")</f>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16831</v>
      </c>
      <c r="M3607" s="18"/>
      <c r="N3607" s="5" t="s">
        <v>10</v>
      </c>
      <c r="O3607" s="5" t="s">
        <v>9969</v>
      </c>
      <c r="P3607" s="21" t="str">
        <f>IF(ISNUMBER(MATCH($C3607,StackableKinds,0)), TRUE, "")</f>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IF(ISNUMBER(MATCH($C3608,StackableKinds,0)), TRUE, "")</f>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IF(ISNUMBER(MATCH($C3609,StackableKinds,0)), TRUE, "")</f>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IF(ISNUMBER(MATCH($C3610,StackableKinds,0)), TRUE, "")</f>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IF(ISNUMBER(MATCH($C3611,StackableKinds,0)), TRUE, "")</f>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IF(ISNUMBER(MATCH($C3612,StackableKinds,0)), TRUE, "")</f>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16846</v>
      </c>
      <c r="M3613" s="18"/>
      <c r="N3613" s="5" t="s">
        <v>10</v>
      </c>
      <c r="O3613" s="5" t="s">
        <v>9969</v>
      </c>
      <c r="P3613" s="21" t="str">
        <f>IF(ISNUMBER(MATCH($C3613,StackableKinds,0)), TRUE, "")</f>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16814</v>
      </c>
      <c r="M3614" s="18"/>
      <c r="N3614" s="5" t="s">
        <v>10</v>
      </c>
      <c r="O3614" s="5" t="s">
        <v>9969</v>
      </c>
      <c r="P3614" s="21" t="str">
        <f>IF(ISNUMBER(MATCH($C3614,StackableKinds,0)), TRUE, "")</f>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16815</v>
      </c>
      <c r="M3615" s="18"/>
      <c r="N3615" s="5" t="s">
        <v>10</v>
      </c>
      <c r="O3615" s="5" t="s">
        <v>9969</v>
      </c>
      <c r="P3615" s="21" t="str">
        <f>IF(ISNUMBER(MATCH($C3615,StackableKinds,0)), TRUE, "")</f>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16816</v>
      </c>
      <c r="M3616" s="18"/>
      <c r="N3616" s="5" t="s">
        <v>10</v>
      </c>
      <c r="O3616" s="5" t="s">
        <v>9969</v>
      </c>
      <c r="P3616" s="21" t="str">
        <f>IF(ISNUMBER(MATCH($C3616,StackableKinds,0)), TRUE, "")</f>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IF(ISNUMBER(MATCH($C3617,StackableKinds,0)), TRUE, "")</f>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IF(ISNUMBER(MATCH($C3618,StackableKinds,0)), TRUE, "")</f>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IF(ISNUMBER(MATCH($C3619,StackableKinds,0)), TRUE, "")</f>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IF(ISNUMBER(MATCH($C3620,StackableKinds,0)), TRUE, "")</f>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IF(ISNUMBER(MATCH($C3621,StackableKinds,0)), TRUE, "")</f>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IF(ISNUMBER(MATCH($C3622,StackableKinds,0)), TRUE, "")</f>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16799</v>
      </c>
      <c r="M3623" s="18"/>
      <c r="N3623" s="5" t="s">
        <v>10</v>
      </c>
      <c r="O3623" s="5" t="s">
        <v>9969</v>
      </c>
      <c r="P3623" s="21" t="str">
        <f>IF(ISNUMBER(MATCH($C3623,StackableKinds,0)), TRUE, "")</f>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16800</v>
      </c>
      <c r="M3624" s="18"/>
      <c r="N3624" s="5" t="s">
        <v>10</v>
      </c>
      <c r="O3624" s="5" t="s">
        <v>9969</v>
      </c>
      <c r="P3624" s="21" t="str">
        <f>IF(ISNUMBER(MATCH($C3624,StackableKinds,0)), TRUE, "")</f>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16801</v>
      </c>
      <c r="M3625" s="18"/>
      <c r="N3625" s="5" t="s">
        <v>10</v>
      </c>
      <c r="O3625" s="5" t="s">
        <v>9969</v>
      </c>
      <c r="P3625" s="21" t="str">
        <f>IF(ISNUMBER(MATCH($C3625,StackableKinds,0)), TRUE, "")</f>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IF(ISNUMBER(MATCH($C3626,StackableKinds,0)), TRUE, "")</f>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IF(ISNUMBER(MATCH($C3627,StackableKinds,0)), TRUE, "")</f>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IF(ISNUMBER(MATCH($C3628,StackableKinds,0)), TRUE, "")</f>
        <v/>
      </c>
      <c r="Q3628" s="7" t="b">
        <v>1</v>
      </c>
    </row>
    <row r="3629" spans="1:18" x14ac:dyDescent="0.2">
      <c r="A3629" s="19" t="str">
        <f>_xlfn.IFNA(VLOOKUP($B3629,Keys!$A:$B,2,FALSE),_xlfn.IFNA(VLOOKUP($B3629,Keys!$D:$E,2,FALSE),VLOOKUP($B3629,Keys!$G:$H,2,FALSE)))</f>
        <v>0x0000001CFC41E383</v>
      </c>
      <c r="B3629" s="5" t="s">
        <v>3902</v>
      </c>
      <c r="C3629" s="5" t="s">
        <v>10</v>
      </c>
      <c r="D3629" s="5" t="s">
        <v>16858</v>
      </c>
      <c r="E3629" s="5"/>
      <c r="F3629" s="5" t="s">
        <v>10126</v>
      </c>
      <c r="G3629" s="5" t="s">
        <v>9967</v>
      </c>
      <c r="H3629" s="5" t="s">
        <v>10225</v>
      </c>
      <c r="I3629" s="5">
        <v>1</v>
      </c>
      <c r="J3629" s="7"/>
      <c r="K3629" s="5" t="s">
        <v>10226</v>
      </c>
      <c r="M3629" s="20" t="s">
        <v>11199</v>
      </c>
      <c r="N3629" s="5" t="s">
        <v>10</v>
      </c>
      <c r="O3629" s="5" t="s">
        <v>9969</v>
      </c>
      <c r="P3629" s="21" t="str">
        <f>IF(ISNUMBER(MATCH($C3629,StackableKinds,0)), TRUE, "")</f>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IF(ISNUMBER(MATCH($C3630,StackableKinds,0)), TRUE, "")</f>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IF(ISNUMBER(MATCH($C3631,StackableKinds,0)), TRUE, "")</f>
        <v/>
      </c>
      <c r="Q3631" s="7" t="b">
        <v>1</v>
      </c>
    </row>
    <row r="3632" spans="1:18" x14ac:dyDescent="0.2">
      <c r="A3632" s="19" t="str">
        <f>_xlfn.IFNA(VLOOKUP($B3632,Keys!$A:$B,2,FALSE),_xlfn.IFNA(VLOOKUP($B3632,Keys!$D:$E,2,FALSE),VLOOKUP($B3632,Keys!$G:$H,2,FALSE)))</f>
        <v>0x00000017C32C8A33</v>
      </c>
      <c r="B3632" s="5" t="s">
        <v>3382</v>
      </c>
      <c r="C3632" s="5" t="s">
        <v>10</v>
      </c>
      <c r="D3632" s="5" t="s">
        <v>16859</v>
      </c>
      <c r="E3632" s="5"/>
      <c r="F3632" s="5" t="s">
        <v>10126</v>
      </c>
      <c r="G3632" s="5" t="s">
        <v>10127</v>
      </c>
      <c r="H3632" s="1"/>
      <c r="I3632" s="5">
        <v>1</v>
      </c>
      <c r="J3632" s="2"/>
      <c r="K3632" s="5" t="s">
        <v>10129</v>
      </c>
      <c r="L3632" s="19" t="s">
        <v>11007</v>
      </c>
      <c r="M3632" s="20" t="s">
        <v>12003</v>
      </c>
      <c r="N3632" s="5" t="s">
        <v>10</v>
      </c>
      <c r="O3632" s="5" t="s">
        <v>9969</v>
      </c>
      <c r="P3632" s="21" t="str">
        <f>IF(ISNUMBER(MATCH($C3632,StackableKinds,0)), TRUE, "")</f>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16858</v>
      </c>
      <c r="E3633" s="5"/>
      <c r="F3633" s="5" t="s">
        <v>10126</v>
      </c>
      <c r="G3633" s="5" t="s">
        <v>10127</v>
      </c>
      <c r="H3633" s="1"/>
      <c r="I3633" s="5">
        <v>2</v>
      </c>
      <c r="J3633" s="2"/>
      <c r="K3633" s="5" t="s">
        <v>10129</v>
      </c>
      <c r="L3633" s="19" t="s">
        <v>11007</v>
      </c>
      <c r="M3633" s="20" t="s">
        <v>12003</v>
      </c>
      <c r="N3633" s="5" t="s">
        <v>10</v>
      </c>
      <c r="O3633" s="5" t="s">
        <v>9969</v>
      </c>
      <c r="P3633" s="21" t="str">
        <f>IF(ISNUMBER(MATCH($C3633,StackableKinds,0)), TRUE, "")</f>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16860</v>
      </c>
      <c r="E3634" s="5"/>
      <c r="F3634" s="5" t="s">
        <v>10126</v>
      </c>
      <c r="G3634" s="5" t="s">
        <v>10148</v>
      </c>
      <c r="H3634" s="1"/>
      <c r="I3634" s="5">
        <v>1</v>
      </c>
      <c r="J3634" s="2"/>
      <c r="K3634" s="5" t="s">
        <v>10150</v>
      </c>
      <c r="L3634" s="19" t="s">
        <v>11012</v>
      </c>
      <c r="M3634" s="20" t="s">
        <v>12008</v>
      </c>
      <c r="N3634" s="5" t="s">
        <v>10</v>
      </c>
      <c r="O3634" s="5" t="s">
        <v>9969</v>
      </c>
      <c r="P3634" s="21" t="str">
        <f>IF(ISNUMBER(MATCH($C3634,StackableKinds,0)), TRUE, "")</f>
        <v/>
      </c>
      <c r="Q3634" s="7" t="b">
        <v>1</v>
      </c>
    </row>
    <row r="3635" spans="1:18" x14ac:dyDescent="0.2">
      <c r="A3635" s="19" t="str">
        <f>_xlfn.IFNA(VLOOKUP($B3635,Keys!$A:$B,2,FALSE),_xlfn.IFNA(VLOOKUP($B3635,Keys!$D:$E,2,FALSE),VLOOKUP($B3635,Keys!$G:$H,2,FALSE)))</f>
        <v>0x0000001DC30CF92F</v>
      </c>
      <c r="B3635" s="5" t="s">
        <v>3452</v>
      </c>
      <c r="C3635" s="5" t="s">
        <v>10</v>
      </c>
      <c r="D3635" s="5" t="s">
        <v>16859</v>
      </c>
      <c r="E3635" s="5"/>
      <c r="F3635" s="5" t="s">
        <v>10126</v>
      </c>
      <c r="G3635" s="5" t="s">
        <v>10148</v>
      </c>
      <c r="H3635" s="1"/>
      <c r="I3635" s="5">
        <v>2</v>
      </c>
      <c r="J3635" s="2"/>
      <c r="K3635" s="5" t="s">
        <v>10150</v>
      </c>
      <c r="L3635" s="19" t="s">
        <v>11012</v>
      </c>
      <c r="M3635" s="20" t="s">
        <v>12008</v>
      </c>
      <c r="N3635" s="5" t="s">
        <v>10</v>
      </c>
      <c r="O3635" s="5" t="s">
        <v>9969</v>
      </c>
      <c r="P3635" s="21" t="str">
        <f>IF(ISNUMBER(MATCH($C3635,StackableKinds,0)), TRUE, "")</f>
        <v/>
      </c>
      <c r="Q3635" s="7" t="b">
        <v>1</v>
      </c>
    </row>
    <row r="3636" spans="1:18" x14ac:dyDescent="0.2">
      <c r="A3636" s="19" t="str">
        <f>_xlfn.IFNA(VLOOKUP($B3636,Keys!$A:$B,2,FALSE),_xlfn.IFNA(VLOOKUP($B3636,Keys!$D:$E,2,FALSE),VLOOKUP($B3636,Keys!$G:$H,2,FALSE)))</f>
        <v>0x00000022660DA0DB</v>
      </c>
      <c r="B3636" s="5" t="s">
        <v>3454</v>
      </c>
      <c r="C3636" s="5" t="s">
        <v>10</v>
      </c>
      <c r="D3636" s="5" t="s">
        <v>16858</v>
      </c>
      <c r="E3636" s="5"/>
      <c r="F3636" s="5" t="s">
        <v>10126</v>
      </c>
      <c r="G3636" s="5" t="s">
        <v>10148</v>
      </c>
      <c r="H3636" s="1"/>
      <c r="I3636" s="5">
        <v>3</v>
      </c>
      <c r="J3636" s="2"/>
      <c r="K3636" s="5" t="s">
        <v>10150</v>
      </c>
      <c r="L3636" s="19" t="s">
        <v>11012</v>
      </c>
      <c r="M3636" s="20" t="s">
        <v>12008</v>
      </c>
      <c r="N3636" s="5" t="s">
        <v>10</v>
      </c>
      <c r="O3636" s="5" t="s">
        <v>9969</v>
      </c>
      <c r="P3636" s="21" t="str">
        <f>IF(ISNUMBER(MATCH($C3636,StackableKinds,0)), TRUE, "")</f>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IF(ISNUMBER(MATCH($C3637,StackableKinds,0)), TRUE, "")</f>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IF(ISNUMBER(MATCH($C3638,StackableKinds,0)), TRUE, "")</f>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IF(ISNUMBER(MATCH($C3639,StackableKinds,0)), TRUE, "")</f>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IF(ISNUMBER(MATCH($C3640,StackableKinds,0)), TRUE, "")</f>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IF(ISNUMBER(MATCH($C3641,StackableKinds,0)), TRUE, "")</f>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16795</v>
      </c>
      <c r="M3642" s="18"/>
      <c r="N3642" s="5" t="s">
        <v>10</v>
      </c>
      <c r="O3642" s="5" t="s">
        <v>9969</v>
      </c>
      <c r="P3642" s="21" t="str">
        <f>IF(ISNUMBER(MATCH($C3642,StackableKinds,0)), TRUE, "")</f>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16796</v>
      </c>
      <c r="M3643" s="18"/>
      <c r="N3643" s="5" t="s">
        <v>10</v>
      </c>
      <c r="O3643" s="5" t="s">
        <v>9969</v>
      </c>
      <c r="P3643" s="21" t="str">
        <f>IF(ISNUMBER(MATCH($C3643,StackableKinds,0)), TRUE, "")</f>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16797</v>
      </c>
      <c r="M3644" s="18"/>
      <c r="N3644" s="5" t="s">
        <v>10</v>
      </c>
      <c r="O3644" s="5" t="s">
        <v>9969</v>
      </c>
      <c r="P3644" s="21" t="str">
        <f>IF(ISNUMBER(MATCH($C3644,StackableKinds,0)), TRUE, "")</f>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16798</v>
      </c>
      <c r="M3645" s="18"/>
      <c r="N3645" s="5" t="s">
        <v>10</v>
      </c>
      <c r="O3645" s="5" t="s">
        <v>9969</v>
      </c>
      <c r="P3645" s="21" t="str">
        <f>IF(ISNUMBER(MATCH($C3645,StackableKinds,0)), TRUE, "")</f>
        <v/>
      </c>
      <c r="Q3645" s="7" t="b">
        <v>1</v>
      </c>
    </row>
    <row r="3646" spans="1:18" x14ac:dyDescent="0.2">
      <c r="A3646" s="19" t="str">
        <f>_xlfn.IFNA(VLOOKUP($B3646,Keys!$A:$B,2,FALSE),_xlfn.IFNA(VLOOKUP($B3646,Keys!$D:$E,2,FALSE),VLOOKUP($B3646,Keys!$G:$H,2,FALSE)))</f>
        <v>0x000000169A58A2B8</v>
      </c>
      <c r="B3646" s="5" t="s">
        <v>3521</v>
      </c>
      <c r="C3646" s="5" t="s">
        <v>10</v>
      </c>
      <c r="D3646" s="5" t="s">
        <v>16859</v>
      </c>
      <c r="E3646" s="5"/>
      <c r="F3646" s="5" t="s">
        <v>10126</v>
      </c>
      <c r="G3646" s="5" t="s">
        <v>10130</v>
      </c>
      <c r="H3646" s="1"/>
      <c r="I3646" s="5">
        <v>1</v>
      </c>
      <c r="J3646" s="2"/>
      <c r="K3646" s="5" t="s">
        <v>10162</v>
      </c>
      <c r="L3646" s="19" t="s">
        <v>11016</v>
      </c>
      <c r="M3646" s="20" t="s">
        <v>12012</v>
      </c>
      <c r="N3646" s="5" t="s">
        <v>10</v>
      </c>
      <c r="O3646" s="5" t="s">
        <v>9969</v>
      </c>
      <c r="P3646" s="21" t="str">
        <f>IF(ISNUMBER(MATCH($C3646,StackableKinds,0)), TRUE, "")</f>
        <v/>
      </c>
      <c r="Q3646" s="7" t="b">
        <v>1</v>
      </c>
    </row>
    <row r="3647" spans="1:18" x14ac:dyDescent="0.2">
      <c r="A3647" s="19" t="str">
        <f>_xlfn.IFNA(VLOOKUP($B3647,Keys!$A:$B,2,FALSE),_xlfn.IFNA(VLOOKUP($B3647,Keys!$D:$E,2,FALSE),VLOOKUP($B3647,Keys!$G:$H,2,FALSE)))</f>
        <v>0x00000020689B7DD8</v>
      </c>
      <c r="B3647" s="5" t="s">
        <v>3523</v>
      </c>
      <c r="C3647" s="5" t="s">
        <v>10</v>
      </c>
      <c r="D3647" s="5" t="s">
        <v>16858</v>
      </c>
      <c r="E3647" s="5"/>
      <c r="F3647" s="5" t="s">
        <v>10126</v>
      </c>
      <c r="G3647" s="5" t="s">
        <v>10130</v>
      </c>
      <c r="H3647" s="1"/>
      <c r="I3647" s="5">
        <v>2</v>
      </c>
      <c r="J3647" s="2"/>
      <c r="K3647" s="5" t="s">
        <v>10162</v>
      </c>
      <c r="L3647" s="19" t="s">
        <v>11016</v>
      </c>
      <c r="M3647" s="20" t="s">
        <v>12012</v>
      </c>
      <c r="N3647" s="5" t="s">
        <v>10</v>
      </c>
      <c r="O3647" s="5" t="s">
        <v>9969</v>
      </c>
      <c r="P3647" s="21" t="str">
        <f>IF(ISNUMBER(MATCH($C3647,StackableKinds,0)), TRUE, "")</f>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IF(ISNUMBER(MATCH($C3648,StackableKinds,0)), TRUE, "")</f>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16802</v>
      </c>
      <c r="M3649" s="20" t="s">
        <v>11363</v>
      </c>
      <c r="N3649" s="5" t="s">
        <v>10</v>
      </c>
      <c r="O3649" s="5" t="s">
        <v>9969</v>
      </c>
      <c r="P3649" s="21" t="str">
        <f>IF(ISNUMBER(MATCH($C3649,StackableKinds,0)), TRUE, "")</f>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16803</v>
      </c>
      <c r="M3650" s="20" t="s">
        <v>11363</v>
      </c>
      <c r="N3650" s="5" t="s">
        <v>10</v>
      </c>
      <c r="O3650" s="5" t="s">
        <v>9969</v>
      </c>
      <c r="P3650" s="21" t="str">
        <f>IF(ISNUMBER(MATCH($C3650,StackableKinds,0)), TRUE, "")</f>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16804</v>
      </c>
      <c r="M3651" s="20" t="s">
        <v>11363</v>
      </c>
      <c r="N3651" s="5" t="s">
        <v>10</v>
      </c>
      <c r="O3651" s="5" t="s">
        <v>9969</v>
      </c>
      <c r="P3651" s="21" t="str">
        <f>IF(ISNUMBER(MATCH($C3651,StackableKinds,0)), TRUE, "")</f>
        <v/>
      </c>
      <c r="Q3651" s="7" t="b">
        <v>1</v>
      </c>
    </row>
    <row r="3652" spans="1:18" x14ac:dyDescent="0.2">
      <c r="A3652" s="19" t="str">
        <f>_xlfn.IFNA(VLOOKUP($B3652,Keys!$A:$B,2,FALSE),_xlfn.IFNA(VLOOKUP($B3652,Keys!$D:$E,2,FALSE),VLOOKUP($B3652,Keys!$G:$H,2,FALSE)))</f>
        <v>0x00000017134DEE87</v>
      </c>
      <c r="B3652" s="5" t="s">
        <v>3531</v>
      </c>
      <c r="C3652" s="5" t="s">
        <v>10</v>
      </c>
      <c r="D3652" s="5" t="s">
        <v>16860</v>
      </c>
      <c r="E3652" s="5"/>
      <c r="F3652" s="5" t="s">
        <v>10126</v>
      </c>
      <c r="G3652" s="5" t="s">
        <v>10130</v>
      </c>
      <c r="H3652" s="1"/>
      <c r="I3652" s="5">
        <v>1</v>
      </c>
      <c r="J3652" s="2"/>
      <c r="K3652" s="5" t="s">
        <v>10164</v>
      </c>
      <c r="L3652" s="19" t="s">
        <v>11017</v>
      </c>
      <c r="M3652" s="20" t="s">
        <v>12013</v>
      </c>
      <c r="N3652" s="5" t="s">
        <v>10</v>
      </c>
      <c r="O3652" s="5" t="s">
        <v>9969</v>
      </c>
      <c r="P3652" s="21" t="str">
        <f>IF(ISNUMBER(MATCH($C3652,StackableKinds,0)), TRUE, "")</f>
        <v/>
      </c>
      <c r="Q3652" s="7" t="b">
        <v>1</v>
      </c>
    </row>
    <row r="3653" spans="1:18" x14ac:dyDescent="0.2">
      <c r="A3653" s="19" t="str">
        <f>_xlfn.IFNA(VLOOKUP($B3653,Keys!$A:$B,2,FALSE),_xlfn.IFNA(VLOOKUP($B3653,Keys!$D:$E,2,FALSE),VLOOKUP($B3653,Keys!$G:$H,2,FALSE)))</f>
        <v>0x0000001CC8158ADC</v>
      </c>
      <c r="B3653" s="5" t="s">
        <v>3533</v>
      </c>
      <c r="C3653" s="5" t="s">
        <v>10</v>
      </c>
      <c r="D3653" s="5" t="s">
        <v>16859</v>
      </c>
      <c r="E3653" s="5"/>
      <c r="F3653" s="5" t="s">
        <v>10126</v>
      </c>
      <c r="G3653" s="5" t="s">
        <v>10130</v>
      </c>
      <c r="H3653" s="1"/>
      <c r="I3653" s="5">
        <v>2</v>
      </c>
      <c r="J3653" s="2"/>
      <c r="K3653" s="5" t="s">
        <v>10164</v>
      </c>
      <c r="L3653" s="19" t="s">
        <v>11017</v>
      </c>
      <c r="M3653" s="20" t="s">
        <v>12013</v>
      </c>
      <c r="N3653" s="5" t="s">
        <v>10</v>
      </c>
      <c r="O3653" s="5" t="s">
        <v>9969</v>
      </c>
      <c r="P3653" s="21" t="str">
        <f>IF(ISNUMBER(MATCH($C3653,StackableKinds,0)), TRUE, "")</f>
        <v/>
      </c>
      <c r="Q3653" s="7" t="b">
        <v>1</v>
      </c>
    </row>
    <row r="3654" spans="1:18" x14ac:dyDescent="0.2">
      <c r="A3654" s="19" t="str">
        <f>_xlfn.IFNA(VLOOKUP($B3654,Keys!$A:$B,2,FALSE),_xlfn.IFNA(VLOOKUP($B3654,Keys!$D:$E,2,FALSE),VLOOKUP($B3654,Keys!$G:$H,2,FALSE)))</f>
        <v>0x00000021E010C410</v>
      </c>
      <c r="B3654" s="5" t="s">
        <v>3535</v>
      </c>
      <c r="C3654" s="5" t="s">
        <v>10</v>
      </c>
      <c r="D3654" s="5" t="s">
        <v>16858</v>
      </c>
      <c r="E3654" s="5"/>
      <c r="F3654" s="5" t="s">
        <v>10126</v>
      </c>
      <c r="G3654" s="5" t="s">
        <v>10130</v>
      </c>
      <c r="H3654" s="1"/>
      <c r="I3654" s="5">
        <v>3</v>
      </c>
      <c r="J3654" s="2"/>
      <c r="K3654" s="5" t="s">
        <v>10164</v>
      </c>
      <c r="L3654" s="19" t="s">
        <v>11017</v>
      </c>
      <c r="M3654" s="20" t="s">
        <v>12013</v>
      </c>
      <c r="N3654" s="5" t="s">
        <v>10</v>
      </c>
      <c r="O3654" s="5" t="s">
        <v>9969</v>
      </c>
      <c r="P3654" s="21" t="str">
        <f>IF(ISNUMBER(MATCH($C3654,StackableKinds,0)), TRUE, "")</f>
        <v/>
      </c>
      <c r="Q3654" s="7" t="b">
        <v>1</v>
      </c>
    </row>
    <row r="3655" spans="1:18" x14ac:dyDescent="0.2">
      <c r="A3655" s="19" t="str">
        <f>_xlfn.IFNA(VLOOKUP($B3655,Keys!$A:$B,2,FALSE),_xlfn.IFNA(VLOOKUP($B3655,Keys!$D:$E,2,FALSE),VLOOKUP($B3655,Keys!$G:$H,2,FALSE)))</f>
        <v>0x000000182A54DE16</v>
      </c>
      <c r="B3655" s="5" t="s">
        <v>3676</v>
      </c>
      <c r="C3655" s="5" t="s">
        <v>10</v>
      </c>
      <c r="D3655" s="5" t="s">
        <v>16860</v>
      </c>
      <c r="E3655" s="5"/>
      <c r="F3655" s="5" t="s">
        <v>10126</v>
      </c>
      <c r="G3655" s="5" t="s">
        <v>9967</v>
      </c>
      <c r="H3655" s="1"/>
      <c r="I3655" s="5">
        <v>1</v>
      </c>
      <c r="J3655" s="2"/>
      <c r="K3655" s="5" t="s">
        <v>10190</v>
      </c>
      <c r="L3655" s="19" t="s">
        <v>11026</v>
      </c>
      <c r="M3655" s="20" t="s">
        <v>12024</v>
      </c>
      <c r="N3655" s="5" t="s">
        <v>10</v>
      </c>
      <c r="O3655" s="5" t="s">
        <v>9969</v>
      </c>
      <c r="P3655" s="21" t="str">
        <f>IF(ISNUMBER(MATCH($C3655,StackableKinds,0)), TRUE, "")</f>
        <v/>
      </c>
      <c r="Q3655" s="7" t="b">
        <v>1</v>
      </c>
    </row>
    <row r="3656" spans="1:18" x14ac:dyDescent="0.2">
      <c r="A3656" s="19" t="str">
        <f>_xlfn.IFNA(VLOOKUP($B3656,Keys!$A:$B,2,FALSE),_xlfn.IFNA(VLOOKUP($B3656,Keys!$D:$E,2,FALSE),VLOOKUP($B3656,Keys!$G:$H,2,FALSE)))</f>
        <v>0x0000001DC92B6998</v>
      </c>
      <c r="B3656" s="5" t="s">
        <v>3678</v>
      </c>
      <c r="C3656" s="5" t="s">
        <v>10</v>
      </c>
      <c r="D3656" s="5" t="s">
        <v>16859</v>
      </c>
      <c r="E3656" s="5"/>
      <c r="F3656" s="5" t="s">
        <v>10126</v>
      </c>
      <c r="G3656" s="5" t="s">
        <v>9967</v>
      </c>
      <c r="H3656" s="1"/>
      <c r="I3656" s="5">
        <v>2</v>
      </c>
      <c r="J3656" s="2"/>
      <c r="K3656" s="5" t="s">
        <v>10190</v>
      </c>
      <c r="L3656" s="19" t="s">
        <v>11026</v>
      </c>
      <c r="M3656" s="20" t="s">
        <v>12024</v>
      </c>
      <c r="N3656" s="5" t="s">
        <v>10</v>
      </c>
      <c r="O3656" s="5" t="s">
        <v>9969</v>
      </c>
      <c r="P3656" s="21" t="str">
        <f>IF(ISNUMBER(MATCH($C3656,StackableKinds,0)), TRUE, "")</f>
        <v/>
      </c>
      <c r="Q3656" s="7" t="b">
        <v>1</v>
      </c>
    </row>
    <row r="3657" spans="1:18" x14ac:dyDescent="0.2">
      <c r="A3657" s="19" t="str">
        <f>_xlfn.IFNA(VLOOKUP($B3657,Keys!$A:$B,2,FALSE),_xlfn.IFNA(VLOOKUP($B3657,Keys!$D:$E,2,FALSE),VLOOKUP($B3657,Keys!$G:$H,2,FALSE)))</f>
        <v>0x00000022BE472D94</v>
      </c>
      <c r="B3657" s="5" t="s">
        <v>3680</v>
      </c>
      <c r="C3657" s="5" t="s">
        <v>10</v>
      </c>
      <c r="D3657" s="5" t="s">
        <v>16858</v>
      </c>
      <c r="E3657" s="5"/>
      <c r="F3657" s="5" t="s">
        <v>10126</v>
      </c>
      <c r="G3657" s="5" t="s">
        <v>9967</v>
      </c>
      <c r="H3657" s="1"/>
      <c r="I3657" s="5">
        <v>3</v>
      </c>
      <c r="J3657" s="2"/>
      <c r="K3657" s="5" t="s">
        <v>10190</v>
      </c>
      <c r="L3657" s="19" t="s">
        <v>11026</v>
      </c>
      <c r="M3657" s="20" t="s">
        <v>12024</v>
      </c>
      <c r="N3657" s="5" t="s">
        <v>10</v>
      </c>
      <c r="O3657" s="5" t="s">
        <v>9969</v>
      </c>
      <c r="P3657" s="21" t="str">
        <f>IF(ISNUMBER(MATCH($C3657,StackableKinds,0)), TRUE, "")</f>
        <v/>
      </c>
      <c r="Q3657" s="7" t="b">
        <v>1</v>
      </c>
    </row>
    <row r="3658" spans="1:18" x14ac:dyDescent="0.2">
      <c r="A3658" s="19" t="str">
        <f>_xlfn.IFNA(VLOOKUP($B3658,Keys!$A:$B,2,FALSE),_xlfn.IFNA(VLOOKUP($B3658,Keys!$D:$E,2,FALSE),VLOOKUP($B3658,Keys!$G:$H,2,FALSE)))</f>
        <v>0x0000001B5A5AABAD</v>
      </c>
      <c r="B3658" s="5" t="s">
        <v>3710</v>
      </c>
      <c r="C3658" s="5" t="s">
        <v>10</v>
      </c>
      <c r="D3658" s="5" t="s">
        <v>16858</v>
      </c>
      <c r="E3658" s="5"/>
      <c r="F3658" s="5" t="s">
        <v>10126</v>
      </c>
      <c r="G3658" s="5" t="s">
        <v>10127</v>
      </c>
      <c r="H3658" s="1"/>
      <c r="I3658" s="5">
        <v>1</v>
      </c>
      <c r="J3658" s="2"/>
      <c r="K3658" s="5" t="s">
        <v>10197</v>
      </c>
      <c r="L3658" s="19" t="s">
        <v>11029</v>
      </c>
      <c r="M3658" s="20" t="s">
        <v>12027</v>
      </c>
      <c r="N3658" s="5" t="s">
        <v>10</v>
      </c>
      <c r="O3658" s="5" t="s">
        <v>9969</v>
      </c>
      <c r="P3658" s="21" t="str">
        <f>IF(ISNUMBER(MATCH($C3658,StackableKinds,0)), TRUE, "")</f>
        <v/>
      </c>
      <c r="Q3658" s="7" t="b">
        <v>1</v>
      </c>
    </row>
    <row r="3659" spans="1:18" x14ac:dyDescent="0.2">
      <c r="A3659" s="19" t="str">
        <f>_xlfn.IFNA(VLOOKUP($B3659,Keys!$A:$B,2,FALSE),_xlfn.IFNA(VLOOKUP($B3659,Keys!$D:$E,2,FALSE),VLOOKUP($B3659,Keys!$G:$H,2,FALSE)))</f>
        <v>0x0000001AC4DD0CC0</v>
      </c>
      <c r="B3659" s="5" t="s">
        <v>3682</v>
      </c>
      <c r="C3659" s="5" t="s">
        <v>10</v>
      </c>
      <c r="D3659" s="5" t="s">
        <v>16858</v>
      </c>
      <c r="E3659" s="5"/>
      <c r="F3659" s="5" t="s">
        <v>10126</v>
      </c>
      <c r="G3659" s="5" t="s">
        <v>9967</v>
      </c>
      <c r="H3659" s="1"/>
      <c r="I3659" s="5">
        <v>1</v>
      </c>
      <c r="J3659" s="2"/>
      <c r="K3659" s="5" t="s">
        <v>10194</v>
      </c>
      <c r="L3659" s="19" t="s">
        <v>11027</v>
      </c>
      <c r="M3659" s="20" t="s">
        <v>12025</v>
      </c>
      <c r="N3659" s="5" t="s">
        <v>10</v>
      </c>
      <c r="O3659" s="5" t="s">
        <v>9969</v>
      </c>
      <c r="P3659" s="21" t="str">
        <f>IF(ISNUMBER(MATCH($C3659,StackableKinds,0)), TRUE, "")</f>
        <v/>
      </c>
      <c r="Q3659" s="7" t="b">
        <v>1</v>
      </c>
    </row>
    <row r="3660" spans="1:18" x14ac:dyDescent="0.2">
      <c r="A3660" s="19" t="str">
        <f>_xlfn.IFNA(VLOOKUP($B3660,Keys!$A:$B,2,FALSE),_xlfn.IFNA(VLOOKUP($B3660,Keys!$D:$E,2,FALSE),VLOOKUP($B3660,Keys!$G:$H,2,FALSE)))</f>
        <v>0x0000001C7080EF70</v>
      </c>
      <c r="B3660" s="5" t="s">
        <v>3862</v>
      </c>
      <c r="C3660" s="5" t="s">
        <v>10</v>
      </c>
      <c r="D3660" s="5" t="s">
        <v>16860</v>
      </c>
      <c r="E3660" s="5"/>
      <c r="F3660" s="5" t="s">
        <v>10126</v>
      </c>
      <c r="G3660" s="5" t="s">
        <v>10158</v>
      </c>
      <c r="H3660" s="1"/>
      <c r="I3660" s="5">
        <v>1</v>
      </c>
      <c r="J3660" s="2"/>
      <c r="K3660" s="5" t="s">
        <v>10218</v>
      </c>
      <c r="L3660" s="19" t="s">
        <v>11037</v>
      </c>
      <c r="M3660" s="20" t="s">
        <v>11037</v>
      </c>
      <c r="N3660" s="5" t="s">
        <v>10</v>
      </c>
      <c r="O3660" s="5" t="s">
        <v>9969</v>
      </c>
      <c r="P3660" s="21" t="str">
        <f>IF(ISNUMBER(MATCH($C3660,StackableKinds,0)), TRUE, "")</f>
        <v/>
      </c>
      <c r="Q3660" s="7" t="b">
        <v>1</v>
      </c>
    </row>
    <row r="3661" spans="1:18" x14ac:dyDescent="0.2">
      <c r="A3661" s="19" t="str">
        <f>_xlfn.IFNA(VLOOKUP($B3661,Keys!$A:$B,2,FALSE),_xlfn.IFNA(VLOOKUP($B3661,Keys!$D:$E,2,FALSE),VLOOKUP($B3661,Keys!$G:$H,2,FALSE)))</f>
        <v>0x000000215D1A5C83</v>
      </c>
      <c r="B3661" s="5" t="s">
        <v>3864</v>
      </c>
      <c r="C3661" s="5" t="s">
        <v>10</v>
      </c>
      <c r="D3661" s="5" t="s">
        <v>16859</v>
      </c>
      <c r="E3661" s="5"/>
      <c r="F3661" s="5" t="s">
        <v>10126</v>
      </c>
      <c r="G3661" s="5" t="s">
        <v>10158</v>
      </c>
      <c r="H3661" s="1"/>
      <c r="I3661" s="5">
        <v>2</v>
      </c>
      <c r="J3661" s="2"/>
      <c r="K3661" s="5" t="s">
        <v>10218</v>
      </c>
      <c r="L3661" s="19" t="s">
        <v>11037</v>
      </c>
      <c r="M3661" s="20" t="s">
        <v>11037</v>
      </c>
      <c r="N3661" s="5" t="s">
        <v>10</v>
      </c>
      <c r="O3661" s="5" t="s">
        <v>9969</v>
      </c>
      <c r="P3661" s="21" t="str">
        <f>IF(ISNUMBER(MATCH($C3661,StackableKinds,0)), TRUE, "")</f>
        <v/>
      </c>
      <c r="Q3661" s="7" t="b">
        <v>1</v>
      </c>
    </row>
    <row r="3662" spans="1:18" x14ac:dyDescent="0.2">
      <c r="A3662" s="19" t="str">
        <f>_xlfn.IFNA(VLOOKUP($B3662,Keys!$A:$B,2,FALSE),_xlfn.IFNA(VLOOKUP($B3662,Keys!$D:$E,2,FALSE),VLOOKUP($B3662,Keys!$G:$H,2,FALSE)))</f>
        <v>0x000000265E06432D</v>
      </c>
      <c r="B3662" s="5" t="s">
        <v>3866</v>
      </c>
      <c r="C3662" s="5" t="s">
        <v>10</v>
      </c>
      <c r="D3662" s="5" t="s">
        <v>16858</v>
      </c>
      <c r="E3662" s="5"/>
      <c r="F3662" s="5" t="s">
        <v>10126</v>
      </c>
      <c r="G3662" s="5" t="s">
        <v>10158</v>
      </c>
      <c r="H3662" s="1"/>
      <c r="I3662" s="5">
        <v>3</v>
      </c>
      <c r="J3662" s="2"/>
      <c r="K3662" s="5" t="s">
        <v>10218</v>
      </c>
      <c r="L3662" s="19" t="s">
        <v>11037</v>
      </c>
      <c r="M3662" s="20" t="s">
        <v>11037</v>
      </c>
      <c r="N3662" s="5" t="s">
        <v>10</v>
      </c>
      <c r="O3662" s="5" t="s">
        <v>9969</v>
      </c>
      <c r="P3662" s="21" t="str">
        <f>IF(ISNUMBER(MATCH($C3662,StackableKinds,0)), TRUE, "")</f>
        <v/>
      </c>
      <c r="Q3662" s="7" t="b">
        <v>1</v>
      </c>
    </row>
    <row r="3663" spans="1:18" x14ac:dyDescent="0.2">
      <c r="A3663" s="19" t="str">
        <f>_xlfn.IFNA(VLOOKUP($B3663,Keys!$A:$B,2,FALSE),_xlfn.IFNA(VLOOKUP($B3663,Keys!$D:$E,2,FALSE),VLOOKUP($B3663,Keys!$G:$H,2,FALSE)))</f>
        <v>0x0000001E7772B797</v>
      </c>
      <c r="B3663" s="5" t="s">
        <v>3884</v>
      </c>
      <c r="C3663" s="5" t="s">
        <v>10</v>
      </c>
      <c r="D3663" s="5" t="s">
        <v>16858</v>
      </c>
      <c r="E3663" s="5"/>
      <c r="F3663" s="5" t="s">
        <v>9966</v>
      </c>
      <c r="G3663" s="5" t="s">
        <v>10158</v>
      </c>
      <c r="H3663" s="1"/>
      <c r="I3663" s="5">
        <v>1</v>
      </c>
      <c r="J3663" s="2"/>
      <c r="K3663" s="5" t="s">
        <v>10221</v>
      </c>
      <c r="L3663" s="19" t="s">
        <v>11038</v>
      </c>
      <c r="M3663" s="20" t="s">
        <v>12037</v>
      </c>
      <c r="N3663" s="5" t="s">
        <v>10</v>
      </c>
      <c r="O3663" s="5" t="s">
        <v>9969</v>
      </c>
      <c r="P3663" s="21" t="str">
        <f>IF(ISNUMBER(MATCH($C3663,StackableKinds,0)), TRUE, "")</f>
        <v/>
      </c>
      <c r="Q3663" s="7" t="b">
        <v>1</v>
      </c>
    </row>
    <row r="3664" spans="1:18" x14ac:dyDescent="0.2">
      <c r="A3664" s="19" t="str">
        <f>_xlfn.IFNA(VLOOKUP($B3664,Keys!$A:$B,2,FALSE),_xlfn.IFNA(VLOOKUP($B3664,Keys!$D:$E,2,FALSE),VLOOKUP($B3664,Keys!$G:$H,2,FALSE)))</f>
        <v>0x0000001F9FD6755D</v>
      </c>
      <c r="B3664" s="5" t="s">
        <v>3473</v>
      </c>
      <c r="C3664" s="5" t="s">
        <v>10</v>
      </c>
      <c r="D3664" s="5" t="s">
        <v>16860</v>
      </c>
      <c r="E3664" s="5"/>
      <c r="F3664" s="5" t="s">
        <v>10126</v>
      </c>
      <c r="G3664" s="5" t="s">
        <v>10127</v>
      </c>
      <c r="H3664" s="1"/>
      <c r="I3664" s="5">
        <v>1</v>
      </c>
      <c r="J3664" s="2"/>
      <c r="K3664" s="5" t="s">
        <v>10153</v>
      </c>
      <c r="L3664" s="19" t="s">
        <v>11013</v>
      </c>
      <c r="M3664" s="20" t="s">
        <v>12009</v>
      </c>
      <c r="N3664" s="5" t="s">
        <v>10</v>
      </c>
      <c r="O3664" s="5" t="s">
        <v>9969</v>
      </c>
      <c r="P3664" s="21" t="str">
        <f>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16859</v>
      </c>
      <c r="E3665" s="5"/>
      <c r="F3665" s="5" t="s">
        <v>10126</v>
      </c>
      <c r="G3665" s="5" t="s">
        <v>10127</v>
      </c>
      <c r="H3665" s="1"/>
      <c r="I3665" s="5">
        <v>2</v>
      </c>
      <c r="J3665" s="2"/>
      <c r="K3665" s="5" t="s">
        <v>10153</v>
      </c>
      <c r="L3665" s="19" t="s">
        <v>11013</v>
      </c>
      <c r="M3665" s="20" t="s">
        <v>12009</v>
      </c>
      <c r="N3665" s="5" t="s">
        <v>10</v>
      </c>
      <c r="O3665" s="5" t="s">
        <v>9969</v>
      </c>
      <c r="P3665" s="21" t="str">
        <f>IF(ISNUMBER(MATCH($C3665,StackableKinds,0)), TRUE, "")</f>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16858</v>
      </c>
      <c r="E3666" s="5"/>
      <c r="F3666" s="5" t="s">
        <v>10126</v>
      </c>
      <c r="G3666" s="5" t="s">
        <v>10127</v>
      </c>
      <c r="H3666" s="1"/>
      <c r="I3666" s="5">
        <v>3</v>
      </c>
      <c r="J3666" s="2"/>
      <c r="K3666" s="5" t="s">
        <v>10153</v>
      </c>
      <c r="L3666" s="19" t="s">
        <v>11013</v>
      </c>
      <c r="M3666" s="20" t="s">
        <v>12009</v>
      </c>
      <c r="N3666" s="5" t="s">
        <v>10</v>
      </c>
      <c r="O3666" s="5" t="s">
        <v>9969</v>
      </c>
      <c r="P3666" s="21" t="str">
        <f>IF(ISNUMBER(MATCH($C3666,StackableKinds,0)), TRUE, "")</f>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IF(ISNUMBER(MATCH($C3667,StackableKinds,0)), TRUE, "")</f>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IF(ISNUMBER(MATCH($C3668,StackableKinds,0)), TRUE, "")</f>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IF(ISNUMBER(MATCH($C3669,StackableKinds,0)), TRUE, "")</f>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IF(ISNUMBER(MATCH($C3670,StackableKinds,0)), TRUE, "")</f>
        <v/>
      </c>
      <c r="Q3670" s="7" t="b">
        <v>1</v>
      </c>
    </row>
    <row r="3671" spans="1:18" x14ac:dyDescent="0.2">
      <c r="A3671" s="19" t="str">
        <f>_xlfn.IFNA(VLOOKUP($B3671,Keys!$A:$B,2,FALSE),_xlfn.IFNA(VLOOKUP($B3671,Keys!$D:$E,2,FALSE),VLOOKUP($B3671,Keys!$G:$H,2,FALSE)))</f>
        <v>0x0000001DB6C4C2AC</v>
      </c>
      <c r="B3671" s="5" t="s">
        <v>3549</v>
      </c>
      <c r="C3671" s="5" t="s">
        <v>10</v>
      </c>
      <c r="D3671" s="5" t="s">
        <v>16858</v>
      </c>
      <c r="E3671" s="5"/>
      <c r="F3671" s="5" t="s">
        <v>9002</v>
      </c>
      <c r="G3671" s="5" t="s">
        <v>10135</v>
      </c>
      <c r="H3671" s="1"/>
      <c r="I3671" s="5">
        <v>1</v>
      </c>
      <c r="J3671" s="2"/>
      <c r="K3671" s="5" t="s">
        <v>10167</v>
      </c>
      <c r="M3671" s="19" t="s">
        <v>11018</v>
      </c>
      <c r="N3671" s="5" t="s">
        <v>10</v>
      </c>
      <c r="O3671" s="5" t="s">
        <v>10137</v>
      </c>
      <c r="P3671" s="21" t="str">
        <f>IF(ISNUMBER(MATCH($C3671,StackableKinds,0)), TRUE, "")</f>
        <v/>
      </c>
      <c r="Q3671" s="7" t="b">
        <v>1</v>
      </c>
    </row>
    <row r="3672" spans="1:18" x14ac:dyDescent="0.2">
      <c r="A3672" s="19" t="str">
        <f>_xlfn.IFNA(VLOOKUP($B3672,Keys!$A:$B,2,FALSE),_xlfn.IFNA(VLOOKUP($B3672,Keys!$D:$E,2,FALSE),VLOOKUP($B3672,Keys!$G:$H,2,FALSE)))</f>
        <v>0x0000001AF1D7822F</v>
      </c>
      <c r="B3672" s="5" t="s">
        <v>3593</v>
      </c>
      <c r="C3672" s="5" t="s">
        <v>10</v>
      </c>
      <c r="D3672" s="5" t="s">
        <v>16860</v>
      </c>
      <c r="E3672" s="5"/>
      <c r="F3672" s="5" t="s">
        <v>9002</v>
      </c>
      <c r="G3672" s="5" t="s">
        <v>10145</v>
      </c>
      <c r="H3672" s="1"/>
      <c r="I3672" s="5">
        <v>1</v>
      </c>
      <c r="J3672" s="2"/>
      <c r="K3672" s="5" t="s">
        <v>10178</v>
      </c>
      <c r="L3672" s="19" t="s">
        <v>11351</v>
      </c>
      <c r="M3672" s="20" t="s">
        <v>12017</v>
      </c>
      <c r="N3672" s="5" t="s">
        <v>10</v>
      </c>
      <c r="O3672" s="5" t="s">
        <v>10137</v>
      </c>
      <c r="P3672" s="21" t="str">
        <f>IF(ISNUMBER(MATCH($C3672,StackableKinds,0)), TRUE, "")</f>
        <v/>
      </c>
      <c r="Q3672" s="7" t="b">
        <v>1</v>
      </c>
    </row>
    <row r="3673" spans="1:18" x14ac:dyDescent="0.2">
      <c r="A3673" s="19" t="str">
        <f>_xlfn.IFNA(VLOOKUP($B3673,Keys!$A:$B,2,FALSE),_xlfn.IFNA(VLOOKUP($B3673,Keys!$D:$E,2,FALSE),VLOOKUP($B3673,Keys!$G:$H,2,FALSE)))</f>
        <v>0x0000001F657EBA78</v>
      </c>
      <c r="B3673" s="5" t="s">
        <v>3595</v>
      </c>
      <c r="C3673" s="5" t="s">
        <v>10</v>
      </c>
      <c r="D3673" s="5" t="s">
        <v>16859</v>
      </c>
      <c r="E3673" s="5"/>
      <c r="F3673" s="5" t="s">
        <v>9002</v>
      </c>
      <c r="G3673" s="5" t="s">
        <v>10145</v>
      </c>
      <c r="H3673" s="1"/>
      <c r="I3673" s="5">
        <v>2</v>
      </c>
      <c r="J3673" s="2"/>
      <c r="K3673" s="5" t="s">
        <v>10178</v>
      </c>
      <c r="L3673" s="19" t="s">
        <v>11351</v>
      </c>
      <c r="M3673" s="20" t="s">
        <v>12017</v>
      </c>
      <c r="N3673" s="5" t="s">
        <v>10</v>
      </c>
      <c r="O3673" s="5" t="s">
        <v>10137</v>
      </c>
      <c r="P3673" s="21" t="str">
        <f>IF(ISNUMBER(MATCH($C3673,StackableKinds,0)), TRUE, "")</f>
        <v/>
      </c>
      <c r="Q3673" s="7" t="b">
        <v>1</v>
      </c>
    </row>
    <row r="3674" spans="1:18" x14ac:dyDescent="0.2">
      <c r="A3674" s="19" t="str">
        <f>_xlfn.IFNA(VLOOKUP($B3674,Keys!$A:$B,2,FALSE),_xlfn.IFNA(VLOOKUP($B3674,Keys!$D:$E,2,FALSE),VLOOKUP($B3674,Keys!$G:$H,2,FALSE)))</f>
        <v>0x00000024CAB7E382</v>
      </c>
      <c r="B3674" s="5" t="s">
        <v>3597</v>
      </c>
      <c r="C3674" s="5" t="s">
        <v>10</v>
      </c>
      <c r="D3674" s="5" t="s">
        <v>16858</v>
      </c>
      <c r="E3674" s="5"/>
      <c r="F3674" s="5" t="s">
        <v>9002</v>
      </c>
      <c r="G3674" s="5" t="s">
        <v>10145</v>
      </c>
      <c r="H3674" s="1"/>
      <c r="I3674" s="5">
        <v>3</v>
      </c>
      <c r="J3674" s="2"/>
      <c r="K3674" s="5" t="s">
        <v>10178</v>
      </c>
      <c r="L3674" s="19" t="s">
        <v>11351</v>
      </c>
      <c r="M3674" s="20" t="s">
        <v>12017</v>
      </c>
      <c r="N3674" s="5" t="s">
        <v>10</v>
      </c>
      <c r="O3674" s="5" t="s">
        <v>10137</v>
      </c>
      <c r="P3674" s="21" t="str">
        <f>IF(ISNUMBER(MATCH($C3674,StackableKinds,0)), TRUE, "")</f>
        <v/>
      </c>
      <c r="Q3674" s="7" t="b">
        <v>1</v>
      </c>
    </row>
    <row r="3675" spans="1:18" x14ac:dyDescent="0.2">
      <c r="A3675" s="19" t="str">
        <f>_xlfn.IFNA(VLOOKUP($B3675,Keys!$A:$B,2,FALSE),_xlfn.IFNA(VLOOKUP($B3675,Keys!$D:$E,2,FALSE),VLOOKUP($B3675,Keys!$G:$H,2,FALSE)))</f>
        <v>0x0000001BC8F6B4E7</v>
      </c>
      <c r="B3675" s="5" t="s">
        <v>3599</v>
      </c>
      <c r="C3675" s="5" t="s">
        <v>10</v>
      </c>
      <c r="D3675" s="5" t="s">
        <v>16860</v>
      </c>
      <c r="E3675" s="5"/>
      <c r="F3675" s="5" t="s">
        <v>9002</v>
      </c>
      <c r="G3675" s="5" t="s">
        <v>10145</v>
      </c>
      <c r="H3675" s="1"/>
      <c r="I3675" s="5">
        <v>1</v>
      </c>
      <c r="J3675" s="2"/>
      <c r="K3675" s="5" t="s">
        <v>10179</v>
      </c>
      <c r="L3675" s="19" t="s">
        <v>11021</v>
      </c>
      <c r="M3675" s="20" t="s">
        <v>12018</v>
      </c>
      <c r="N3675" s="5" t="s">
        <v>10</v>
      </c>
      <c r="O3675" s="5" t="s">
        <v>10137</v>
      </c>
      <c r="P3675" s="21" t="str">
        <f>IF(ISNUMBER(MATCH($C3675,StackableKinds,0)), TRUE, "")</f>
        <v/>
      </c>
      <c r="Q3675" s="7" t="b">
        <v>1</v>
      </c>
    </row>
    <row r="3676" spans="1:18" x14ac:dyDescent="0.2">
      <c r="A3676" s="19" t="str">
        <f>_xlfn.IFNA(VLOOKUP($B3676,Keys!$A:$B,2,FALSE),_xlfn.IFNA(VLOOKUP($B3676,Keys!$D:$E,2,FALSE),VLOOKUP($B3676,Keys!$G:$H,2,FALSE)))</f>
        <v>0x000000205E501F72</v>
      </c>
      <c r="B3676" s="5" t="s">
        <v>3601</v>
      </c>
      <c r="C3676" s="5" t="s">
        <v>10</v>
      </c>
      <c r="D3676" s="5" t="s">
        <v>16859</v>
      </c>
      <c r="E3676" s="5"/>
      <c r="F3676" s="5" t="s">
        <v>9002</v>
      </c>
      <c r="G3676" s="5" t="s">
        <v>10145</v>
      </c>
      <c r="H3676" s="1"/>
      <c r="I3676" s="5">
        <v>2</v>
      </c>
      <c r="J3676" s="2"/>
      <c r="K3676" s="5" t="s">
        <v>10179</v>
      </c>
      <c r="L3676" s="19" t="s">
        <v>11021</v>
      </c>
      <c r="M3676" s="20" t="s">
        <v>12018</v>
      </c>
      <c r="N3676" s="5" t="s">
        <v>10</v>
      </c>
      <c r="O3676" s="5" t="s">
        <v>10137</v>
      </c>
      <c r="P3676" s="21" t="str">
        <f>IF(ISNUMBER(MATCH($C3676,StackableKinds,0)), TRUE, "")</f>
        <v/>
      </c>
      <c r="Q3676" s="7" t="b">
        <v>1</v>
      </c>
    </row>
    <row r="3677" spans="1:18" x14ac:dyDescent="0.2">
      <c r="A3677" s="19" t="str">
        <f>_xlfn.IFNA(VLOOKUP($B3677,Keys!$A:$B,2,FALSE),_xlfn.IFNA(VLOOKUP($B3677,Keys!$D:$E,2,FALSE),VLOOKUP($B3677,Keys!$G:$H,2,FALSE)))</f>
        <v>0x00000025F4D396C6</v>
      </c>
      <c r="B3677" s="5" t="s">
        <v>3603</v>
      </c>
      <c r="C3677" s="5" t="s">
        <v>10</v>
      </c>
      <c r="D3677" s="5" t="s">
        <v>16858</v>
      </c>
      <c r="E3677" s="5"/>
      <c r="F3677" s="5" t="s">
        <v>9002</v>
      </c>
      <c r="G3677" s="5" t="s">
        <v>10145</v>
      </c>
      <c r="H3677" s="1"/>
      <c r="I3677" s="5">
        <v>3</v>
      </c>
      <c r="J3677" s="2"/>
      <c r="K3677" s="5" t="s">
        <v>10179</v>
      </c>
      <c r="L3677" s="19" t="s">
        <v>11021</v>
      </c>
      <c r="M3677" s="20" t="s">
        <v>12018</v>
      </c>
      <c r="N3677" s="5" t="s">
        <v>10</v>
      </c>
      <c r="O3677" s="5" t="s">
        <v>10137</v>
      </c>
      <c r="P3677" s="21" t="str">
        <f>IF(ISNUMBER(MATCH($C3677,StackableKinds,0)), TRUE, "")</f>
        <v/>
      </c>
      <c r="Q3677" s="7" t="b">
        <v>1</v>
      </c>
    </row>
    <row r="3678" spans="1:18" x14ac:dyDescent="0.2">
      <c r="A3678" s="19" t="str">
        <f>_xlfn.IFNA(VLOOKUP($B3678,Keys!$A:$B,2,FALSE),_xlfn.IFNA(VLOOKUP($B3678,Keys!$D:$E,2,FALSE),VLOOKUP($B3678,Keys!$G:$H,2,FALSE)))</f>
        <v>0x0000001874B30445</v>
      </c>
      <c r="B3678" s="5" t="s">
        <v>3515</v>
      </c>
      <c r="C3678" s="5" t="s">
        <v>10</v>
      </c>
      <c r="D3678" s="5" t="s">
        <v>16860</v>
      </c>
      <c r="E3678" s="5"/>
      <c r="F3678" s="5" t="s">
        <v>9002</v>
      </c>
      <c r="G3678" s="5" t="s">
        <v>10135</v>
      </c>
      <c r="H3678" s="1"/>
      <c r="I3678" s="5">
        <v>1</v>
      </c>
      <c r="J3678" s="2"/>
      <c r="K3678" s="5" t="s">
        <v>10161</v>
      </c>
      <c r="L3678" s="19" t="s">
        <v>11015</v>
      </c>
      <c r="M3678" s="20" t="s">
        <v>12011</v>
      </c>
      <c r="N3678" s="5" t="s">
        <v>10</v>
      </c>
      <c r="O3678" s="5" t="s">
        <v>10137</v>
      </c>
      <c r="P3678" s="21" t="str">
        <f>IF(ISNUMBER(MATCH($C3678,StackableKinds,0)), TRUE, "")</f>
        <v/>
      </c>
      <c r="Q3678" s="7" t="b">
        <v>1</v>
      </c>
    </row>
    <row r="3679" spans="1:18" x14ac:dyDescent="0.2">
      <c r="A3679" s="19" t="str">
        <f>_xlfn.IFNA(VLOOKUP($B3679,Keys!$A:$B,2,FALSE),_xlfn.IFNA(VLOOKUP($B3679,Keys!$D:$E,2,FALSE),VLOOKUP($B3679,Keys!$G:$H,2,FALSE)))</f>
        <v>0x0000001D77E43381</v>
      </c>
      <c r="B3679" s="5" t="s">
        <v>3517</v>
      </c>
      <c r="C3679" s="5" t="s">
        <v>10</v>
      </c>
      <c r="D3679" s="5" t="s">
        <v>16859</v>
      </c>
      <c r="E3679" s="5"/>
      <c r="F3679" s="5" t="s">
        <v>9002</v>
      </c>
      <c r="G3679" s="5" t="s">
        <v>10135</v>
      </c>
      <c r="H3679" s="1"/>
      <c r="I3679" s="5">
        <v>2</v>
      </c>
      <c r="J3679" s="2"/>
      <c r="K3679" s="5" t="s">
        <v>10161</v>
      </c>
      <c r="L3679" s="19" t="s">
        <v>11015</v>
      </c>
      <c r="M3679" s="20" t="s">
        <v>12011</v>
      </c>
      <c r="N3679" s="5" t="s">
        <v>10</v>
      </c>
      <c r="O3679" s="5" t="s">
        <v>10137</v>
      </c>
      <c r="P3679" s="21" t="str">
        <f>IF(ISNUMBER(MATCH($C3679,StackableKinds,0)), TRUE, "")</f>
        <v/>
      </c>
      <c r="Q3679" s="7" t="b">
        <v>1</v>
      </c>
    </row>
    <row r="3680" spans="1:18" x14ac:dyDescent="0.2">
      <c r="A3680" s="19" t="str">
        <f>_xlfn.IFNA(VLOOKUP($B3680,Keys!$A:$B,2,FALSE),_xlfn.IFNA(VLOOKUP($B3680,Keys!$D:$E,2,FALSE),VLOOKUP($B3680,Keys!$G:$H,2,FALSE)))</f>
        <v>0x0000002297B265EA</v>
      </c>
      <c r="B3680" s="5" t="s">
        <v>3519</v>
      </c>
      <c r="C3680" s="5" t="s">
        <v>10</v>
      </c>
      <c r="D3680" s="5" t="s">
        <v>16858</v>
      </c>
      <c r="E3680" s="5"/>
      <c r="F3680" s="5" t="s">
        <v>9002</v>
      </c>
      <c r="G3680" s="5" t="s">
        <v>10135</v>
      </c>
      <c r="H3680" s="1"/>
      <c r="I3680" s="5">
        <v>3</v>
      </c>
      <c r="J3680" s="2"/>
      <c r="K3680" s="5" t="s">
        <v>10161</v>
      </c>
      <c r="L3680" s="19" t="s">
        <v>11015</v>
      </c>
      <c r="M3680" s="20" t="s">
        <v>12011</v>
      </c>
      <c r="N3680" s="5" t="s">
        <v>10</v>
      </c>
      <c r="O3680" s="5" t="s">
        <v>10137</v>
      </c>
      <c r="P3680" s="21" t="str">
        <f>IF(ISNUMBER(MATCH($C3680,StackableKinds,0)), TRUE, "")</f>
        <v/>
      </c>
      <c r="Q3680" s="7" t="b">
        <v>1</v>
      </c>
    </row>
    <row r="3681" spans="1:18" x14ac:dyDescent="0.2">
      <c r="A3681" s="19" t="str">
        <f>_xlfn.IFNA(VLOOKUP($B3681,Keys!$A:$B,2,FALSE),_xlfn.IFNA(VLOOKUP($B3681,Keys!$D:$E,2,FALSE),VLOOKUP($B3681,Keys!$G:$H,2,FALSE)))</f>
        <v>0x00000012F2FCC058</v>
      </c>
      <c r="B3681" s="5" t="s">
        <v>7620</v>
      </c>
      <c r="C3681" s="5" t="s">
        <v>10</v>
      </c>
      <c r="D3681" s="5" t="s">
        <v>16859</v>
      </c>
      <c r="E3681" s="5"/>
      <c r="F3681" s="5" t="s">
        <v>9966</v>
      </c>
      <c r="G3681" s="5" t="s">
        <v>9967</v>
      </c>
      <c r="I3681" s="5">
        <v>1</v>
      </c>
      <c r="J3681" s="7" t="b">
        <v>1</v>
      </c>
      <c r="K3681" s="5" t="s">
        <v>9968</v>
      </c>
      <c r="L3681" s="22" t="s">
        <v>11992</v>
      </c>
      <c r="M3681" s="19" t="s">
        <v>10990</v>
      </c>
      <c r="N3681" s="5" t="s">
        <v>10</v>
      </c>
      <c r="O3681" s="5" t="s">
        <v>9969</v>
      </c>
      <c r="P3681" s="21" t="str">
        <f>IF(ISNUMBER(MATCH($C3681,StackableKinds,0)), TRUE, "")</f>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IF(ISNUMBER(MATCH($C3682,StackableKinds,0)), TRUE, "")</f>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IF(ISNUMBER(MATCH($C3683,StackableKinds,0)), TRUE, "")</f>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16826</v>
      </c>
      <c r="M3684" s="18"/>
      <c r="N3684" s="5" t="s">
        <v>10</v>
      </c>
      <c r="O3684" s="5" t="s">
        <v>9969</v>
      </c>
      <c r="P3684" s="21" t="str">
        <f>IF(ISNUMBER(MATCH($C3684,StackableKinds,0)), TRUE, "")</f>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16827</v>
      </c>
      <c r="M3685" s="18"/>
      <c r="N3685" s="5" t="s">
        <v>10</v>
      </c>
      <c r="O3685" s="5" t="s">
        <v>9969</v>
      </c>
      <c r="P3685" s="21" t="str">
        <f>IF(ISNUMBER(MATCH($C3685,StackableKinds,0)), TRUE, "")</f>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16828</v>
      </c>
      <c r="M3686" s="18"/>
      <c r="N3686" s="5" t="s">
        <v>10</v>
      </c>
      <c r="O3686" s="5" t="s">
        <v>9969</v>
      </c>
      <c r="P3686" s="21" t="str">
        <f>IF(ISNUMBER(MATCH($C3686,StackableKinds,0)), TRUE, "")</f>
        <v/>
      </c>
      <c r="Q3686" s="7" t="b">
        <v>1</v>
      </c>
    </row>
    <row r="3687" spans="1:18" x14ac:dyDescent="0.2">
      <c r="A3687" s="19" t="str">
        <f>_xlfn.IFNA(VLOOKUP($B3687,Keys!$A:$B,2,FALSE),_xlfn.IFNA(VLOOKUP($B3687,Keys!$D:$E,2,FALSE),VLOOKUP($B3687,Keys!$G:$H,2,FALSE)))</f>
        <v>0x0000001B74CBC9FD</v>
      </c>
      <c r="B3687" s="5" t="s">
        <v>3559</v>
      </c>
      <c r="C3687" s="5" t="s">
        <v>10</v>
      </c>
      <c r="D3687" s="5" t="s">
        <v>16859</v>
      </c>
      <c r="E3687" s="5"/>
      <c r="F3687" s="5" t="s">
        <v>10126</v>
      </c>
      <c r="G3687" s="5" t="s">
        <v>10148</v>
      </c>
      <c r="H3687" s="1"/>
      <c r="I3687" s="5">
        <v>1</v>
      </c>
      <c r="J3687" s="2"/>
      <c r="K3687" s="5" t="s">
        <v>10171</v>
      </c>
      <c r="L3687" s="19" t="s">
        <v>11019</v>
      </c>
      <c r="M3687" s="20" t="s">
        <v>12014</v>
      </c>
      <c r="N3687" s="5" t="s">
        <v>10</v>
      </c>
      <c r="O3687" s="5" t="s">
        <v>9969</v>
      </c>
      <c r="P3687" s="21" t="str">
        <f>IF(ISNUMBER(MATCH($C3687,StackableKinds,0)), TRUE, "")</f>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16858</v>
      </c>
      <c r="E3688" s="5"/>
      <c r="F3688" s="5" t="s">
        <v>10126</v>
      </c>
      <c r="G3688" s="5" t="s">
        <v>10148</v>
      </c>
      <c r="H3688" s="1"/>
      <c r="I3688" s="5">
        <v>2</v>
      </c>
      <c r="J3688" s="2"/>
      <c r="K3688" s="5" t="s">
        <v>10171</v>
      </c>
      <c r="L3688" s="19" t="s">
        <v>11019</v>
      </c>
      <c r="M3688" s="20" t="s">
        <v>12014</v>
      </c>
      <c r="N3688" s="5" t="s">
        <v>10</v>
      </c>
      <c r="O3688" s="5" t="s">
        <v>9969</v>
      </c>
      <c r="P3688" s="21" t="str">
        <f>IF(ISNUMBER(MATCH($C3688,StackableKinds,0)), TRUE, "")</f>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IF(ISNUMBER(MATCH($C3689,StackableKinds,0)), TRUE, "")</f>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IF(ISNUMBER(MATCH($C3690,StackableKinds,0)), TRUE, "")</f>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IF(ISNUMBER(MATCH($C3691,StackableKinds,0)), TRUE, "")</f>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IF(ISNUMBER(MATCH($C3692,StackableKinds,0)), TRUE, "")</f>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IF(ISNUMBER(MATCH($C3693,StackableKinds,0)), TRUE, "")</f>
        <v/>
      </c>
      <c r="Q3693" s="7" t="b">
        <v>1</v>
      </c>
    </row>
    <row r="3694" spans="1:18" x14ac:dyDescent="0.2">
      <c r="A3694" s="19" t="str">
        <f>_xlfn.IFNA(VLOOKUP($B3694,Keys!$A:$B,2,FALSE),_xlfn.IFNA(VLOOKUP($B3694,Keys!$D:$E,2,FALSE),VLOOKUP($B3694,Keys!$G:$H,2,FALSE)))</f>
        <v>0x0000001AC86764AB</v>
      </c>
      <c r="B3694" s="5" t="s">
        <v>3637</v>
      </c>
      <c r="C3694" s="5" t="s">
        <v>10</v>
      </c>
      <c r="D3694" s="5" t="s">
        <v>16860</v>
      </c>
      <c r="E3694" s="5"/>
      <c r="F3694" s="5" t="s">
        <v>9002</v>
      </c>
      <c r="G3694" s="5" t="s">
        <v>10145</v>
      </c>
      <c r="H3694" s="1"/>
      <c r="I3694" s="5">
        <v>1</v>
      </c>
      <c r="J3694" s="2"/>
      <c r="K3694" s="5" t="s">
        <v>10186</v>
      </c>
      <c r="L3694" s="19" t="s">
        <v>11352</v>
      </c>
      <c r="M3694" s="20" t="s">
        <v>12022</v>
      </c>
      <c r="N3694" s="5" t="s">
        <v>10</v>
      </c>
      <c r="O3694" s="5" t="s">
        <v>10137</v>
      </c>
      <c r="P3694" s="21" t="str">
        <f>IF(ISNUMBER(MATCH($C3694,StackableKinds,0)), TRUE, "")</f>
        <v/>
      </c>
      <c r="Q3694" s="7" t="b">
        <v>1</v>
      </c>
    </row>
    <row r="3695" spans="1:18" x14ac:dyDescent="0.2">
      <c r="A3695" s="19" t="str">
        <f>_xlfn.IFNA(VLOOKUP($B3695,Keys!$A:$B,2,FALSE),_xlfn.IFNA(VLOOKUP($B3695,Keys!$D:$E,2,FALSE),VLOOKUP($B3695,Keys!$G:$H,2,FALSE)))</f>
        <v>0x0000001F19D6C164</v>
      </c>
      <c r="B3695" s="5" t="s">
        <v>3639</v>
      </c>
      <c r="C3695" s="5" t="s">
        <v>10</v>
      </c>
      <c r="D3695" s="5" t="s">
        <v>16859</v>
      </c>
      <c r="E3695" s="5"/>
      <c r="F3695" s="5" t="s">
        <v>9002</v>
      </c>
      <c r="G3695" s="5" t="s">
        <v>10145</v>
      </c>
      <c r="H3695" s="1"/>
      <c r="I3695" s="5">
        <v>2</v>
      </c>
      <c r="J3695" s="2"/>
      <c r="K3695" s="5" t="s">
        <v>10186</v>
      </c>
      <c r="L3695" s="19" t="s">
        <v>11352</v>
      </c>
      <c r="M3695" s="20" t="s">
        <v>12022</v>
      </c>
      <c r="N3695" s="5" t="s">
        <v>10</v>
      </c>
      <c r="O3695" s="5" t="s">
        <v>10137</v>
      </c>
      <c r="P3695" s="21" t="str">
        <f>IF(ISNUMBER(MATCH($C3695,StackableKinds,0)), TRUE, "")</f>
        <v/>
      </c>
      <c r="Q3695" s="7" t="b">
        <v>1</v>
      </c>
    </row>
    <row r="3696" spans="1:18" x14ac:dyDescent="0.2">
      <c r="A3696" s="19" t="str">
        <f>_xlfn.IFNA(VLOOKUP($B3696,Keys!$A:$B,2,FALSE),_xlfn.IFNA(VLOOKUP($B3696,Keys!$D:$E,2,FALSE),VLOOKUP($B3696,Keys!$G:$H,2,FALSE)))</f>
        <v>0x00000024877884BE</v>
      </c>
      <c r="B3696" s="5" t="s">
        <v>3641</v>
      </c>
      <c r="C3696" s="5" t="s">
        <v>10</v>
      </c>
      <c r="D3696" s="5" t="s">
        <v>16858</v>
      </c>
      <c r="E3696" s="5"/>
      <c r="F3696" s="5" t="s">
        <v>9002</v>
      </c>
      <c r="G3696" s="5" t="s">
        <v>10145</v>
      </c>
      <c r="H3696" s="1"/>
      <c r="I3696" s="5">
        <v>3</v>
      </c>
      <c r="J3696" s="2"/>
      <c r="K3696" s="5" t="s">
        <v>10186</v>
      </c>
      <c r="L3696" s="19" t="s">
        <v>11352</v>
      </c>
      <c r="M3696" s="20" t="s">
        <v>12022</v>
      </c>
      <c r="N3696" s="5" t="s">
        <v>10</v>
      </c>
      <c r="O3696" s="5" t="s">
        <v>10137</v>
      </c>
      <c r="P3696" s="21" t="str">
        <f>IF(ISNUMBER(MATCH($C3696,StackableKinds,0)), TRUE, "")</f>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IF(ISNUMBER(MATCH($C3697,StackableKinds,0)), TRUE, "")</f>
        <v/>
      </c>
      <c r="Q3697" s="7" t="b">
        <v>1</v>
      </c>
    </row>
    <row r="3698" spans="1:18" x14ac:dyDescent="0.2">
      <c r="A3698" s="19" t="str">
        <f>_xlfn.IFNA(VLOOKUP($B3698,Keys!$A:$B,2,FALSE),_xlfn.IFNA(VLOOKUP($B3698,Keys!$D:$E,2,FALSE),VLOOKUP($B3698,Keys!$G:$H,2,FALSE)))</f>
        <v>0x0000001F56F3CA7D</v>
      </c>
      <c r="B3698" s="5" t="s">
        <v>3914</v>
      </c>
      <c r="C3698" s="5" t="s">
        <v>10</v>
      </c>
      <c r="D3698" s="5" t="s">
        <v>16859</v>
      </c>
      <c r="E3698" s="5"/>
      <c r="F3698" s="5" t="s">
        <v>10126</v>
      </c>
      <c r="G3698" s="5" t="s">
        <v>10148</v>
      </c>
      <c r="H3698" s="1"/>
      <c r="I3698" s="5">
        <v>1</v>
      </c>
      <c r="J3698" s="2"/>
      <c r="K3698" s="5" t="s">
        <v>10229</v>
      </c>
      <c r="L3698" s="19" t="s">
        <v>11041</v>
      </c>
      <c r="M3698" s="20" t="s">
        <v>12040</v>
      </c>
      <c r="N3698" s="5" t="s">
        <v>10</v>
      </c>
      <c r="O3698" s="5" t="s">
        <v>9969</v>
      </c>
      <c r="P3698" s="21" t="str">
        <f>IF(ISNUMBER(MATCH($C3698,StackableKinds,0)), TRUE, "")</f>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16858</v>
      </c>
      <c r="E3699" s="5"/>
      <c r="F3699" s="5" t="s">
        <v>10126</v>
      </c>
      <c r="G3699" s="5" t="s">
        <v>10148</v>
      </c>
      <c r="H3699" s="1"/>
      <c r="I3699" s="5">
        <v>2</v>
      </c>
      <c r="J3699" s="2"/>
      <c r="K3699" s="5" t="s">
        <v>10229</v>
      </c>
      <c r="L3699" s="19" t="s">
        <v>11041</v>
      </c>
      <c r="M3699" s="20" t="s">
        <v>12040</v>
      </c>
      <c r="N3699" s="5" t="s">
        <v>10</v>
      </c>
      <c r="O3699" s="5" t="s">
        <v>9969</v>
      </c>
      <c r="P3699" s="21" t="str">
        <f>IF(ISNUMBER(MATCH($C3699,StackableKinds,0)), TRUE, "")</f>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IF(ISNUMBER(MATCH($C3700,StackableKinds,0)), TRUE, "")</f>
        <v/>
      </c>
      <c r="Q3700" s="7" t="b">
        <v>1</v>
      </c>
    </row>
    <row r="3701" spans="1:18" x14ac:dyDescent="0.2">
      <c r="A3701" s="19" t="str">
        <f>_xlfn.IFNA(VLOOKUP($B3701,Keys!$A:$B,2,FALSE),_xlfn.IFNA(VLOOKUP($B3701,Keys!$D:$E,2,FALSE),VLOOKUP($B3701,Keys!$G:$H,2,FALSE)))</f>
        <v>0x0000001EC0E6FF2D</v>
      </c>
      <c r="B3701" s="5" t="s">
        <v>3420</v>
      </c>
      <c r="C3701" s="5" t="s">
        <v>10</v>
      </c>
      <c r="D3701" s="5" t="s">
        <v>16860</v>
      </c>
      <c r="E3701" s="5"/>
      <c r="F3701" s="5" t="s">
        <v>9002</v>
      </c>
      <c r="G3701" s="5" t="s">
        <v>10135</v>
      </c>
      <c r="H3701" s="1"/>
      <c r="I3701" s="5">
        <v>1</v>
      </c>
      <c r="J3701" s="2"/>
      <c r="K3701" s="5" t="s">
        <v>10141</v>
      </c>
      <c r="L3701" s="19" t="s">
        <v>11009</v>
      </c>
      <c r="M3701" s="20" t="s">
        <v>12005</v>
      </c>
      <c r="N3701" s="5" t="s">
        <v>10</v>
      </c>
      <c r="O3701" s="5" t="s">
        <v>10137</v>
      </c>
      <c r="P3701" s="21" t="str">
        <f>IF(ISNUMBER(MATCH($C3701,StackableKinds,0)), TRUE, "")</f>
        <v/>
      </c>
      <c r="Q3701" s="7" t="b">
        <v>1</v>
      </c>
    </row>
    <row r="3702" spans="1:18" x14ac:dyDescent="0.2">
      <c r="A3702" s="19" t="str">
        <f>_xlfn.IFNA(VLOOKUP($B3702,Keys!$A:$B,2,FALSE),_xlfn.IFNA(VLOOKUP($B3702,Keys!$D:$E,2,FALSE),VLOOKUP($B3702,Keys!$G:$H,2,FALSE)))</f>
        <v>0x00000023651F194C</v>
      </c>
      <c r="B3702" s="5" t="s">
        <v>3422</v>
      </c>
      <c r="C3702" s="5" t="s">
        <v>10</v>
      </c>
      <c r="D3702" s="5" t="s">
        <v>16859</v>
      </c>
      <c r="E3702" s="5"/>
      <c r="F3702" s="5" t="s">
        <v>9002</v>
      </c>
      <c r="G3702" s="5" t="s">
        <v>10135</v>
      </c>
      <c r="H3702" s="1"/>
      <c r="I3702" s="5">
        <v>2</v>
      </c>
      <c r="J3702" s="2"/>
      <c r="K3702" s="5" t="s">
        <v>10141</v>
      </c>
      <c r="L3702" s="19" t="s">
        <v>11009</v>
      </c>
      <c r="M3702" s="20" t="s">
        <v>12005</v>
      </c>
      <c r="N3702" s="5" t="s">
        <v>10</v>
      </c>
      <c r="O3702" s="5" t="s">
        <v>10137</v>
      </c>
      <c r="P3702" s="21" t="str">
        <f>IF(ISNUMBER(MATCH($C3702,StackableKinds,0)), TRUE, "")</f>
        <v/>
      </c>
      <c r="Q3702" s="7" t="b">
        <v>1</v>
      </c>
    </row>
    <row r="3703" spans="1:18" x14ac:dyDescent="0.2">
      <c r="A3703" s="19" t="str">
        <f>_xlfn.IFNA(VLOOKUP($B3703,Keys!$A:$B,2,FALSE),_xlfn.IFNA(VLOOKUP($B3703,Keys!$D:$E,2,FALSE),VLOOKUP($B3703,Keys!$G:$H,2,FALSE)))</f>
        <v>0x0000002888DDEA38</v>
      </c>
      <c r="B3703" s="5" t="s">
        <v>3424</v>
      </c>
      <c r="C3703" s="5" t="s">
        <v>10</v>
      </c>
      <c r="D3703" s="5" t="s">
        <v>16858</v>
      </c>
      <c r="E3703" s="5"/>
      <c r="F3703" s="5" t="s">
        <v>9002</v>
      </c>
      <c r="G3703" s="5" t="s">
        <v>10135</v>
      </c>
      <c r="H3703" s="1"/>
      <c r="I3703" s="5">
        <v>3</v>
      </c>
      <c r="J3703" s="2"/>
      <c r="K3703" s="5" t="s">
        <v>10141</v>
      </c>
      <c r="L3703" s="19" t="s">
        <v>11009</v>
      </c>
      <c r="M3703" s="20" t="s">
        <v>12005</v>
      </c>
      <c r="N3703" s="5" t="s">
        <v>10</v>
      </c>
      <c r="O3703" s="5" t="s">
        <v>10137</v>
      </c>
      <c r="P3703" s="21" t="str">
        <f>IF(ISNUMBER(MATCH($C3703,StackableKinds,0)), TRUE, "")</f>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IF(ISNUMBER(MATCH($C3704,StackableKinds,0)), TRUE, "")</f>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16820</v>
      </c>
      <c r="M3705" s="18"/>
      <c r="N3705" s="5" t="s">
        <v>10</v>
      </c>
      <c r="O3705" s="5" t="s">
        <v>9969</v>
      </c>
      <c r="P3705" s="21" t="str">
        <f>IF(ISNUMBER(MATCH($C3705,StackableKinds,0)), TRUE, "")</f>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16821</v>
      </c>
      <c r="M3706" s="18"/>
      <c r="N3706" s="5" t="s">
        <v>10</v>
      </c>
      <c r="O3706" s="5" t="s">
        <v>9969</v>
      </c>
      <c r="P3706" s="21" t="str">
        <f>IF(ISNUMBER(MATCH($C3706,StackableKinds,0)), TRUE, "")</f>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16822</v>
      </c>
      <c r="M3707" s="18"/>
      <c r="N3707" s="5" t="s">
        <v>10</v>
      </c>
      <c r="O3707" s="5" t="s">
        <v>9969</v>
      </c>
      <c r="P3707" s="21" t="str">
        <f>IF(ISNUMBER(MATCH($C3707,StackableKinds,0)), TRUE, "")</f>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IF(ISNUMBER(MATCH($C3708,StackableKinds,0)), TRUE, "")</f>
        <v/>
      </c>
      <c r="Q3708" s="7" t="b">
        <v>1</v>
      </c>
    </row>
    <row r="3709" spans="1:18" x14ac:dyDescent="0.2">
      <c r="A3709" s="19" t="str">
        <f>_xlfn.IFNA(VLOOKUP($B3709,Keys!$A:$B,2,FALSE),_xlfn.IFNA(VLOOKUP($B3709,Keys!$D:$E,2,FALSE),VLOOKUP($B3709,Keys!$G:$H,2,FALSE)))</f>
        <v>0x0000001ACD27E124</v>
      </c>
      <c r="B3709" s="5" t="s">
        <v>3583</v>
      </c>
      <c r="C3709" s="5" t="s">
        <v>10</v>
      </c>
      <c r="D3709" s="5" t="s">
        <v>16860</v>
      </c>
      <c r="E3709" s="5"/>
      <c r="F3709" s="5" t="s">
        <v>9002</v>
      </c>
      <c r="G3709" s="5" t="s">
        <v>10145</v>
      </c>
      <c r="H3709" s="1"/>
      <c r="I3709" s="5">
        <v>1</v>
      </c>
      <c r="J3709" s="2"/>
      <c r="K3709" s="5" t="s">
        <v>10177</v>
      </c>
      <c r="L3709" s="19" t="s">
        <v>11020</v>
      </c>
      <c r="M3709" s="20" t="s">
        <v>12016</v>
      </c>
      <c r="N3709" s="5" t="s">
        <v>10</v>
      </c>
      <c r="O3709" s="5" t="s">
        <v>10137</v>
      </c>
      <c r="P3709" s="21" t="str">
        <f>IF(ISNUMBER(MATCH($C3709,StackableKinds,0)), TRUE, "")</f>
        <v/>
      </c>
      <c r="Q3709" s="7" t="b">
        <v>1</v>
      </c>
    </row>
    <row r="3710" spans="1:18" x14ac:dyDescent="0.2">
      <c r="A3710" s="19" t="str">
        <f>_xlfn.IFNA(VLOOKUP($B3710,Keys!$A:$B,2,FALSE),_xlfn.IFNA(VLOOKUP($B3710,Keys!$D:$E,2,FALSE),VLOOKUP($B3710,Keys!$G:$H,2,FALSE)))</f>
        <v>0x0000001FFD0AD9AB</v>
      </c>
      <c r="B3710" s="5" t="s">
        <v>3585</v>
      </c>
      <c r="C3710" s="5" t="s">
        <v>10</v>
      </c>
      <c r="D3710" s="5" t="s">
        <v>16859</v>
      </c>
      <c r="E3710" s="5"/>
      <c r="F3710" s="5" t="s">
        <v>9002</v>
      </c>
      <c r="G3710" s="5" t="s">
        <v>10145</v>
      </c>
      <c r="H3710" s="1"/>
      <c r="I3710" s="5">
        <v>2</v>
      </c>
      <c r="J3710" s="2"/>
      <c r="K3710" s="5" t="s">
        <v>10177</v>
      </c>
      <c r="L3710" s="19" t="s">
        <v>11020</v>
      </c>
      <c r="M3710" s="20" t="s">
        <v>12016</v>
      </c>
      <c r="N3710" s="5" t="s">
        <v>10</v>
      </c>
      <c r="O3710" s="5" t="s">
        <v>10137</v>
      </c>
      <c r="P3710" s="21" t="str">
        <f>IF(ISNUMBER(MATCH($C3710,StackableKinds,0)), TRUE, "")</f>
        <v/>
      </c>
      <c r="Q3710" s="7" t="b">
        <v>1</v>
      </c>
    </row>
    <row r="3711" spans="1:18" x14ac:dyDescent="0.2">
      <c r="A3711" s="19" t="str">
        <f>_xlfn.IFNA(VLOOKUP($B3711,Keys!$A:$B,2,FALSE),_xlfn.IFNA(VLOOKUP($B3711,Keys!$D:$E,2,FALSE),VLOOKUP($B3711,Keys!$G:$H,2,FALSE)))</f>
        <v>0x00000024C7117E78</v>
      </c>
      <c r="B3711" s="5" t="s">
        <v>3587</v>
      </c>
      <c r="C3711" s="5" t="s">
        <v>10</v>
      </c>
      <c r="D3711" s="5" t="s">
        <v>16858</v>
      </c>
      <c r="E3711" s="5"/>
      <c r="F3711" s="5" t="s">
        <v>9002</v>
      </c>
      <c r="G3711" s="5" t="s">
        <v>10145</v>
      </c>
      <c r="H3711" s="1"/>
      <c r="I3711" s="5">
        <v>3</v>
      </c>
      <c r="J3711" s="2"/>
      <c r="K3711" s="5" t="s">
        <v>10177</v>
      </c>
      <c r="L3711" s="19" t="s">
        <v>11020</v>
      </c>
      <c r="M3711" s="20" t="s">
        <v>12016</v>
      </c>
      <c r="N3711" s="5" t="s">
        <v>10</v>
      </c>
      <c r="O3711" s="5" t="s">
        <v>10137</v>
      </c>
      <c r="P3711" s="21" t="str">
        <f>IF(ISNUMBER(MATCH($C3711,StackableKinds,0)), TRUE, "")</f>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IF(ISNUMBER(MATCH($C3712,StackableKinds,0)), TRUE, "")</f>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IF(ISNUMBER(MATCH($C3713,StackableKinds,0)), TRUE, "")</f>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IF(ISNUMBER(MATCH($C3714,StackableKinds,0)), TRUE, "")</f>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16834</v>
      </c>
      <c r="M3715" s="18"/>
      <c r="N3715" s="5" t="s">
        <v>10</v>
      </c>
      <c r="O3715" s="5" t="s">
        <v>9969</v>
      </c>
      <c r="P3715" s="21" t="str">
        <f>IF(ISNUMBER(MATCH($C3715,StackableKinds,0)), TRUE, "")</f>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16835</v>
      </c>
      <c r="M3716" s="18"/>
      <c r="N3716" s="5" t="s">
        <v>10</v>
      </c>
      <c r="O3716" s="5" t="s">
        <v>9969</v>
      </c>
      <c r="P3716" s="21" t="str">
        <f>IF(ISNUMBER(MATCH($C3716,StackableKinds,0)), TRUE, "")</f>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16836</v>
      </c>
      <c r="M3717" s="18"/>
      <c r="N3717" s="5" t="s">
        <v>10</v>
      </c>
      <c r="O3717" s="5" t="s">
        <v>9969</v>
      </c>
      <c r="P3717" s="21" t="str">
        <f>IF(ISNUMBER(MATCH($C3717,StackableKinds,0)), TRUE, "")</f>
        <v/>
      </c>
      <c r="Q3717" s="7" t="b">
        <v>1</v>
      </c>
    </row>
    <row r="3718" spans="1:19" x14ac:dyDescent="0.2">
      <c r="A3718" s="19" t="str">
        <f>_xlfn.IFNA(VLOOKUP($B3718,Keys!$A:$B,2,FALSE),_xlfn.IFNA(VLOOKUP($B3718,Keys!$D:$E,2,FALSE),VLOOKUP($B3718,Keys!$G:$H,2,FALSE)))</f>
        <v>0x0000001A4661173C</v>
      </c>
      <c r="B3718" s="5" t="s">
        <v>3366</v>
      </c>
      <c r="C3718" s="5" t="s">
        <v>10</v>
      </c>
      <c r="D3718" s="5" t="s">
        <v>16860</v>
      </c>
      <c r="E3718" s="5"/>
      <c r="F3718" s="5" t="s">
        <v>10122</v>
      </c>
      <c r="G3718" s="5" t="s">
        <v>10123</v>
      </c>
      <c r="H3718" s="1"/>
      <c r="I3718" s="5">
        <v>1</v>
      </c>
      <c r="J3718" s="2"/>
      <c r="K3718" s="5" t="s">
        <v>10125</v>
      </c>
      <c r="L3718" s="19" t="s">
        <v>11006</v>
      </c>
      <c r="M3718" s="20" t="s">
        <v>12002</v>
      </c>
      <c r="N3718" s="5" t="s">
        <v>10</v>
      </c>
      <c r="O3718" s="5" t="s">
        <v>9969</v>
      </c>
      <c r="P3718" s="21" t="str">
        <f>IF(ISNUMBER(MATCH($C3718,StackableKinds,0)), TRUE, "")</f>
        <v/>
      </c>
      <c r="Q3718" s="7" t="b">
        <v>1</v>
      </c>
    </row>
    <row r="3719" spans="1:19" x14ac:dyDescent="0.2">
      <c r="A3719" s="19" t="str">
        <f>_xlfn.IFNA(VLOOKUP($B3719,Keys!$A:$B,2,FALSE),_xlfn.IFNA(VLOOKUP($B3719,Keys!$D:$E,2,FALSE),VLOOKUP($B3719,Keys!$G:$H,2,FALSE)))</f>
        <v>0x0000001FA2F7FC61</v>
      </c>
      <c r="B3719" s="5" t="s">
        <v>3368</v>
      </c>
      <c r="C3719" s="5" t="s">
        <v>10</v>
      </c>
      <c r="D3719" s="5" t="s">
        <v>16859</v>
      </c>
      <c r="E3719" s="5"/>
      <c r="F3719" s="5" t="s">
        <v>10122</v>
      </c>
      <c r="G3719" s="5" t="s">
        <v>10123</v>
      </c>
      <c r="H3719" s="1"/>
      <c r="I3719" s="5">
        <v>2</v>
      </c>
      <c r="J3719" s="2"/>
      <c r="K3719" s="5" t="s">
        <v>10125</v>
      </c>
      <c r="L3719" s="19" t="s">
        <v>11006</v>
      </c>
      <c r="M3719" s="20" t="s">
        <v>12002</v>
      </c>
      <c r="N3719" s="5" t="s">
        <v>10</v>
      </c>
      <c r="O3719" s="5" t="s">
        <v>9969</v>
      </c>
      <c r="P3719" s="21" t="str">
        <f>IF(ISNUMBER(MATCH($C3719,StackableKinds,0)), TRUE, "")</f>
        <v/>
      </c>
      <c r="Q3719" s="7" t="b">
        <v>1</v>
      </c>
    </row>
    <row r="3720" spans="1:19" x14ac:dyDescent="0.2">
      <c r="A3720" s="19" t="str">
        <f>_xlfn.IFNA(VLOOKUP($B3720,Keys!$A:$B,2,FALSE),_xlfn.IFNA(VLOOKUP($B3720,Keys!$D:$E,2,FALSE),VLOOKUP($B3720,Keys!$G:$H,2,FALSE)))</f>
        <v>0x0000002473677016</v>
      </c>
      <c r="B3720" s="5" t="s">
        <v>3370</v>
      </c>
      <c r="C3720" s="5" t="s">
        <v>10</v>
      </c>
      <c r="D3720" s="5" t="s">
        <v>16858</v>
      </c>
      <c r="E3720" s="5"/>
      <c r="F3720" s="5" t="s">
        <v>10122</v>
      </c>
      <c r="G3720" s="5" t="s">
        <v>10123</v>
      </c>
      <c r="H3720" s="1"/>
      <c r="I3720" s="5">
        <v>3</v>
      </c>
      <c r="J3720" s="2"/>
      <c r="K3720" s="5" t="s">
        <v>10125</v>
      </c>
      <c r="L3720" s="19" t="s">
        <v>11006</v>
      </c>
      <c r="M3720" s="20" t="s">
        <v>12002</v>
      </c>
      <c r="N3720" s="5" t="s">
        <v>10</v>
      </c>
      <c r="O3720" s="5" t="s">
        <v>9969</v>
      </c>
      <c r="P3720" s="21" t="str">
        <f>IF(ISNUMBER(MATCH($C3720,StackableKinds,0)), TRUE, "")</f>
        <v/>
      </c>
      <c r="Q3720" s="7" t="b">
        <v>1</v>
      </c>
    </row>
    <row r="3721" spans="1:19" x14ac:dyDescent="0.2">
      <c r="A3721" s="19" t="str">
        <f>_xlfn.IFNA(VLOOKUP($B3721,Keys!$A:$B,2,FALSE),_xlfn.IFNA(VLOOKUP($B3721,Keys!$D:$E,2,FALSE),VLOOKUP($B3721,Keys!$G:$H,2,FALSE)))</f>
        <v>0x0000001A74B67BF8</v>
      </c>
      <c r="B3721" s="5" t="s">
        <v>3513</v>
      </c>
      <c r="C3721" s="5" t="s">
        <v>10</v>
      </c>
      <c r="D3721" s="5" t="s">
        <v>16858</v>
      </c>
      <c r="E3721" s="5"/>
      <c r="F3721" s="5" t="s">
        <v>9966</v>
      </c>
      <c r="G3721" s="5" t="s">
        <v>10158</v>
      </c>
      <c r="H3721" s="1"/>
      <c r="I3721" s="5">
        <v>1</v>
      </c>
      <c r="J3721" s="2"/>
      <c r="K3721" s="5" t="s">
        <v>10160</v>
      </c>
      <c r="L3721" s="19" t="s">
        <v>11014</v>
      </c>
      <c r="M3721" s="20" t="s">
        <v>12010</v>
      </c>
      <c r="N3721" s="5" t="s">
        <v>10</v>
      </c>
      <c r="O3721" s="5" t="s">
        <v>9969</v>
      </c>
      <c r="P3721" s="21" t="str">
        <f>IF(ISNUMBER(MATCH($C3721,StackableKinds,0)), TRUE, "")</f>
        <v/>
      </c>
      <c r="Q3721" s="7" t="b">
        <v>1</v>
      </c>
      <c r="R3721" s="22" t="b">
        <v>1</v>
      </c>
    </row>
  </sheetData>
  <autoFilter ref="A1:Q3721"/>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05" workbookViewId="0">
      <selection activeCell="A2132" sqref="A2132"/>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12"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c r="H213" s="28"/>
    </row>
    <row r="214" spans="1:9" x14ac:dyDescent="0.2">
      <c r="A214" s="30" t="s">
        <v>12146</v>
      </c>
      <c r="B214" s="30" t="s">
        <v>12145</v>
      </c>
      <c r="C214" s="11"/>
      <c r="D214" s="10"/>
      <c r="E214" s="26"/>
      <c r="F214" s="11"/>
      <c r="G214" s="10"/>
      <c r="H214" s="28"/>
    </row>
    <row r="215" spans="1:9" x14ac:dyDescent="0.2">
      <c r="A215" s="30" t="s">
        <v>12148</v>
      </c>
      <c r="B215" s="30" t="s">
        <v>12147</v>
      </c>
      <c r="C215" s="11"/>
      <c r="D215" s="10"/>
      <c r="E215" s="26"/>
      <c r="F215" s="11"/>
      <c r="G215" s="10"/>
      <c r="H215" s="28"/>
    </row>
    <row r="216" spans="1:9" x14ac:dyDescent="0.2">
      <c r="A216" s="30" t="s">
        <v>12150</v>
      </c>
      <c r="B216" s="30" t="s">
        <v>12149</v>
      </c>
      <c r="C216" s="11"/>
      <c r="D216" s="10"/>
      <c r="E216" s="26"/>
      <c r="F216" s="11"/>
      <c r="G216" s="10"/>
      <c r="H216" s="28"/>
    </row>
    <row r="217" spans="1:9" x14ac:dyDescent="0.2">
      <c r="A217" s="30" t="s">
        <v>12152</v>
      </c>
      <c r="B217" s="30" t="s">
        <v>12151</v>
      </c>
      <c r="C217" s="11"/>
      <c r="D217" s="10"/>
      <c r="E217" s="26"/>
      <c r="F217" s="11"/>
      <c r="G217" s="10"/>
      <c r="H217" s="28"/>
    </row>
    <row r="218" spans="1:9" x14ac:dyDescent="0.2">
      <c r="A218" s="30" t="s">
        <v>12154</v>
      </c>
      <c r="B218" s="30" t="s">
        <v>12153</v>
      </c>
      <c r="C218" s="11"/>
      <c r="D218" s="10"/>
      <c r="E218" s="26"/>
      <c r="F218" s="11"/>
      <c r="G218" s="10"/>
      <c r="H218" s="28"/>
    </row>
    <row r="219" spans="1:9" x14ac:dyDescent="0.2">
      <c r="A219" s="30" t="s">
        <v>12156</v>
      </c>
      <c r="B219" s="30" t="s">
        <v>12155</v>
      </c>
      <c r="C219" s="11"/>
      <c r="D219" s="10"/>
      <c r="E219" s="26"/>
      <c r="F219" s="11"/>
      <c r="G219" s="10"/>
      <c r="H219" s="28"/>
    </row>
    <row r="220" spans="1:9" x14ac:dyDescent="0.2">
      <c r="A220" s="30" t="s">
        <v>414</v>
      </c>
      <c r="B220" s="30" t="s">
        <v>415</v>
      </c>
      <c r="C220" s="11"/>
      <c r="D220" s="10"/>
      <c r="E220" s="26"/>
      <c r="F220" s="11"/>
      <c r="G220" s="10"/>
      <c r="H220" s="28"/>
    </row>
    <row r="221" spans="1:9" x14ac:dyDescent="0.2">
      <c r="A221" s="30" t="s">
        <v>12158</v>
      </c>
      <c r="B221" s="30" t="s">
        <v>12157</v>
      </c>
      <c r="C221" s="11"/>
      <c r="D221" s="10"/>
      <c r="E221" s="26"/>
      <c r="F221" s="11"/>
      <c r="G221" s="10"/>
      <c r="H221" s="28"/>
    </row>
    <row r="222" spans="1:9" x14ac:dyDescent="0.2">
      <c r="A222" s="30" t="s">
        <v>12160</v>
      </c>
      <c r="B222" s="30" t="s">
        <v>12159</v>
      </c>
      <c r="C222" s="11"/>
      <c r="D222" s="10"/>
      <c r="E222" s="26"/>
      <c r="F222" s="11"/>
      <c r="G222" s="10"/>
      <c r="H222" s="28"/>
    </row>
    <row r="223" spans="1:9" x14ac:dyDescent="0.2">
      <c r="A223" s="30" t="s">
        <v>416</v>
      </c>
      <c r="B223" s="30" t="s">
        <v>417</v>
      </c>
      <c r="C223" s="11"/>
      <c r="D223" s="10"/>
      <c r="E223" s="26"/>
      <c r="F223" s="11"/>
      <c r="G223" s="10"/>
      <c r="H223" s="28"/>
    </row>
    <row r="224" spans="1:9" x14ac:dyDescent="0.2">
      <c r="A224" s="30" t="s">
        <v>418</v>
      </c>
      <c r="B224" s="30" t="s">
        <v>419</v>
      </c>
      <c r="C224" s="11"/>
      <c r="D224" s="10"/>
      <c r="E224" s="26"/>
      <c r="F224" s="11"/>
      <c r="G224" s="10"/>
      <c r="H224" s="28"/>
    </row>
    <row r="225" spans="1:8" x14ac:dyDescent="0.2">
      <c r="A225" s="30" t="s">
        <v>420</v>
      </c>
      <c r="B225" s="30" t="s">
        <v>421</v>
      </c>
      <c r="C225" s="11"/>
      <c r="D225" s="10"/>
      <c r="E225" s="26"/>
      <c r="F225" s="11"/>
      <c r="G225" s="10"/>
      <c r="H225" s="28"/>
    </row>
    <row r="226" spans="1:8" x14ac:dyDescent="0.2">
      <c r="A226" s="30" t="s">
        <v>422</v>
      </c>
      <c r="B226" s="30" t="s">
        <v>423</v>
      </c>
      <c r="C226" s="11"/>
      <c r="D226" s="10"/>
      <c r="E226" s="26"/>
      <c r="F226" s="11"/>
      <c r="G226" s="10"/>
      <c r="H226" s="28"/>
    </row>
    <row r="227" spans="1:8" x14ac:dyDescent="0.2">
      <c r="A227" s="30" t="s">
        <v>424</v>
      </c>
      <c r="B227" s="30" t="s">
        <v>425</v>
      </c>
      <c r="C227" s="11"/>
      <c r="D227" s="10"/>
      <c r="E227" s="26"/>
      <c r="F227" s="11"/>
      <c r="G227" s="10"/>
      <c r="H227" s="28"/>
    </row>
    <row r="228" spans="1:8" x14ac:dyDescent="0.2">
      <c r="A228" s="30" t="s">
        <v>426</v>
      </c>
      <c r="B228" s="30" t="s">
        <v>427</v>
      </c>
      <c r="C228" s="11"/>
      <c r="D228" s="10"/>
      <c r="E228" s="26"/>
      <c r="F228" s="11"/>
      <c r="G228" s="10"/>
      <c r="H228" s="28"/>
    </row>
    <row r="229" spans="1:8" x14ac:dyDescent="0.2">
      <c r="A229" s="30" t="s">
        <v>428</v>
      </c>
      <c r="B229" s="30" t="s">
        <v>429</v>
      </c>
      <c r="C229" s="11"/>
      <c r="D229" s="10"/>
      <c r="E229" s="26"/>
      <c r="F229" s="11"/>
      <c r="G229" s="10"/>
      <c r="H229" s="28"/>
    </row>
    <row r="230" spans="1:8" x14ac:dyDescent="0.2">
      <c r="A230" s="30" t="s">
        <v>430</v>
      </c>
      <c r="B230" s="30" t="s">
        <v>431</v>
      </c>
      <c r="C230" s="11"/>
      <c r="D230" s="10"/>
      <c r="E230" s="26"/>
      <c r="F230" s="11"/>
      <c r="G230" s="10"/>
      <c r="H230" s="28"/>
    </row>
    <row r="231" spans="1:8" x14ac:dyDescent="0.2">
      <c r="A231" s="30" t="s">
        <v>432</v>
      </c>
      <c r="B231" s="30" t="s">
        <v>433</v>
      </c>
      <c r="C231" s="11"/>
      <c r="D231" s="10"/>
      <c r="E231" s="26"/>
      <c r="F231" s="11"/>
      <c r="G231" s="10"/>
      <c r="H231" s="28"/>
    </row>
    <row r="232" spans="1:8" x14ac:dyDescent="0.2">
      <c r="A232" s="30" t="s">
        <v>12162</v>
      </c>
      <c r="B232" s="30" t="s">
        <v>12161</v>
      </c>
      <c r="C232" s="11"/>
      <c r="D232" s="10"/>
      <c r="E232" s="26"/>
      <c r="F232" s="11"/>
      <c r="G232" s="10"/>
      <c r="H232" s="28"/>
    </row>
    <row r="233" spans="1:8" x14ac:dyDescent="0.2">
      <c r="A233" s="30" t="s">
        <v>434</v>
      </c>
      <c r="B233" s="30" t="s">
        <v>435</v>
      </c>
      <c r="C233" s="11"/>
      <c r="D233" s="10"/>
      <c r="E233" s="26"/>
      <c r="F233" s="11"/>
      <c r="G233" s="10"/>
      <c r="H233" s="28"/>
    </row>
    <row r="234" spans="1:8" x14ac:dyDescent="0.2">
      <c r="A234" s="30" t="s">
        <v>436</v>
      </c>
      <c r="B234" s="30" t="s">
        <v>437</v>
      </c>
      <c r="C234" s="11"/>
      <c r="D234" s="10"/>
      <c r="E234" s="26"/>
      <c r="F234" s="11"/>
      <c r="G234" s="10"/>
      <c r="H234" s="28"/>
    </row>
    <row r="235" spans="1:8" x14ac:dyDescent="0.2">
      <c r="A235" s="30" t="s">
        <v>438</v>
      </c>
      <c r="B235" s="30" t="s">
        <v>439</v>
      </c>
      <c r="C235" s="11"/>
      <c r="D235" s="10"/>
      <c r="E235" s="26"/>
      <c r="F235" s="11"/>
      <c r="G235" s="10"/>
      <c r="H235" s="28"/>
    </row>
    <row r="236" spans="1:8" x14ac:dyDescent="0.2">
      <c r="A236" s="30" t="s">
        <v>12164</v>
      </c>
      <c r="B236" s="30" t="s">
        <v>12163</v>
      </c>
      <c r="C236" s="11"/>
      <c r="D236" s="10"/>
      <c r="E236" s="26"/>
      <c r="F236" s="11"/>
      <c r="G236" s="10"/>
      <c r="H236" s="28"/>
    </row>
    <row r="237" spans="1:8" x14ac:dyDescent="0.2">
      <c r="A237" s="30" t="s">
        <v>440</v>
      </c>
      <c r="B237" s="30" t="s">
        <v>441</v>
      </c>
      <c r="C237" s="11"/>
      <c r="D237" s="10"/>
      <c r="E237" s="26"/>
      <c r="F237" s="11"/>
      <c r="G237" s="10"/>
      <c r="H237" s="28"/>
    </row>
    <row r="238" spans="1:8" x14ac:dyDescent="0.2">
      <c r="A238" s="30" t="s">
        <v>442</v>
      </c>
      <c r="B238" s="30" t="s">
        <v>443</v>
      </c>
      <c r="C238" s="11"/>
      <c r="D238" s="10"/>
      <c r="E238" s="26"/>
      <c r="F238" s="11"/>
      <c r="G238" s="10"/>
      <c r="H238" s="28"/>
    </row>
    <row r="239" spans="1:8" x14ac:dyDescent="0.2">
      <c r="A239" s="30" t="s">
        <v>444</v>
      </c>
      <c r="B239" s="30" t="s">
        <v>445</v>
      </c>
      <c r="C239" s="11"/>
      <c r="D239" s="10"/>
      <c r="E239" s="26"/>
      <c r="F239" s="11"/>
      <c r="G239" s="10"/>
      <c r="H239" s="28"/>
    </row>
    <row r="240" spans="1:8" x14ac:dyDescent="0.2">
      <c r="A240" s="30" t="s">
        <v>12166</v>
      </c>
      <c r="B240" s="30" t="s">
        <v>12165</v>
      </c>
      <c r="C240" s="11"/>
      <c r="D240" s="10"/>
      <c r="E240" s="26"/>
      <c r="F240" s="11"/>
      <c r="G240" s="10"/>
      <c r="H240" s="28"/>
    </row>
    <row r="241" spans="1:8" x14ac:dyDescent="0.2">
      <c r="A241" s="30" t="s">
        <v>446</v>
      </c>
      <c r="B241" s="30" t="s">
        <v>447</v>
      </c>
      <c r="C241" s="11"/>
      <c r="D241" s="10"/>
      <c r="E241" s="26"/>
      <c r="F241" s="11"/>
      <c r="G241" s="10"/>
      <c r="H241" s="28"/>
    </row>
    <row r="242" spans="1:8" x14ac:dyDescent="0.2">
      <c r="A242" s="30" t="s">
        <v>448</v>
      </c>
      <c r="B242" s="30" t="s">
        <v>449</v>
      </c>
      <c r="C242" s="11"/>
      <c r="D242" s="10"/>
      <c r="E242" s="26"/>
      <c r="F242" s="11"/>
      <c r="G242" s="10"/>
      <c r="H242" s="28"/>
    </row>
    <row r="243" spans="1:8" x14ac:dyDescent="0.2">
      <c r="A243" s="30" t="s">
        <v>450</v>
      </c>
      <c r="B243" s="30" t="s">
        <v>451</v>
      </c>
      <c r="C243" s="11"/>
      <c r="D243" s="10"/>
      <c r="E243" s="26"/>
      <c r="F243" s="11"/>
      <c r="G243" s="10"/>
      <c r="H243" s="28"/>
    </row>
    <row r="244" spans="1:8" x14ac:dyDescent="0.2">
      <c r="A244" s="30" t="s">
        <v>452</v>
      </c>
      <c r="B244" s="30" t="s">
        <v>453</v>
      </c>
      <c r="C244" s="11"/>
      <c r="D244" s="10"/>
      <c r="E244" s="26"/>
      <c r="F244" s="11"/>
      <c r="G244" s="10"/>
      <c r="H244" s="28"/>
    </row>
    <row r="245" spans="1:8" x14ac:dyDescent="0.2">
      <c r="A245" s="30" t="s">
        <v>454</v>
      </c>
      <c r="B245" s="30" t="s">
        <v>455</v>
      </c>
      <c r="C245" s="11"/>
      <c r="D245" s="10"/>
      <c r="E245" s="26"/>
      <c r="F245" s="11"/>
      <c r="G245" s="10"/>
      <c r="H245" s="28"/>
    </row>
    <row r="246" spans="1:8" x14ac:dyDescent="0.2">
      <c r="A246" s="30" t="s">
        <v>12168</v>
      </c>
      <c r="B246" s="30" t="s">
        <v>12167</v>
      </c>
      <c r="C246" s="11"/>
      <c r="D246" s="10"/>
      <c r="E246" s="26"/>
      <c r="F246" s="11"/>
      <c r="G246" s="10"/>
      <c r="H246" s="28"/>
    </row>
    <row r="247" spans="1:8" x14ac:dyDescent="0.2">
      <c r="A247" s="30" t="s">
        <v>12170</v>
      </c>
      <c r="B247" s="30" t="s">
        <v>12169</v>
      </c>
      <c r="C247" s="11"/>
      <c r="D247" s="10"/>
      <c r="E247" s="26"/>
      <c r="F247" s="11"/>
      <c r="G247" s="10"/>
      <c r="H247" s="28"/>
    </row>
    <row r="248" spans="1:8" x14ac:dyDescent="0.2">
      <c r="A248" s="30" t="s">
        <v>456</v>
      </c>
      <c r="B248" s="30" t="s">
        <v>457</v>
      </c>
      <c r="C248" s="11"/>
      <c r="D248" s="10"/>
      <c r="E248" s="26"/>
      <c r="F248" s="11"/>
      <c r="G248" s="10"/>
      <c r="H248" s="28"/>
    </row>
    <row r="249" spans="1:8" x14ac:dyDescent="0.2">
      <c r="A249" s="30" t="s">
        <v>458</v>
      </c>
      <c r="B249" s="30" t="s">
        <v>459</v>
      </c>
      <c r="C249" s="11"/>
      <c r="D249" s="10"/>
      <c r="E249" s="26"/>
      <c r="F249" s="11"/>
      <c r="G249" s="10"/>
      <c r="H249" s="28"/>
    </row>
    <row r="250" spans="1:8" x14ac:dyDescent="0.2">
      <c r="A250" s="30" t="s">
        <v>460</v>
      </c>
      <c r="B250" s="30" t="s">
        <v>461</v>
      </c>
      <c r="C250" s="11"/>
      <c r="D250" s="10"/>
      <c r="E250" s="26"/>
      <c r="F250" s="11"/>
      <c r="G250" s="10"/>
      <c r="H250" s="28"/>
    </row>
    <row r="251" spans="1:8" x14ac:dyDescent="0.2">
      <c r="A251" s="30" t="s">
        <v>462</v>
      </c>
      <c r="B251" s="30" t="s">
        <v>463</v>
      </c>
      <c r="C251" s="11"/>
      <c r="D251" s="10"/>
      <c r="E251" s="26"/>
      <c r="F251" s="11"/>
      <c r="G251" s="10"/>
      <c r="H251" s="28"/>
    </row>
    <row r="252" spans="1:8" x14ac:dyDescent="0.2">
      <c r="A252" s="30" t="s">
        <v>464</v>
      </c>
      <c r="B252" s="30" t="s">
        <v>465</v>
      </c>
      <c r="C252" s="11"/>
      <c r="D252" s="10"/>
      <c r="E252" s="26"/>
      <c r="F252" s="11"/>
      <c r="G252" s="10"/>
      <c r="H252" s="28"/>
    </row>
    <row r="253" spans="1:8" x14ac:dyDescent="0.2">
      <c r="A253" s="30" t="s">
        <v>12172</v>
      </c>
      <c r="B253" s="30" t="s">
        <v>12171</v>
      </c>
      <c r="C253" s="11"/>
      <c r="D253" s="10"/>
      <c r="E253" s="26"/>
      <c r="F253" s="11"/>
      <c r="G253" s="10"/>
      <c r="H253" s="28"/>
    </row>
    <row r="254" spans="1:8" x14ac:dyDescent="0.2">
      <c r="A254" s="30" t="s">
        <v>466</v>
      </c>
      <c r="B254" s="30" t="s">
        <v>467</v>
      </c>
      <c r="C254" s="11"/>
      <c r="D254" s="10"/>
      <c r="E254" s="26"/>
      <c r="F254" s="11"/>
      <c r="G254" s="10"/>
      <c r="H254" s="28"/>
    </row>
    <row r="255" spans="1:8" x14ac:dyDescent="0.2">
      <c r="A255" s="30" t="s">
        <v>468</v>
      </c>
      <c r="B255" s="30" t="s">
        <v>469</v>
      </c>
      <c r="C255" s="11"/>
      <c r="D255" s="10"/>
      <c r="E255" s="26"/>
      <c r="F255" s="11"/>
      <c r="G255" s="10"/>
      <c r="H255" s="28"/>
    </row>
    <row r="256" spans="1:8"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2021-02-04T10:29:15Z</dcterms:modified>
</cp:coreProperties>
</file>